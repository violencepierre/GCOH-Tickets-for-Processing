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28E095D4-D1B9-4B21-8103-877DD1BBED84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People" sheetId="7" r:id="rId4"/>
    <sheet name="2023" sheetId="8" r:id="rId5"/>
    <sheet name="2024" sheetId="19" r:id="rId6"/>
    <sheet name="old" sheetId="27" state="hidden" r:id="rId7"/>
    <sheet name="Sectors" sheetId="9" r:id="rId8"/>
    <sheet name="KPI" sheetId="12" r:id="rId9"/>
  </sheets>
  <definedNames>
    <definedName name="_xlnm._FilterDatabase" localSheetId="4">'2023'!$A$1:$M$1</definedName>
    <definedName name="_xlnm._FilterDatabase" localSheetId="3">People!$A$1:$B$1</definedName>
    <definedName name="_xlnm._FilterDatabase" localSheetId="2">STUCT1!#REF!</definedName>
  </definedNames>
  <calcPr calcId="181029"/>
  <pivotCaches>
    <pivotCache cacheId="15" r:id="rId10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747" i="1" l="1"/>
  <c r="H3748" i="1"/>
  <c r="H3749" i="1"/>
  <c r="H3750" i="1"/>
  <c r="H3751" i="1"/>
  <c r="H3752" i="1"/>
  <c r="H3753" i="1"/>
  <c r="H3754" i="1"/>
  <c r="J3747" i="1"/>
  <c r="J3748" i="1"/>
  <c r="J3749" i="1"/>
  <c r="J3750" i="1"/>
  <c r="J3751" i="1"/>
  <c r="J3752" i="1"/>
  <c r="J3753" i="1"/>
  <c r="J3754" i="1"/>
  <c r="H3739" i="1"/>
  <c r="H3740" i="1"/>
  <c r="H3741" i="1"/>
  <c r="H3742" i="1"/>
  <c r="H3743" i="1"/>
  <c r="H3744" i="1"/>
  <c r="H3745" i="1"/>
  <c r="H3746" i="1"/>
  <c r="J3739" i="1"/>
  <c r="J3740" i="1"/>
  <c r="J3741" i="1"/>
  <c r="J3742" i="1"/>
  <c r="J3743" i="1"/>
  <c r="J3744" i="1"/>
  <c r="J3745" i="1"/>
  <c r="J3746" i="1"/>
  <c r="H3738" i="1"/>
  <c r="J3738" i="1"/>
  <c r="H3733" i="1"/>
  <c r="H3734" i="1"/>
  <c r="H3735" i="1"/>
  <c r="H3736" i="1"/>
  <c r="H3737" i="1"/>
  <c r="J3733" i="1"/>
  <c r="J3734" i="1"/>
  <c r="J3735" i="1"/>
  <c r="J3736" i="1"/>
  <c r="J3737" i="1"/>
  <c r="H3732" i="1"/>
  <c r="J3732" i="1"/>
  <c r="H3731" i="1"/>
  <c r="J3731" i="1"/>
  <c r="H3726" i="1"/>
  <c r="H3727" i="1"/>
  <c r="H3728" i="1"/>
  <c r="H3729" i="1"/>
  <c r="H3730" i="1"/>
  <c r="J3726" i="1"/>
  <c r="J3727" i="1"/>
  <c r="J3728" i="1"/>
  <c r="J3729" i="1"/>
  <c r="J3730" i="1"/>
  <c r="H3725" i="1"/>
  <c r="J3725" i="1"/>
  <c r="H3721" i="1"/>
  <c r="H3722" i="1"/>
  <c r="H3723" i="1"/>
  <c r="H3724" i="1"/>
  <c r="J3721" i="1"/>
  <c r="J3722" i="1"/>
  <c r="J3723" i="1"/>
  <c r="J3724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H3703" i="1"/>
  <c r="J3703" i="1"/>
  <c r="H3702" i="1"/>
  <c r="J3702" i="1"/>
  <c r="H3701" i="1"/>
  <c r="J3701" i="1"/>
  <c r="H3700" i="1"/>
  <c r="J3700" i="1"/>
  <c r="H3690" i="1"/>
  <c r="H3691" i="1"/>
  <c r="H3692" i="1"/>
  <c r="H3693" i="1"/>
  <c r="H3694" i="1"/>
  <c r="H3695" i="1"/>
  <c r="H3696" i="1"/>
  <c r="H3697" i="1"/>
  <c r="H3698" i="1"/>
  <c r="H3699" i="1"/>
  <c r="J3690" i="1"/>
  <c r="J3691" i="1"/>
  <c r="J3692" i="1"/>
  <c r="J3693" i="1"/>
  <c r="J3694" i="1"/>
  <c r="J3695" i="1"/>
  <c r="J3696" i="1"/>
  <c r="J3697" i="1"/>
  <c r="J3698" i="1"/>
  <c r="J3699" i="1"/>
  <c r="H3687" i="1"/>
  <c r="H3688" i="1"/>
  <c r="H3689" i="1"/>
  <c r="J3687" i="1"/>
  <c r="J3688" i="1"/>
  <c r="J3689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H3637" i="1"/>
  <c r="J3637" i="1"/>
  <c r="H3636" i="1"/>
  <c r="J3636" i="1"/>
  <c r="H3630" i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l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</calcChain>
</file>

<file path=xl/sharedStrings.xml><?xml version="1.0" encoding="utf-8"?>
<sst xmlns="http://schemas.openxmlformats.org/spreadsheetml/2006/main" count="68282" uniqueCount="12963">
  <si>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</si>
  <si>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</si>
  <si>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</si>
  <si>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</si>
  <si>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</si>
  <si>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</si>
  <si>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</si>
  <si>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</si>
  <si>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</si>
  <si>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</si>
  <si>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</si>
  <si>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</si>
  <si>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</si>
  <si>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</si>
  <si>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</si>
  <si>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</si>
  <si>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</si>
  <si>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</si>
  <si>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</si>
  <si>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</si>
  <si>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</si>
  <si>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</si>
  <si>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</si>
  <si>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</si>
  <si>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</si>
  <si>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</si>
  <si>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</si>
  <si>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</si>
  <si>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</si>
  <si>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</si>
  <si>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</si>
  <si>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</si>
  <si>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</si>
  <si>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</si>
  <si>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</si>
  <si>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</si>
  <si>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</si>
  <si>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</si>
  <si>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</si>
  <si>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</si>
  <si>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</si>
  <si>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</si>
  <si>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</si>
  <si>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</si>
  <si>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</si>
  <si>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</si>
  <si>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</si>
  <si>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</si>
  <si>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</si>
  <si>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</si>
  <si>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</si>
  <si>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</si>
  <si>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</si>
  <si>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</si>
  <si>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</si>
  <si>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</si>
  <si>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</si>
  <si>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</si>
  <si>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</si>
  <si>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</si>
  <si>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</si>
  <si>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</si>
  <si>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</si>
  <si>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</si>
  <si>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</si>
  <si>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</si>
  <si>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</si>
  <si>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</si>
  <si>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</si>
  <si>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</si>
  <si>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</si>
  <si>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</si>
  <si>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</si>
  <si>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</si>
  <si>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</si>
  <si>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</si>
  <si>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</si>
  <si>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</si>
  <si>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</si>
  <si>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</si>
  <si>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</si>
  <si>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</si>
  <si>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</si>
  <si>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</si>
  <si>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</si>
  <si>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</si>
  <si>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</si>
  <si>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</si>
  <si>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</si>
  <si>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</si>
  <si>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</si>
  <si>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</si>
  <si>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</si>
  <si>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</si>
  <si>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</si>
  <si>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</si>
  <si>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</si>
  <si>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</si>
  <si>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</si>
  <si>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</si>
  <si>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</si>
  <si>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</si>
  <si>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</si>
  <si>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</si>
  <si>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</si>
  <si>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</si>
  <si>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</si>
  <si>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</si>
  <si>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</si>
  <si>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</si>
  <si>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</si>
  <si>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</si>
  <si>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</si>
  <si>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</si>
  <si>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</si>
  <si>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</si>
  <si>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</si>
  <si>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</si>
  <si>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</si>
  <si>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</si>
  <si>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</si>
  <si>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</si>
  <si>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</si>
  <si>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</si>
  <si>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</si>
  <si>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</si>
  <si>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</si>
  <si>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</si>
  <si>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</si>
  <si>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</si>
  <si>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</si>
  <si>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</si>
  <si>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</si>
  <si>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</si>
  <si>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</si>
  <si>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</si>
  <si>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</si>
  <si>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</si>
  <si>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</si>
  <si>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</si>
  <si>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</si>
  <si>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</si>
  <si>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</si>
  <si>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</si>
  <si>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</si>
  <si>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</si>
  <si>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</si>
  <si>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</si>
  <si>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</si>
  <si>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</si>
  <si>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</si>
  <si>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</si>
  <si>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</si>
  <si>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</si>
  <si>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</si>
  <si>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</si>
  <si>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</si>
  <si>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</si>
  <si>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</si>
  <si>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</si>
  <si>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</si>
  <si>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</si>
  <si>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</si>
  <si>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</si>
  <si>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</si>
  <si>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</si>
  <si>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</si>
  <si>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</si>
  <si>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</si>
  <si>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</si>
  <si>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</si>
  <si>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</si>
  <si>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</si>
  <si>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</si>
  <si>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</si>
  <si>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</si>
  <si>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</si>
  <si>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</si>
  <si>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</si>
  <si>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</si>
  <si>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</si>
  <si>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</si>
  <si>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</si>
  <si>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</si>
  <si>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</si>
  <si>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</si>
  <si>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</si>
  <si>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</si>
  <si>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</si>
  <si>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</si>
  <si>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</si>
  <si>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</si>
  <si>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</si>
  <si>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</si>
  <si>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</si>
  <si>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</si>
  <si>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</si>
  <si>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</si>
  <si>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</si>
  <si>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</si>
  <si>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</si>
  <si>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</si>
  <si>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</si>
  <si>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</si>
  <si>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</si>
  <si>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</si>
  <si>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</si>
  <si>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</si>
  <si>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</si>
  <si>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</si>
  <si>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</si>
  <si>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</si>
  <si>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</si>
  <si>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</si>
  <si>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</si>
  <si>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</si>
  <si>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</si>
  <si>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</si>
  <si>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</si>
  <si>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</si>
  <si>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</si>
  <si>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</si>
  <si>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</si>
  <si>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</si>
  <si>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</si>
  <si>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</si>
  <si>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</si>
  <si>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</si>
  <si>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</si>
  <si>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</si>
  <si>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</si>
  <si>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</si>
  <si>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</si>
  <si>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</si>
  <si>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</si>
  <si>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</si>
  <si>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</si>
  <si>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</si>
  <si>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</si>
  <si>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</si>
  <si>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</si>
  <si>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</si>
  <si>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</si>
  <si>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</si>
  <si>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</si>
  <si>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</si>
  <si>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</si>
  <si>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</si>
  <si>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</si>
  <si>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</si>
  <si>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</si>
  <si>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</si>
  <si>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</si>
  <si>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</si>
  <si>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</si>
  <si>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</si>
  <si>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</si>
  <si>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</si>
  <si>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</si>
  <si>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</si>
  <si>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</si>
  <si>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</si>
  <si>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</si>
  <si>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</si>
  <si>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</si>
  <si>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</si>
  <si>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</si>
  <si>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</si>
  <si>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</si>
  <si>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</si>
  <si>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</si>
  <si>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</si>
  <si>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</si>
  <si>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</si>
  <si>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</si>
  <si>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</si>
  <si>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</si>
  <si>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</si>
  <si>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</si>
  <si>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</si>
  <si>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</si>
  <si>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</si>
  <si>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</si>
  <si>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</si>
  <si>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</si>
  <si>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</si>
  <si>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</si>
  <si>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</si>
  <si>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</si>
  <si>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</si>
  <si>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</si>
  <si>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</si>
  <si>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</si>
  <si>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</si>
  <si>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</si>
  <si>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</si>
  <si>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</si>
  <si>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</si>
  <si>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</si>
  <si>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</si>
  <si>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</si>
  <si>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</si>
  <si>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</si>
  <si>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</si>
  <si>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</si>
  <si>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</si>
  <si>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</si>
  <si>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</si>
  <si>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</si>
  <si>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</si>
  <si>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</si>
  <si>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</si>
  <si>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</si>
  <si>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</si>
  <si>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</si>
  <si>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</si>
  <si>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</si>
  <si>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</si>
  <si>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</si>
  <si>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</si>
  <si>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</si>
  <si>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</si>
  <si>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</si>
  <si>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</si>
  <si>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</si>
  <si>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</si>
  <si>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</si>
  <si>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</si>
  <si>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</si>
  <si>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</si>
  <si>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</si>
  <si>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</si>
  <si>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</si>
  <si>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</si>
  <si>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</si>
  <si>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</si>
  <si>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</si>
  <si>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</si>
  <si>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</si>
  <si>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</si>
  <si>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</si>
  <si>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</si>
  <si>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</si>
  <si>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</si>
  <si>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</si>
  <si>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</si>
  <si>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</si>
  <si>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</si>
  <si>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</si>
  <si>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</si>
  <si>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</si>
  <si>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</si>
  <si>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</si>
  <si>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</si>
  <si>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</si>
  <si>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</si>
  <si>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</si>
  <si>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</si>
  <si>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</si>
  <si>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</si>
  <si>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</si>
  <si>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</si>
  <si>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</si>
  <si>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</si>
  <si>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</si>
  <si>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</si>
  <si>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</si>
  <si>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</si>
  <si>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</si>
  <si>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</si>
  <si>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</si>
  <si>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</si>
  <si>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</si>
  <si>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</si>
  <si>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</si>
  <si>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</si>
  <si>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</si>
  <si>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</si>
  <si>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</si>
  <si>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</si>
  <si>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</si>
  <si>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</si>
  <si>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</si>
  <si>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</si>
  <si>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</si>
  <si>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</si>
  <si>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</si>
  <si>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</si>
  <si>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</si>
  <si>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</si>
  <si>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</si>
  <si>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</si>
  <si>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</si>
  <si>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</si>
  <si>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</si>
  <si>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</si>
  <si>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</si>
  <si>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</si>
  <si>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</si>
  <si>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</si>
  <si>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</si>
  <si>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</si>
  <si>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</si>
  <si>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</si>
  <si>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</si>
  <si>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</si>
  <si>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</si>
  <si>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</si>
  <si>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</si>
  <si>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</si>
  <si>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</si>
  <si>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</si>
  <si>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</si>
  <si>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</si>
  <si>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</si>
  <si>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</si>
  <si>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</si>
  <si>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</si>
  <si>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</si>
  <si>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</si>
  <si>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</si>
  <si>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</si>
  <si>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</si>
  <si>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</si>
  <si>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</si>
  <si>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</si>
  <si>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</si>
  <si>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</si>
  <si>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</si>
  <si>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</si>
  <si>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</si>
  <si>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</si>
  <si>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</si>
  <si>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</si>
  <si>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</si>
  <si>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</si>
  <si>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</si>
  <si>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</si>
  <si>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</si>
  <si>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</si>
  <si>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</si>
  <si>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</si>
  <si>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</si>
  <si>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</si>
  <si>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</si>
  <si>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</si>
  <si>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</si>
  <si>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</si>
  <si>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</si>
  <si>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</si>
  <si>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</si>
  <si>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</si>
  <si>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</si>
  <si>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</si>
  <si>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</si>
  <si>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</si>
  <si>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</si>
  <si>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</si>
  <si>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</si>
  <si>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</si>
  <si>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</si>
  <si>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</si>
  <si>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</si>
  <si>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</si>
  <si>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</si>
  <si>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</si>
  <si>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</si>
  <si>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</si>
  <si>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</si>
  <si>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</si>
  <si>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</si>
  <si>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</si>
  <si>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</si>
  <si>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</si>
  <si>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</si>
  <si>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</si>
  <si>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</si>
  <si>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</si>
  <si>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</si>
  <si>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</si>
  <si>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</si>
  <si>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</si>
  <si>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</si>
  <si>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</si>
  <si>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</si>
  <si>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</si>
  <si>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</si>
  <si>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</si>
  <si>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</si>
  <si>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</si>
  <si>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</si>
  <si>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</si>
  <si>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</si>
  <si>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</si>
  <si>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</si>
  <si>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</si>
  <si>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</si>
  <si>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</si>
  <si>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</si>
  <si>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</si>
  <si>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</si>
  <si>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</si>
  <si>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</si>
  <si>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</si>
  <si>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</si>
  <si>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</si>
  <si>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</si>
  <si>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</si>
  <si>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</si>
  <si>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</si>
  <si>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</si>
  <si>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</si>
  <si>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</si>
  <si>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</si>
  <si>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</si>
  <si>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</si>
  <si>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</si>
  <si>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</si>
  <si>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</si>
  <si>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</si>
  <si>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</si>
  <si>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</si>
  <si>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</si>
  <si>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</si>
  <si>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</si>
  <si>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</si>
  <si>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</si>
  <si>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</si>
  <si>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</si>
  <si>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</si>
  <si>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</si>
  <si>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</si>
  <si>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</si>
  <si>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</si>
  <si>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</si>
  <si>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</si>
  <si>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</si>
  <si>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</si>
  <si>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</si>
  <si>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</si>
  <si>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</si>
  <si>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</si>
  <si>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</si>
  <si>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</si>
  <si>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</si>
  <si>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</si>
  <si>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</si>
  <si>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</si>
  <si>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</si>
  <si>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</si>
  <si>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</si>
  <si>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</si>
  <si>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</si>
  <si>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</si>
  <si>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</si>
  <si>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</si>
  <si>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</si>
  <si>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</si>
  <si>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</si>
  <si>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</si>
  <si>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</si>
  <si>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</si>
  <si>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</si>
  <si>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</si>
  <si>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</si>
  <si>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</si>
  <si>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</si>
  <si>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</si>
  <si>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</si>
  <si>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</si>
  <si>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</si>
  <si>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</si>
  <si>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</si>
  <si>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</si>
  <si>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</si>
  <si>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</si>
  <si>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</si>
  <si>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</si>
  <si>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</si>
  <si>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</si>
  <si>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</si>
  <si>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</si>
  <si>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</si>
  <si>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</si>
  <si>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</si>
  <si>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</si>
  <si>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</si>
  <si>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</si>
  <si>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</si>
  <si>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</si>
  <si>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</si>
  <si>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</si>
  <si>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</si>
  <si>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</si>
  <si>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</si>
  <si>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</si>
  <si>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</si>
  <si>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</si>
  <si>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</si>
  <si>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</si>
  <si>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</si>
  <si>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</si>
  <si>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</si>
  <si>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</si>
  <si>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</si>
  <si>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</si>
  <si>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</si>
  <si>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</si>
  <si>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</si>
  <si>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</si>
  <si>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</si>
  <si>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</si>
  <si>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</si>
  <si>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</si>
  <si>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</si>
  <si>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</si>
  <si>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</si>
  <si>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</si>
  <si>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</si>
  <si>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</si>
  <si>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</si>
  <si>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</si>
  <si>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</si>
  <si>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</si>
  <si>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</si>
  <si>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</si>
  <si>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</si>
  <si>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</si>
  <si>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</si>
  <si>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</si>
  <si>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</si>
  <si>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</si>
  <si>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</si>
  <si>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</si>
  <si>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</si>
  <si>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</si>
  <si>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</si>
  <si>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</si>
  <si>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</si>
  <si>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</si>
  <si>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</si>
  <si>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</si>
  <si>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</si>
  <si>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</si>
  <si>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</si>
  <si>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</si>
  <si>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</si>
  <si>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</si>
  <si>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</si>
  <si>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</si>
  <si>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</si>
  <si>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</si>
  <si>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</si>
  <si>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</si>
  <si>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</si>
  <si>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</si>
  <si>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</si>
  <si>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</si>
  <si>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</si>
  <si>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</si>
  <si>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</si>
  <si>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</si>
  <si>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</si>
  <si>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</si>
  <si>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</si>
  <si>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</si>
  <si>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</si>
  <si>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</si>
  <si>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</si>
  <si>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</si>
  <si>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</si>
  <si>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</si>
  <si>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</si>
  <si>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</si>
  <si>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</si>
  <si>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</si>
  <si>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</si>
  <si>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</si>
  <si>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</si>
  <si>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</si>
  <si>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</si>
  <si>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</si>
  <si>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</si>
  <si>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</si>
  <si>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</si>
  <si>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</si>
  <si>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</si>
  <si>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</si>
  <si>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</si>
  <si>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</si>
  <si>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</si>
  <si>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</si>
  <si>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</si>
  <si>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</si>
  <si>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</si>
  <si>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</si>
  <si>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</si>
  <si>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</si>
  <si>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</si>
  <si>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</si>
  <si>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</si>
  <si>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</si>
  <si>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</si>
  <si>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</si>
  <si>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</si>
  <si>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</si>
  <si>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</si>
  <si>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</si>
  <si>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</si>
  <si>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</si>
  <si>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</si>
  <si>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</si>
  <si>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</si>
  <si>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</si>
  <si>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</si>
  <si>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</si>
  <si>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</si>
  <si>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</si>
  <si>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</si>
  <si>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</si>
  <si>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</si>
  <si>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</si>
  <si>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</si>
  <si>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</si>
  <si>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</si>
  <si>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</si>
  <si>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</si>
  <si>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</si>
  <si>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</si>
  <si>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</si>
  <si>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</si>
  <si>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</si>
  <si>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</si>
  <si>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</si>
  <si>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</si>
  <si>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</si>
  <si>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</si>
  <si>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</si>
  <si>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</si>
  <si>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</si>
  <si>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</si>
  <si>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</si>
  <si>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</si>
  <si>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</si>
  <si>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</si>
  <si>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</si>
  <si>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</si>
  <si>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</si>
  <si>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</si>
  <si>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</si>
  <si>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</si>
  <si>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</si>
  <si>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</si>
  <si>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</si>
  <si>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</si>
  <si>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</si>
  <si>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</si>
  <si>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</si>
  <si>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</si>
  <si>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</si>
  <si>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</si>
  <si>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</si>
  <si>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</si>
  <si>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</si>
  <si>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</si>
  <si>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</si>
  <si>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</si>
  <si>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</si>
  <si>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</si>
  <si>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</si>
  <si>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</si>
  <si>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</si>
  <si>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</si>
  <si>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</si>
  <si>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</si>
  <si>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</si>
  <si>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</si>
  <si>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</si>
  <si>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</si>
  <si>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</si>
  <si>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</si>
  <si>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</si>
  <si>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</si>
  <si>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</si>
  <si>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</si>
  <si>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</si>
  <si>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</si>
  <si>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</si>
  <si>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</si>
  <si>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</si>
  <si>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</si>
  <si>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</si>
  <si>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</si>
  <si>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</si>
  <si>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</si>
  <si>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</si>
  <si>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</si>
  <si>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</si>
  <si>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</si>
  <si>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</si>
  <si>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</si>
  <si>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</si>
  <si>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</si>
  <si>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</si>
  <si>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</si>
  <si>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</si>
  <si>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</si>
  <si>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</si>
  <si>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</si>
  <si>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</si>
  <si>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</si>
  <si>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</si>
  <si>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</si>
  <si>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</si>
  <si>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</si>
  <si>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</si>
  <si>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</si>
  <si>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</si>
  <si>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</si>
  <si>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</si>
  <si>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</si>
  <si>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</si>
  <si>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</si>
  <si>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</si>
  <si>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</si>
  <si>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</si>
  <si>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</si>
  <si>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</si>
  <si>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</si>
  <si>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</si>
  <si>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</si>
  <si>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</si>
  <si>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</si>
  <si>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</si>
  <si>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</si>
  <si>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</si>
  <si>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</si>
  <si>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</si>
  <si>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</si>
  <si>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</si>
  <si>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</si>
  <si>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</si>
  <si>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</si>
  <si>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</si>
  <si>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</si>
  <si>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</si>
  <si>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</si>
  <si>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</si>
  <si>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</si>
  <si>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</si>
  <si>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</si>
  <si>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</si>
  <si>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</si>
  <si>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</si>
  <si>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</si>
  <si>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</si>
  <si>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</si>
  <si>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</si>
  <si>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</si>
  <si>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</si>
  <si>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</si>
  <si>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</si>
  <si>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</si>
  <si>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</si>
  <si>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</si>
  <si>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</si>
  <si>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</si>
  <si>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</si>
  <si>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</si>
  <si>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</si>
  <si>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</si>
  <si>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</si>
  <si>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</si>
  <si>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</si>
  <si>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</si>
  <si>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</si>
  <si>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</si>
  <si>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</si>
  <si>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</si>
  <si>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</si>
  <si>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</si>
  <si>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</si>
  <si>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</si>
  <si>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</si>
  <si>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</si>
  <si>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</si>
  <si>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</si>
  <si>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</si>
  <si>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</si>
  <si>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</si>
  <si>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</si>
  <si>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</si>
  <si>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</si>
  <si>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</si>
  <si>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</si>
  <si>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</si>
  <si>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</si>
  <si>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</si>
  <si>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</si>
  <si>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</si>
  <si>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</si>
  <si>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</si>
  <si>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</si>
  <si>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</si>
  <si>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</si>
  <si>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</si>
  <si>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</si>
  <si>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</si>
  <si>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</si>
  <si>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</si>
  <si>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</si>
  <si>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</si>
  <si>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</si>
  <si>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</si>
  <si>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</si>
  <si>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</si>
  <si>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</si>
  <si>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</si>
  <si>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</si>
  <si>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</si>
  <si>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</si>
  <si>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</si>
  <si>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</si>
  <si>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</si>
  <si>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</si>
  <si>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</si>
  <si>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</si>
  <si>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</si>
  <si>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</si>
  <si>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</si>
  <si>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</si>
  <si>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</si>
  <si>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</si>
  <si>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</si>
  <si>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</si>
  <si>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</si>
  <si>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</si>
  <si>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</si>
  <si>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</si>
  <si>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</si>
  <si>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</si>
  <si>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</si>
  <si>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</si>
  <si>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</si>
  <si>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</si>
  <si>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</si>
  <si>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</si>
  <si>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</si>
  <si>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</si>
  <si>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</si>
  <si>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</si>
  <si>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</si>
  <si>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</si>
  <si>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</si>
  <si>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</si>
  <si>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</si>
  <si>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</si>
  <si>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</si>
  <si>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</si>
  <si>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</si>
  <si>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</si>
  <si>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</si>
  <si>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</si>
  <si>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</si>
  <si>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</si>
  <si>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</si>
  <si>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</si>
  <si>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</si>
  <si>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</si>
  <si>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</si>
  <si>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</si>
  <si>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</si>
  <si>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</si>
  <si>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</si>
  <si>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</si>
  <si>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</si>
  <si>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</si>
  <si>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</si>
  <si>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</si>
  <si>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</si>
  <si>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</si>
  <si>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</si>
  <si>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</si>
  <si>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</si>
  <si>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</si>
  <si>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</si>
  <si>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</si>
  <si>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</si>
  <si>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</si>
  <si>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</si>
  <si>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</si>
  <si>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</si>
  <si>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</si>
  <si>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</si>
  <si>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</si>
  <si>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</si>
  <si>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</si>
  <si>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</si>
  <si>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</si>
  <si>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</si>
  <si>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</si>
  <si>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</si>
  <si>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</si>
  <si>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</si>
  <si>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</si>
  <si>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</si>
  <si>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</si>
  <si>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</si>
  <si>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</si>
  <si>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</si>
  <si>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</si>
  <si>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</si>
  <si>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</si>
  <si>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</si>
  <si>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</si>
  <si>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</si>
  <si>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</si>
  <si>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</si>
  <si>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</si>
  <si>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</si>
  <si>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</si>
  <si>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</si>
  <si>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</si>
  <si>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</si>
  <si>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</si>
  <si>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</si>
  <si>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</si>
  <si>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</si>
  <si>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</si>
  <si>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</si>
  <si>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</si>
  <si>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</si>
  <si>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</si>
  <si>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</si>
  <si>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</si>
  <si>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</si>
  <si>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</si>
  <si>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</si>
  <si>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</si>
  <si>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</si>
  <si>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</si>
  <si>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</si>
  <si>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</si>
  <si>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</si>
  <si>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</si>
  <si>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</si>
  <si>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</si>
  <si>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</si>
  <si>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</si>
  <si>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</si>
  <si>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</si>
  <si>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</si>
  <si>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</si>
  <si>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</si>
  <si>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</si>
  <si>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</si>
  <si>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</si>
  <si>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</si>
  <si>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</si>
  <si>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</si>
  <si>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</si>
  <si>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</si>
  <si>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</si>
  <si>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</si>
  <si>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</si>
  <si>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</si>
  <si>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</si>
  <si>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</si>
  <si>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</si>
  <si>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</si>
  <si>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</si>
  <si>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</si>
  <si>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</si>
  <si>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</si>
  <si>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</si>
  <si>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</si>
  <si>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</si>
  <si>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</si>
  <si>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</si>
  <si>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</si>
  <si>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</si>
  <si>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</si>
  <si>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</si>
  <si>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</si>
  <si>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</si>
  <si>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</si>
  <si>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</si>
  <si>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</si>
  <si>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</si>
  <si>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</si>
  <si>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</si>
  <si>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</si>
  <si>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</si>
  <si>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</si>
  <si>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</si>
  <si>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</si>
  <si>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</si>
  <si>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</si>
  <si>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</si>
  <si>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</si>
  <si>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</si>
  <si>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</si>
  <si>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</si>
  <si>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</si>
  <si>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</si>
  <si>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</si>
  <si>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</si>
  <si>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</si>
  <si>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</si>
  <si>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</si>
  <si>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</si>
  <si>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</si>
  <si>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</si>
  <si>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</si>
  <si>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</si>
  <si>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</si>
  <si>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</si>
  <si>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</si>
  <si>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</si>
  <si>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</si>
  <si>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</si>
  <si>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</si>
  <si>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</si>
  <si>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</si>
  <si>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</si>
  <si>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</si>
  <si>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</si>
  <si>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</si>
  <si>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</si>
  <si>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</si>
  <si>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</si>
  <si>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</si>
  <si>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</si>
  <si>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</si>
  <si>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</si>
  <si>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</si>
  <si>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</si>
  <si>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</si>
  <si>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</si>
  <si>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</si>
  <si>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</si>
  <si>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</si>
  <si>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</si>
  <si>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</si>
  <si>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</si>
  <si>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</si>
  <si>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</si>
  <si>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</si>
  <si>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</si>
  <si>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</si>
  <si>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</si>
  <si>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</si>
  <si>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</si>
  <si>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</si>
  <si>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</si>
  <si>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</si>
  <si>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</si>
  <si>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</si>
  <si>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</si>
  <si>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</si>
  <si>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</si>
  <si>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</si>
  <si>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</si>
  <si>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</si>
  <si>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</si>
  <si>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</si>
  <si>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</si>
  <si>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</si>
  <si>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</si>
  <si>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</si>
  <si>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</si>
  <si>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</si>
  <si>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</si>
  <si>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</si>
  <si>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</si>
  <si>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</si>
  <si>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</si>
  <si>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</si>
  <si>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</si>
  <si>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</si>
  <si>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</si>
  <si>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</si>
  <si>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</si>
  <si>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</si>
  <si>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</si>
  <si>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</si>
  <si>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</si>
  <si>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</si>
  <si>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</si>
  <si>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</si>
  <si>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</si>
  <si>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</si>
  <si>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</si>
  <si>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</si>
  <si>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</si>
  <si>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</si>
  <si>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</si>
  <si>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</si>
  <si>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</si>
  <si>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</si>
  <si>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</si>
  <si>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</si>
  <si>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</si>
  <si>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</si>
  <si>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</si>
  <si>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</si>
  <si>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</si>
  <si>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</si>
  <si>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</si>
  <si>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</si>
  <si>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</si>
  <si>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</si>
  <si>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</si>
  <si>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</si>
  <si>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</si>
  <si>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</si>
  <si>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</si>
  <si>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</si>
  <si>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</si>
  <si>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</si>
  <si>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</si>
  <si>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</si>
  <si>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</si>
  <si>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</si>
  <si>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</si>
  <si>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</si>
  <si>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</si>
  <si>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</si>
  <si>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</si>
  <si>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</si>
  <si>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</si>
  <si>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</si>
  <si>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</si>
  <si>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</si>
  <si>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</si>
  <si>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</si>
  <si>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</si>
  <si>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</si>
  <si>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</si>
  <si>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</si>
  <si>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</si>
  <si>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</si>
  <si>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</si>
  <si>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</si>
  <si>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</si>
  <si>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</si>
  <si>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</si>
  <si>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</si>
  <si>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</si>
  <si>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</si>
  <si>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</si>
  <si>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</si>
  <si>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</si>
  <si>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</si>
  <si>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</si>
  <si>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</si>
  <si>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</si>
  <si>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</si>
  <si>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</si>
  <si>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</si>
  <si>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</si>
  <si>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</si>
  <si>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</si>
  <si>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</si>
  <si>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</si>
  <si>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</si>
  <si>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</si>
  <si>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</si>
  <si>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</si>
  <si>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</si>
  <si>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</si>
  <si>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</si>
  <si>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</si>
  <si>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</si>
  <si>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</si>
  <si>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</si>
  <si>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</si>
  <si>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</si>
  <si>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</si>
  <si>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</si>
  <si>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</si>
  <si>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</si>
  <si>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</si>
  <si>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</si>
  <si>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</si>
  <si>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</si>
  <si>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</si>
  <si>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</si>
  <si>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</si>
  <si>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</si>
  <si>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</si>
  <si>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</si>
  <si>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</si>
  <si>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</si>
  <si>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</si>
  <si>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</si>
  <si>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</si>
  <si>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</si>
  <si>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</si>
  <si>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</si>
  <si>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</si>
  <si>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</si>
  <si>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</si>
  <si>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</si>
  <si>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</si>
  <si>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</si>
  <si>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</si>
  <si>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</si>
  <si>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</si>
  <si>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</si>
  <si>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</si>
  <si>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</si>
  <si>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</si>
  <si>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</si>
  <si>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</si>
  <si>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</si>
  <si>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</si>
  <si>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</si>
  <si>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</si>
  <si>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</si>
  <si>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</si>
  <si>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</si>
  <si>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</si>
  <si>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</si>
  <si>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</si>
  <si>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</si>
  <si>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</si>
  <si>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</si>
  <si>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</si>
  <si>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</si>
  <si>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</si>
  <si>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</si>
  <si>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</si>
  <si>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</si>
  <si>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</si>
  <si>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</si>
  <si>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</si>
  <si>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</si>
  <si>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</si>
  <si>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</si>
  <si>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</si>
  <si>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</si>
  <si>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</si>
  <si>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</si>
  <si>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</si>
  <si>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</si>
  <si>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</si>
  <si>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</si>
  <si>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</si>
  <si>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</si>
  <si>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</si>
  <si>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</si>
  <si>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</si>
  <si>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</si>
  <si>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</si>
  <si>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</si>
  <si>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</si>
  <si>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</si>
  <si>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</si>
  <si>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</si>
  <si>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</si>
  <si>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</si>
  <si>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</si>
  <si>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</si>
  <si>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</si>
  <si>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</si>
  <si>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</si>
  <si>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</si>
  <si>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</si>
  <si>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</si>
  <si>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</si>
  <si>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</si>
  <si>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</si>
  <si>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</si>
  <si>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</si>
  <si>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</si>
  <si>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</si>
  <si>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</si>
  <si>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</si>
  <si>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</si>
  <si>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</si>
  <si>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</si>
  <si>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</si>
  <si>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</si>
  <si>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</si>
  <si>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</si>
  <si>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</si>
  <si>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</si>
  <si>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</si>
  <si>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</si>
  <si>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</si>
  <si>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</si>
  <si>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</si>
  <si>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</si>
  <si>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</si>
  <si>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</si>
  <si>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</si>
  <si>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</si>
  <si>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</si>
  <si>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</si>
  <si>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</si>
  <si>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</si>
  <si>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</si>
  <si>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</si>
  <si>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</si>
  <si>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</si>
  <si>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</si>
  <si>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</si>
  <si>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</si>
  <si>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</si>
  <si>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</si>
  <si>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</si>
  <si>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</si>
  <si>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</si>
  <si>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</si>
  <si>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</si>
  <si>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</si>
  <si>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</si>
  <si>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</si>
  <si>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</si>
  <si>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</si>
  <si>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</si>
  <si>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</si>
  <si>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</si>
  <si>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</si>
  <si>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</si>
  <si>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</si>
  <si>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</si>
  <si>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</si>
  <si>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</si>
  <si>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</si>
  <si>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</si>
  <si>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</si>
  <si>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</si>
  <si>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</si>
  <si>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</si>
  <si>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</si>
  <si>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</si>
  <si>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</si>
  <si>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</si>
  <si>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</si>
  <si>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</si>
  <si>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</si>
  <si>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</si>
  <si>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</si>
  <si>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</si>
  <si>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</si>
  <si>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</si>
  <si>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</si>
  <si>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</si>
  <si>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</si>
  <si>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</si>
  <si>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</si>
  <si>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</si>
  <si>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</si>
  <si>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</si>
  <si>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</si>
  <si>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</si>
  <si>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</si>
  <si>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</si>
  <si>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</si>
  <si>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</si>
  <si>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</si>
  <si>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</si>
  <si>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</si>
  <si>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</si>
  <si>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</si>
  <si>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</si>
  <si>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</si>
  <si>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</si>
  <si>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</si>
  <si>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</si>
  <si>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</si>
  <si>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</si>
  <si>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</si>
  <si>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</si>
  <si>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</si>
  <si>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</si>
  <si>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</si>
  <si>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</si>
  <si>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</si>
  <si>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</si>
  <si>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</si>
  <si>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</si>
  <si>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</si>
  <si>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</si>
  <si>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</si>
  <si>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</si>
  <si>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</si>
  <si>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</si>
  <si>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</si>
  <si>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</si>
  <si>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</si>
  <si>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</si>
  <si>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</si>
  <si>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</si>
  <si>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</si>
  <si>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</si>
  <si>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</si>
  <si>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</si>
  <si>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</si>
  <si>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</si>
  <si>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</si>
  <si>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</si>
  <si>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</si>
  <si>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</si>
  <si>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</si>
  <si>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</si>
  <si>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</si>
  <si>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</si>
  <si>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</si>
  <si>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</si>
  <si>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</si>
  <si>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</si>
  <si>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</si>
  <si>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</si>
  <si>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</si>
  <si>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</si>
  <si>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</si>
  <si>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</si>
  <si>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</si>
  <si>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</si>
  <si>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</si>
  <si>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</si>
  <si>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</si>
  <si>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</si>
  <si>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</si>
  <si>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</si>
  <si>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</si>
  <si>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</si>
  <si>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</si>
  <si>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</si>
  <si>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</si>
  <si>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</si>
  <si>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</si>
  <si>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</si>
  <si>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</si>
  <si>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</si>
  <si>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</si>
  <si>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</si>
  <si>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</si>
  <si>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</si>
  <si>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</si>
  <si>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</si>
  <si>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</si>
  <si>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</si>
  <si>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</si>
  <si>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</si>
  <si>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</si>
  <si>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</si>
  <si>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</si>
  <si>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</si>
  <si>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</si>
  <si>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</si>
  <si>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</si>
  <si>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</si>
  <si>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</si>
  <si>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</si>
  <si>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</si>
  <si>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</si>
  <si>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</si>
  <si>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</si>
  <si>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</si>
  <si>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</si>
  <si>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</si>
  <si>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</si>
  <si>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</si>
  <si>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</si>
  <si>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</si>
  <si>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</si>
  <si>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</si>
  <si>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</si>
  <si>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</si>
  <si>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</si>
  <si>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</si>
  <si>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</si>
  <si>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</si>
  <si>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</si>
  <si>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</si>
  <si>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</si>
  <si>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</si>
  <si>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</si>
  <si>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</si>
  <si>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</si>
  <si>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</si>
  <si>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</si>
  <si>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</si>
  <si>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</si>
  <si>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</si>
  <si>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</si>
  <si>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</si>
  <si>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</si>
  <si>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</si>
  <si>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</si>
  <si>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</si>
  <si>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</si>
  <si>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</si>
  <si>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</si>
  <si>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</si>
  <si>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</si>
  <si>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</si>
  <si>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</si>
  <si>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</si>
  <si>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</si>
  <si>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</si>
  <si>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</si>
  <si>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</si>
  <si>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</si>
  <si>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</si>
  <si>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</si>
  <si>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</si>
  <si>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</si>
  <si>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</si>
  <si>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</si>
  <si>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</si>
  <si>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</si>
  <si>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</si>
  <si>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</si>
  <si>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</si>
  <si>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</si>
  <si>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</si>
  <si>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</si>
  <si>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</si>
  <si>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</si>
  <si>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</si>
  <si>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</si>
  <si>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</si>
  <si>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</si>
  <si>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</si>
  <si>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</si>
  <si>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</si>
  <si>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</si>
  <si>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</si>
  <si>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</si>
  <si>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</si>
  <si>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</si>
  <si>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</si>
  <si>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</si>
  <si>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</si>
  <si>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</si>
  <si>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</si>
  <si>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</si>
  <si>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</si>
  <si>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</si>
  <si>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</si>
  <si>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</si>
  <si>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</si>
  <si>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</si>
  <si>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</si>
  <si>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</si>
  <si>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</si>
  <si>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</si>
  <si>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</si>
  <si>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</si>
  <si>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</si>
  <si>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</si>
  <si>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</si>
  <si>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</si>
  <si>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</si>
  <si>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</si>
  <si>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</si>
  <si>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</si>
  <si>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</si>
  <si>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</si>
  <si>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</si>
  <si>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</si>
  <si>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</si>
  <si>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</si>
  <si>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</si>
  <si>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</si>
  <si>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</si>
  <si>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</si>
  <si>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</si>
  <si>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</si>
  <si>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</si>
  <si>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</si>
  <si>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</si>
  <si>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</si>
  <si>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</si>
  <si>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</si>
  <si>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</si>
  <si>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</si>
  <si>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</si>
  <si>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</si>
  <si>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</si>
  <si>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</si>
  <si>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</si>
  <si>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</si>
  <si>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</si>
  <si>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</si>
  <si>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</si>
  <si>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</si>
  <si>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</si>
  <si>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</si>
  <si>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</si>
  <si>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</si>
  <si>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</si>
  <si>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</si>
  <si>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</si>
  <si>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</si>
  <si>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</si>
  <si>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</si>
  <si>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</si>
  <si>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</si>
  <si>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</si>
  <si>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</si>
  <si>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</si>
  <si>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</si>
  <si>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</si>
  <si>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</si>
  <si>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</si>
  <si>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</si>
  <si>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</si>
  <si>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</si>
  <si>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</si>
  <si>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</si>
  <si>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</si>
  <si>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</si>
  <si>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</si>
  <si>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</si>
  <si>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</si>
  <si>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</si>
  <si>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</si>
  <si>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</si>
  <si>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</si>
  <si>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</si>
  <si>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</si>
  <si>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</si>
  <si>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</si>
  <si>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</si>
  <si>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</si>
  <si>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</si>
  <si>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</si>
  <si>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</si>
  <si>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</si>
  <si>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</si>
  <si>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</si>
  <si>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</si>
  <si>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</si>
  <si>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</si>
  <si>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</si>
  <si>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</si>
  <si>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</si>
  <si>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</si>
  <si>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</si>
  <si>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</si>
  <si>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</si>
  <si>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</si>
  <si>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</si>
  <si>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</si>
  <si>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</si>
  <si>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</si>
  <si>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</si>
  <si>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</si>
  <si>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</si>
  <si>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</si>
  <si>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</si>
  <si>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</si>
  <si>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</si>
  <si>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</si>
  <si>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</si>
  <si>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</si>
  <si>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</si>
  <si>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</si>
  <si>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</si>
  <si>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</si>
  <si>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</si>
  <si>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</si>
  <si>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</si>
  <si>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</si>
  <si>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</si>
  <si>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</si>
  <si>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</si>
  <si>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</si>
  <si>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</si>
  <si>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</si>
  <si>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</si>
  <si>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</si>
  <si>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</si>
  <si>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</si>
  <si>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</si>
  <si>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</si>
  <si>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</si>
  <si>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</si>
  <si>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</si>
  <si>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</si>
  <si>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</si>
  <si>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</si>
  <si>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</si>
  <si>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</si>
  <si>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</si>
  <si>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</si>
  <si>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</si>
  <si>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</si>
  <si>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</si>
  <si>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</si>
  <si>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</si>
  <si>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</si>
  <si>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</si>
  <si>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</si>
  <si>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</si>
  <si>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</si>
  <si>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</si>
  <si>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</si>
  <si>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</si>
  <si>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</si>
  <si>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</si>
  <si>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</si>
  <si>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</si>
  <si>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</si>
  <si>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</si>
  <si>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</si>
  <si>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</si>
  <si>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</si>
  <si>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</si>
  <si>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</si>
  <si>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</si>
  <si>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</si>
  <si>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</si>
  <si>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</si>
  <si>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</si>
  <si>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</si>
  <si>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</si>
  <si>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</si>
  <si>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</si>
  <si>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</si>
  <si>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</si>
  <si>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</si>
  <si>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</si>
  <si>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</si>
  <si>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</si>
  <si>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</si>
  <si>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</si>
  <si>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</si>
  <si>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</si>
  <si>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</si>
  <si>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</si>
  <si>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</si>
  <si>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</si>
  <si>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</si>
  <si>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</si>
  <si>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</si>
  <si>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</si>
  <si>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</si>
  <si>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</si>
  <si>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</si>
  <si>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</si>
  <si>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</si>
  <si>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</si>
  <si>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</si>
  <si>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</si>
  <si>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</si>
  <si>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</si>
  <si>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</si>
  <si>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</si>
  <si>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</si>
  <si>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</si>
  <si>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</si>
  <si>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</si>
  <si>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</si>
  <si>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</si>
  <si>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</si>
  <si>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</si>
  <si>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</si>
  <si>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</si>
  <si>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</si>
  <si>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</si>
  <si>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</si>
  <si>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</si>
  <si>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</si>
  <si>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</si>
  <si>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</si>
  <si>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</si>
  <si>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</si>
  <si>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</si>
  <si>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</si>
  <si>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</si>
  <si>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</si>
  <si>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</si>
  <si>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</si>
  <si>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</si>
  <si>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</si>
  <si>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</si>
  <si>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</si>
  <si>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</si>
  <si>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</si>
  <si>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</si>
  <si>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</si>
  <si>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</si>
  <si>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</si>
  <si>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</si>
  <si>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</si>
  <si>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</si>
  <si>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</si>
  <si>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</si>
  <si>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</si>
  <si>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</si>
  <si>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</si>
  <si>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</si>
  <si>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</si>
  <si>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</si>
  <si>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</si>
  <si>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</si>
  <si>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</si>
  <si>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</si>
  <si>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</si>
  <si>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</si>
  <si>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</si>
  <si>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</si>
  <si>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</si>
  <si>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</si>
  <si>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</si>
  <si>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</si>
  <si>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</si>
  <si>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</si>
  <si>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</si>
  <si>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</si>
  <si>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</si>
  <si>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</si>
  <si>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</si>
  <si>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</si>
  <si>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</si>
  <si>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</si>
  <si>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</si>
  <si>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</si>
  <si>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</si>
  <si>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</si>
  <si>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</si>
  <si>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</si>
  <si>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</si>
  <si>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</si>
  <si>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</si>
  <si>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</si>
  <si>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</si>
  <si>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</si>
  <si>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</si>
  <si>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</si>
  <si>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</si>
  <si>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</si>
  <si>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</si>
  <si>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</si>
  <si>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</si>
  <si>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</si>
  <si>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</si>
  <si>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</si>
  <si>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</si>
  <si>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</si>
  <si>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</si>
  <si>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</si>
  <si>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</si>
  <si>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</si>
  <si>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</si>
  <si>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</si>
  <si>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</si>
  <si>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</si>
  <si>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</si>
  <si>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</si>
  <si>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</si>
  <si>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</si>
  <si>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</si>
  <si>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</si>
  <si>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</si>
  <si>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</si>
  <si>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</si>
  <si>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</si>
  <si>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</si>
  <si>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</si>
  <si>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</si>
  <si>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</si>
  <si>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</si>
  <si>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</si>
  <si>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</si>
  <si>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</si>
  <si>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</si>
  <si>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</si>
  <si>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</si>
  <si>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</si>
  <si>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</si>
  <si>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</si>
  <si>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</si>
  <si>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</si>
  <si>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</si>
  <si>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</si>
  <si>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</si>
  <si>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</si>
  <si>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</si>
  <si>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</si>
  <si>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</si>
  <si>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</si>
  <si>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</si>
  <si>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</si>
  <si>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</si>
  <si>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</si>
  <si>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</si>
  <si>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</si>
  <si>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</si>
  <si>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</si>
  <si>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</si>
  <si>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</si>
  <si>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</si>
  <si>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</si>
  <si>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</si>
  <si>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</si>
  <si>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</si>
  <si>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</si>
  <si>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</si>
  <si>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</si>
  <si>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</si>
  <si>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</si>
  <si>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</si>
  <si>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</si>
  <si>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</si>
  <si>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</si>
  <si>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</si>
  <si>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</si>
  <si>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</si>
  <si>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</si>
  <si>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</si>
  <si>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</si>
  <si>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</si>
  <si>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</si>
  <si>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</si>
  <si>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</si>
  <si>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</si>
  <si>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</si>
  <si>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</si>
  <si>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</si>
  <si>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</si>
  <si>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</si>
  <si>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</si>
  <si>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</si>
  <si>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</si>
  <si>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</si>
  <si>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</si>
  <si>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</si>
  <si>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</si>
  <si>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</si>
  <si>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</si>
  <si>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</si>
  <si>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</si>
  <si>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</si>
  <si>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</si>
  <si>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</si>
  <si>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</si>
  <si>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</si>
  <si>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</si>
  <si>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</si>
  <si>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</si>
  <si>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</si>
  <si>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</si>
  <si>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</si>
  <si>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</si>
  <si>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</si>
  <si>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</si>
  <si>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</si>
  <si>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</si>
  <si>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</si>
  <si>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</si>
  <si>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</si>
  <si>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</si>
  <si>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</si>
  <si>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</si>
  <si>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</si>
  <si>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</si>
  <si>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</si>
  <si>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</si>
  <si>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</si>
  <si>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</si>
  <si>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</si>
  <si>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</si>
  <si>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</si>
  <si>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</si>
  <si>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</si>
  <si>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</si>
  <si>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</si>
  <si>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</si>
  <si>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</si>
  <si>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</si>
  <si>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</si>
  <si>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</si>
  <si>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</si>
  <si>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</si>
  <si>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</si>
  <si>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</si>
  <si>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</si>
  <si>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</si>
  <si>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</si>
  <si>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</si>
  <si>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</si>
  <si>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</si>
  <si>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</si>
  <si>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</si>
  <si>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</si>
  <si>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</si>
  <si>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</si>
  <si>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</si>
  <si>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</si>
  <si>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</si>
  <si>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</si>
  <si>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</si>
  <si>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</si>
  <si>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</si>
  <si>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</si>
  <si>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</si>
  <si>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</si>
  <si>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</si>
  <si>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</si>
  <si>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</si>
  <si>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</si>
  <si>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</si>
  <si>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</si>
  <si>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</si>
  <si>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</si>
  <si>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</si>
  <si>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</si>
  <si>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</si>
  <si>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</si>
  <si>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</si>
  <si>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</si>
  <si>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</si>
  <si>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</si>
  <si>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</si>
  <si>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</si>
  <si>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</si>
  <si>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</si>
  <si>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</si>
  <si>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</si>
  <si>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</si>
  <si>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</si>
  <si>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</si>
  <si>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</si>
  <si>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</si>
  <si>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</si>
  <si>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</si>
  <si>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</si>
  <si>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</si>
  <si>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</si>
  <si>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</si>
  <si>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</si>
  <si>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</si>
  <si>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</si>
  <si>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</si>
  <si>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</si>
  <si>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</si>
  <si>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</si>
  <si>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</si>
  <si>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</si>
  <si>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</si>
  <si>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</si>
  <si>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</si>
  <si>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</si>
  <si>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</si>
  <si>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</si>
  <si>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</si>
  <si>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</si>
  <si>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</si>
  <si>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</si>
  <si>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</si>
  <si>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</si>
  <si>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</si>
  <si>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</si>
  <si>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</si>
  <si>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</si>
  <si>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</si>
  <si>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</si>
  <si>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</si>
  <si>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</si>
  <si>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</si>
  <si>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</si>
  <si>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</si>
  <si>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</si>
  <si>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</si>
  <si>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</si>
  <si>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</si>
  <si>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</si>
  <si>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</si>
  <si>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</si>
  <si>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</si>
  <si>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</si>
  <si>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</si>
  <si>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</si>
  <si>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</si>
  <si>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</si>
  <si>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</si>
  <si>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</si>
  <si>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</si>
  <si>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</si>
  <si>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</si>
  <si>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</si>
  <si>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</si>
  <si>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</si>
  <si>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</si>
  <si>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</si>
  <si>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</si>
  <si>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</si>
  <si>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</si>
  <si>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</si>
  <si>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</si>
  <si>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</si>
  <si>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</si>
  <si>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</si>
  <si>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</si>
  <si>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</si>
  <si>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</si>
  <si>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</si>
  <si>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</si>
  <si>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</si>
  <si>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</si>
  <si>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</si>
  <si>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</si>
  <si>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</si>
  <si>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</si>
  <si>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</si>
  <si>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</si>
  <si>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</si>
  <si>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</si>
  <si>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</si>
  <si>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</si>
  <si>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</si>
  <si>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</si>
  <si>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</si>
  <si>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</si>
  <si>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</si>
  <si>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</si>
  <si>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</si>
  <si>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</si>
  <si>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</si>
  <si>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</si>
  <si>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</si>
  <si>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</si>
  <si>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</si>
  <si>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</si>
  <si>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</si>
  <si>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</si>
  <si>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</si>
  <si>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</si>
  <si>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</si>
  <si>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</si>
  <si>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</si>
  <si>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</si>
  <si>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</si>
  <si>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</si>
  <si>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</si>
  <si>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</si>
  <si>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</si>
  <si>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</si>
  <si>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</si>
  <si>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</si>
  <si>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</si>
  <si>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</si>
  <si>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</si>
  <si>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</si>
  <si>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</si>
  <si>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</si>
  <si>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</si>
  <si>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</si>
  <si>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</si>
  <si>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</si>
  <si>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</si>
  <si>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</si>
  <si>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</si>
  <si>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</si>
  <si>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</si>
  <si>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</si>
  <si>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</si>
  <si>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</si>
  <si>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</si>
  <si>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</si>
  <si>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</si>
  <si>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</si>
  <si>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</si>
  <si>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</si>
  <si>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</si>
  <si>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</si>
  <si>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</si>
  <si>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</si>
  <si>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</si>
  <si>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</si>
  <si>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</si>
  <si>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</si>
  <si>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</si>
  <si>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</si>
  <si>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</si>
  <si>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</si>
  <si>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</si>
  <si>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</si>
  <si>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</si>
  <si>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</si>
  <si>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</si>
  <si>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</si>
  <si>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</si>
  <si>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</si>
  <si>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</si>
  <si>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</si>
  <si>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</si>
  <si>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</si>
  <si>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</si>
  <si>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</si>
  <si>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</si>
  <si>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</si>
  <si>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</si>
  <si>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</si>
  <si>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</si>
  <si>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</si>
  <si>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</si>
  <si>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</si>
  <si>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</si>
  <si>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</si>
  <si>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</si>
  <si>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</si>
  <si>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</si>
  <si>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</si>
  <si>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</si>
  <si>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</si>
  <si>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</si>
  <si>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</si>
  <si>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</si>
  <si>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</si>
  <si>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</si>
  <si>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</si>
  <si>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</si>
  <si>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</si>
  <si>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</si>
  <si>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</si>
  <si>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</si>
  <si>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</si>
  <si>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</si>
  <si>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</si>
  <si>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</si>
  <si>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</si>
  <si>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</si>
  <si>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</si>
  <si>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</si>
  <si>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</si>
  <si>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</si>
  <si>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</si>
  <si>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</si>
  <si>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</si>
  <si>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</si>
  <si>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</si>
  <si>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</si>
  <si>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</si>
  <si>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</si>
  <si>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</si>
  <si>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</si>
  <si>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</si>
  <si>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</si>
  <si>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</si>
  <si>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</si>
  <si>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</si>
  <si>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</si>
  <si>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</si>
  <si>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</si>
  <si>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</si>
  <si>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</si>
  <si>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</si>
  <si>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</si>
  <si>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</si>
  <si>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</si>
  <si>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</si>
  <si>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</si>
  <si>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</si>
  <si>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</si>
  <si>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</si>
  <si>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</si>
  <si>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</si>
  <si>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</si>
  <si>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</si>
  <si>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</si>
  <si>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</si>
  <si>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</si>
  <si>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</si>
  <si>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</si>
  <si>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</si>
  <si>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</si>
  <si>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</si>
  <si>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</si>
  <si>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</si>
  <si>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</si>
  <si>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</si>
  <si>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</si>
  <si>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</si>
  <si>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</si>
  <si>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</si>
  <si>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</si>
  <si>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</si>
  <si>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</si>
  <si>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</si>
  <si>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</si>
  <si>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</si>
  <si>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</si>
  <si>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</si>
  <si>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</si>
  <si>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</si>
  <si>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</si>
  <si>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</si>
  <si>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</si>
  <si>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</si>
  <si>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</si>
  <si>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</si>
  <si>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</si>
  <si>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</si>
  <si>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</si>
  <si>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</si>
  <si>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</si>
  <si>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</si>
  <si>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</si>
  <si>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</si>
  <si>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</si>
  <si>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</si>
  <si>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</si>
  <si>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</si>
  <si>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</si>
  <si>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</si>
  <si>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</si>
  <si>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</si>
  <si>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</si>
  <si>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</si>
  <si>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</si>
  <si>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</si>
  <si>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</si>
  <si>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</si>
  <si>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</si>
  <si>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</si>
  <si>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</si>
  <si>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</si>
  <si>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</si>
  <si>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</si>
  <si>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</si>
  <si>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</si>
  <si>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</si>
  <si>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</si>
  <si>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</si>
  <si>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</si>
  <si>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</si>
  <si>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</si>
  <si>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</si>
  <si>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</si>
  <si>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</si>
  <si>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</si>
  <si>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</si>
  <si>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</si>
  <si>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</si>
  <si>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</si>
  <si>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</si>
  <si>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</si>
  <si>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</si>
  <si>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</si>
  <si>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</si>
  <si>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</si>
  <si>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</si>
  <si>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</si>
  <si>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</si>
  <si>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</si>
  <si>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</si>
  <si>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</si>
  <si>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</si>
  <si>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</si>
  <si>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</si>
  <si>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</si>
  <si>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</si>
  <si>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</si>
  <si>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</si>
  <si>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</si>
  <si>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</si>
  <si>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</si>
  <si>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</si>
  <si>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</si>
  <si>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</si>
  <si>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</si>
  <si>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</si>
  <si>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</si>
  <si>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</si>
  <si>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</si>
  <si>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</si>
  <si>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</si>
  <si>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</si>
  <si>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</si>
  <si>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</si>
  <si>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</si>
  <si>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</si>
  <si>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</si>
  <si>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</si>
  <si>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</si>
  <si>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</si>
  <si>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</si>
  <si>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</si>
  <si>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</si>
  <si>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</si>
  <si>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</si>
  <si>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</si>
  <si>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</si>
  <si>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</si>
  <si>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</si>
  <si>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</si>
  <si>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</si>
  <si>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</si>
  <si>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</si>
  <si>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</si>
  <si>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</si>
  <si>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</si>
  <si>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</si>
  <si>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</si>
  <si>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</si>
  <si>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</si>
  <si>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</si>
  <si>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</si>
  <si>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</si>
  <si>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</si>
  <si>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</si>
  <si>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</si>
  <si>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</si>
  <si>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</si>
  <si>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</si>
  <si>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</si>
  <si>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</si>
  <si>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</si>
  <si>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</si>
  <si>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</si>
  <si>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</si>
  <si>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</si>
  <si>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</si>
  <si>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</si>
  <si>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</si>
  <si>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</si>
  <si>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</si>
  <si>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</si>
  <si>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</si>
  <si>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</si>
  <si>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</si>
  <si>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</si>
  <si>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</si>
  <si>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</si>
  <si>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</si>
  <si>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</si>
  <si>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</si>
  <si>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</si>
  <si>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</si>
  <si>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</si>
  <si>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</si>
  <si>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</si>
  <si>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</si>
  <si>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</si>
  <si>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</si>
  <si>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</si>
  <si>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</si>
  <si>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</si>
  <si>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</si>
  <si>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</si>
  <si>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</si>
  <si>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</si>
  <si>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</si>
  <si>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</si>
  <si>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</si>
  <si>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</si>
  <si>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</si>
  <si>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</si>
  <si>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</si>
  <si>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</si>
  <si>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</si>
  <si>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</si>
  <si>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</si>
  <si>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</si>
  <si>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</si>
  <si>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</si>
  <si>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</si>
  <si>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</si>
  <si>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</si>
  <si>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</si>
  <si>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</si>
  <si>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</si>
  <si>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</si>
  <si>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</si>
  <si>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</si>
  <si>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</si>
  <si>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</si>
  <si>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</si>
  <si>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</si>
  <si>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</si>
  <si>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</si>
  <si>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</si>
  <si>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</si>
  <si>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</si>
  <si>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</si>
  <si>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</si>
  <si>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</si>
  <si>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</si>
  <si>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</si>
  <si>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</si>
  <si>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</si>
  <si>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</si>
  <si>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</si>
  <si>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</si>
  <si>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</si>
  <si>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</si>
  <si>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</si>
  <si>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</si>
  <si>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</si>
  <si>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</si>
  <si>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</si>
  <si>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</si>
  <si>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</si>
  <si>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</si>
  <si>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</si>
  <si>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</si>
  <si>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</si>
  <si>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</si>
  <si>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</si>
  <si>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</si>
  <si>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</si>
  <si>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</si>
  <si>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</si>
  <si>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</si>
  <si>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</si>
  <si>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</si>
  <si>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</si>
  <si>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</si>
  <si>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</si>
  <si>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</si>
  <si>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</si>
  <si>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</si>
  <si>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</si>
  <si>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</si>
  <si>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</si>
  <si>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</si>
  <si>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</si>
  <si>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</si>
  <si>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</si>
  <si>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</si>
  <si>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</si>
  <si>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</si>
  <si>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</si>
  <si>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</si>
  <si>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</si>
  <si>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</si>
  <si>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</si>
  <si>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</si>
  <si>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</si>
  <si>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</si>
  <si>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</si>
  <si>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</si>
  <si>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</si>
  <si>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</si>
  <si>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</si>
  <si>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</si>
  <si>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</si>
  <si>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</si>
  <si>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</si>
  <si>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</si>
  <si>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</si>
  <si>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</si>
  <si>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</si>
  <si>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</si>
  <si>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</si>
  <si>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</si>
  <si>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</si>
  <si>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</si>
  <si>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</si>
  <si>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</si>
  <si>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</si>
  <si>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</si>
  <si>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</si>
  <si>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</si>
  <si>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</si>
  <si>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</si>
  <si>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</si>
  <si>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</si>
  <si>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</si>
  <si>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</si>
  <si>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</si>
  <si>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</si>
  <si>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</si>
  <si>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</si>
  <si>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</si>
  <si>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</si>
  <si>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</si>
  <si>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</si>
  <si>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</si>
  <si>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</si>
  <si>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</si>
  <si>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</si>
  <si>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</si>
  <si>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</si>
  <si>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</si>
  <si>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</si>
  <si>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</si>
  <si>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</si>
  <si>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</si>
  <si>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</si>
  <si>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</si>
  <si>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</si>
  <si>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</si>
  <si>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</si>
  <si>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</si>
  <si>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</si>
  <si>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</si>
  <si>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</si>
  <si>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</si>
  <si>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</si>
  <si>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</si>
  <si>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</si>
  <si>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</si>
  <si>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</si>
  <si>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</si>
  <si>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</si>
  <si>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</si>
  <si>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</si>
  <si>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</si>
  <si>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</si>
  <si>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</si>
  <si>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</si>
  <si>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</si>
  <si>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</si>
  <si>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</si>
  <si>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</si>
  <si>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</si>
  <si>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</si>
  <si>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</si>
  <si>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</si>
  <si>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</si>
  <si>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</si>
  <si>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</si>
  <si>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</si>
  <si>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</si>
  <si>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</si>
  <si>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</si>
  <si>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</si>
  <si>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</si>
  <si>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</si>
  <si>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</si>
  <si>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</si>
  <si>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</si>
  <si>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</si>
  <si>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</si>
  <si>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</si>
  <si>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</si>
  <si>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</si>
  <si>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</si>
  <si>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</si>
  <si>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</si>
  <si>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</si>
  <si>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</si>
  <si>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</si>
  <si>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</si>
  <si>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</si>
  <si>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</si>
  <si>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</si>
  <si>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</si>
  <si>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</si>
  <si>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</si>
  <si>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</si>
  <si>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</si>
  <si>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</si>
  <si>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</si>
  <si>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</si>
  <si>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</si>
  <si>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</si>
  <si>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</si>
  <si>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</si>
  <si>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</si>
  <si>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</si>
  <si>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</si>
  <si>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</si>
  <si>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</si>
  <si>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</si>
  <si>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</si>
  <si>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</si>
  <si>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</si>
  <si>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</si>
  <si>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</si>
  <si>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</si>
  <si>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</si>
  <si>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</si>
  <si>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</si>
  <si>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</si>
  <si>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</si>
  <si>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</si>
  <si>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</si>
  <si>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</si>
  <si>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</si>
  <si>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</si>
  <si>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</si>
  <si>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</si>
  <si>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</si>
  <si>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</si>
  <si>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</si>
  <si>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</si>
  <si>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</si>
  <si>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</si>
  <si>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</si>
  <si>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</si>
  <si>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</si>
  <si>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</si>
  <si>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</si>
  <si>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</si>
  <si>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</si>
  <si>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</si>
  <si>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</si>
  <si>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</si>
  <si>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</si>
  <si>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</si>
  <si>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</si>
  <si>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</si>
  <si>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</si>
  <si>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</si>
  <si>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</si>
  <si>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</si>
  <si>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</si>
  <si>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</si>
  <si>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</si>
  <si>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</si>
  <si>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</si>
  <si>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</si>
  <si>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</si>
  <si>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</si>
  <si>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</si>
  <si>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</si>
  <si>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</si>
  <si>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</si>
  <si>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</si>
  <si>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</si>
  <si>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</si>
  <si>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</si>
  <si>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</si>
  <si>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</si>
  <si>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</si>
  <si>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</si>
  <si>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</si>
  <si>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</si>
  <si>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</si>
  <si>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</si>
  <si>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</si>
  <si>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</si>
  <si>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</si>
  <si>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</si>
  <si>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</si>
  <si>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</si>
  <si>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</si>
  <si>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</si>
  <si>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</si>
  <si>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</si>
  <si>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</si>
  <si>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</si>
  <si>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</si>
  <si>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</si>
  <si>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</si>
  <si>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</si>
  <si>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</si>
  <si>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</si>
  <si>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</si>
  <si>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</si>
  <si>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</si>
  <si>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</si>
  <si>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</si>
  <si>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</si>
  <si>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</si>
  <si>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</si>
  <si>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</si>
  <si>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</si>
  <si>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</si>
  <si>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</si>
  <si>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</si>
  <si>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</si>
  <si>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</si>
  <si>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</si>
  <si>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</si>
  <si>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</si>
  <si>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</si>
  <si>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</si>
  <si>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</si>
  <si>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</si>
  <si>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</si>
  <si>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</si>
  <si>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</si>
  <si>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</si>
  <si>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</si>
  <si>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</si>
  <si>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</si>
  <si>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</si>
  <si>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</si>
  <si>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</si>
  <si>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</si>
  <si>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</si>
  <si>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</si>
  <si>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</si>
  <si>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</si>
  <si>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</si>
  <si>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</si>
  <si>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</si>
  <si>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</si>
  <si>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</si>
  <si>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</si>
  <si>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</si>
  <si>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</si>
  <si>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</si>
  <si>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</si>
  <si>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</si>
  <si>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</si>
  <si>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</si>
  <si>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</si>
  <si>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</si>
  <si>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</si>
  <si>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</si>
  <si>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</si>
  <si>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</si>
  <si>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</si>
  <si>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</si>
  <si>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</si>
  <si>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</si>
  <si>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</si>
  <si>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</si>
  <si>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</si>
  <si>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</si>
  <si>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</si>
  <si>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</si>
  <si>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</si>
  <si>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</si>
  <si>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</si>
  <si>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</si>
  <si>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</si>
  <si>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</si>
  <si>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</si>
  <si>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</si>
  <si>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</si>
  <si>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</si>
  <si>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</si>
  <si>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</si>
  <si>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</si>
  <si>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</si>
  <si>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</si>
  <si>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</si>
  <si>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</si>
  <si>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</si>
  <si>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</si>
  <si>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</si>
  <si>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</si>
  <si>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</si>
  <si>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</si>
  <si>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</si>
  <si>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</si>
  <si>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</si>
  <si>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</si>
  <si>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</si>
  <si>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</si>
  <si>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</si>
  <si>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</si>
  <si>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</si>
  <si>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</si>
  <si>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</si>
  <si>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</si>
  <si>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</si>
  <si>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</si>
  <si>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</si>
  <si>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</si>
  <si>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</si>
  <si>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</si>
  <si>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</si>
  <si>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</si>
  <si>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</si>
  <si>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</si>
  <si>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</si>
  <si>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</si>
  <si>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</si>
  <si>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</si>
  <si>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</si>
  <si>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</si>
  <si>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</si>
  <si>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</si>
  <si>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</si>
  <si>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</si>
  <si>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</si>
  <si>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</si>
  <si>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</si>
  <si>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</si>
  <si>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</si>
  <si>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</si>
  <si>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</si>
  <si>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</si>
  <si>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</si>
  <si>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</si>
  <si>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</si>
  <si>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</si>
  <si>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</si>
  <si>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</si>
  <si>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</si>
  <si>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</si>
  <si>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</si>
  <si>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</si>
  <si>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</si>
  <si>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</si>
  <si>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</si>
  <si>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</si>
  <si>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</si>
  <si>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</si>
  <si>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</si>
  <si>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</si>
  <si>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</si>
  <si>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</si>
  <si>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</si>
  <si>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</si>
  <si>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</si>
  <si>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</si>
  <si>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</si>
  <si>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</si>
  <si>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</si>
  <si>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</si>
  <si>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</si>
  <si>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</si>
  <si>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</si>
  <si>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</si>
  <si>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</si>
  <si>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</si>
  <si>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</si>
  <si>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</si>
  <si>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</si>
  <si>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</si>
  <si>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</si>
  <si>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</si>
  <si>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</si>
  <si>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</si>
  <si>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</si>
  <si>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</si>
  <si>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</si>
  <si>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</si>
  <si>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</si>
  <si>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</si>
  <si>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</si>
  <si>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</si>
  <si>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</si>
  <si>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</si>
  <si>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</si>
  <si>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</si>
  <si>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</si>
  <si>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</si>
  <si>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</si>
  <si>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</si>
  <si>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</si>
  <si>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</si>
  <si>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</si>
  <si>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</si>
  <si>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</si>
  <si>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</si>
  <si>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</si>
  <si>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</si>
  <si>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</si>
  <si>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</si>
  <si>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</si>
  <si>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</si>
  <si>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</si>
  <si>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</si>
  <si>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</si>
  <si>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</si>
  <si>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</si>
  <si>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</si>
  <si>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</si>
  <si>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</si>
  <si>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</si>
  <si>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</si>
  <si>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</si>
  <si>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</si>
  <si>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</si>
  <si>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</si>
  <si>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</si>
  <si>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</si>
  <si>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</si>
  <si>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</si>
  <si>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</si>
  <si>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</si>
  <si>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</si>
  <si>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</si>
  <si>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</si>
  <si>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</si>
  <si>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</si>
  <si>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</si>
  <si>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</si>
  <si>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</si>
  <si>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</si>
  <si>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</si>
  <si>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</si>
  <si>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</si>
  <si>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</si>
  <si>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</si>
  <si>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</si>
  <si>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</si>
  <si>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</si>
  <si>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</si>
  <si>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</si>
  <si>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</si>
  <si>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</si>
  <si>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</si>
  <si>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</si>
  <si>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</si>
  <si>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</si>
  <si>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</si>
  <si>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</si>
  <si>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</si>
  <si>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</si>
  <si>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</si>
  <si>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</si>
  <si>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</si>
  <si>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</si>
  <si>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</si>
  <si>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</si>
  <si>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</si>
  <si>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</si>
  <si>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</si>
  <si>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</si>
  <si>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</si>
  <si>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</si>
  <si>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</si>
  <si>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</si>
  <si>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</si>
  <si>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</si>
  <si>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</si>
  <si>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</si>
  <si>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</si>
  <si>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</si>
  <si>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</si>
  <si>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</si>
  <si>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</si>
  <si>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</si>
  <si>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</si>
  <si>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</si>
  <si>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</si>
  <si>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</si>
  <si>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</si>
  <si>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</si>
  <si>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</si>
  <si>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</si>
  <si>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</si>
  <si>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</si>
  <si>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</si>
  <si>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</si>
  <si>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</si>
  <si>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</si>
  <si>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</si>
  <si>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</si>
  <si>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</si>
  <si>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</si>
  <si>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</si>
  <si>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</si>
  <si>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</si>
  <si>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</si>
  <si>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</si>
  <si>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</si>
  <si>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</si>
  <si>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</si>
  <si>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</si>
  <si>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</si>
  <si>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</si>
  <si>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</si>
  <si>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</si>
  <si>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</si>
  <si>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</si>
  <si>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</si>
  <si>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</si>
  <si>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</si>
  <si>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</si>
  <si>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</si>
  <si>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</si>
  <si>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</si>
  <si>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</si>
  <si>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</si>
  <si>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</si>
  <si>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</si>
  <si>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</si>
  <si>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</si>
  <si>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</si>
  <si>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</si>
  <si>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</si>
  <si>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</si>
  <si>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</si>
  <si>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</si>
  <si>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</si>
  <si>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</si>
  <si>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</si>
  <si>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</si>
  <si>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</si>
  <si>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</si>
  <si>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</si>
  <si>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</si>
  <si>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</si>
  <si>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</si>
  <si>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</si>
  <si>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</si>
  <si>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</si>
  <si>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</si>
  <si>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</si>
  <si>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</si>
  <si>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</si>
  <si>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</si>
  <si>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</si>
  <si>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</si>
  <si>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</si>
  <si>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</si>
  <si>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</si>
  <si>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</si>
  <si>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</si>
  <si>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</si>
  <si>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</si>
  <si>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</si>
  <si>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</si>
  <si>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</si>
  <si>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</si>
  <si>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</si>
  <si>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</si>
  <si>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</si>
  <si>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</si>
  <si>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</si>
  <si>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</si>
  <si>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</si>
  <si>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</si>
  <si>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</si>
  <si>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</si>
  <si>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</si>
  <si>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</si>
  <si>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</si>
  <si>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</si>
  <si>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</si>
  <si>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</si>
  <si>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</si>
  <si>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</si>
  <si>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</si>
  <si>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</si>
  <si>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</si>
  <si>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</si>
  <si>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</si>
  <si>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</si>
  <si>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</si>
  <si>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</si>
  <si>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</si>
  <si>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</si>
  <si>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</si>
  <si>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</si>
  <si>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</si>
  <si>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</si>
  <si>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</si>
  <si>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</si>
  <si>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</si>
  <si>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</si>
  <si>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</si>
  <si>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</si>
  <si>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</si>
  <si>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</si>
  <si>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</si>
  <si>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</si>
  <si>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</si>
  <si>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</si>
  <si>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</si>
  <si>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</si>
  <si>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</si>
  <si>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</si>
  <si>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</si>
  <si>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</si>
  <si>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</si>
  <si>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</si>
  <si>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</si>
  <si>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</si>
  <si>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</si>
  <si>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</si>
  <si>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</si>
  <si>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</si>
  <si>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</si>
  <si>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</si>
  <si>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</si>
  <si>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</si>
  <si>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</si>
  <si>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</si>
  <si>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</si>
  <si>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</si>
  <si>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</si>
  <si>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</si>
  <si>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</si>
  <si>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</si>
  <si>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</si>
  <si>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</si>
  <si>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</si>
  <si>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</si>
  <si>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</si>
  <si>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</si>
  <si>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</si>
  <si>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</si>
  <si>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</si>
  <si>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</si>
  <si>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</si>
  <si>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</si>
  <si>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</si>
  <si>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</si>
  <si>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</si>
  <si>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</si>
  <si>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</si>
  <si>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</si>
  <si>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</si>
  <si>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</si>
  <si>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</si>
  <si>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</si>
  <si>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</si>
  <si>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</si>
  <si>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</si>
  <si>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</si>
  <si>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</si>
  <si>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</si>
  <si>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</si>
  <si>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</si>
  <si>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</si>
  <si>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</si>
  <si>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</si>
  <si>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</si>
  <si>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</si>
  <si>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</si>
  <si>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</si>
  <si>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</si>
  <si>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</si>
  <si>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</si>
  <si>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</si>
  <si>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</si>
  <si>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</si>
  <si>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</si>
  <si>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</si>
  <si>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</si>
  <si>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</si>
  <si>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</si>
  <si>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</si>
  <si>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</si>
  <si>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</si>
  <si>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</si>
  <si>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</si>
  <si>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</si>
  <si>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</si>
  <si>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</si>
  <si>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</si>
  <si>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</si>
  <si>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</si>
  <si>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</si>
  <si>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</si>
  <si>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</si>
  <si>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</si>
  <si>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</si>
  <si>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</si>
  <si>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</si>
  <si>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</si>
  <si>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</si>
  <si>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</si>
  <si>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</si>
  <si>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</si>
  <si>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</si>
  <si>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</si>
  <si>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</si>
  <si>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</si>
  <si>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</si>
  <si>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</si>
  <si>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</si>
  <si>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</si>
  <si>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</si>
  <si>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</si>
  <si>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</si>
  <si>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</si>
  <si>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</si>
  <si>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</si>
  <si>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</si>
  <si>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</si>
  <si>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</si>
  <si>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</si>
  <si>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</si>
  <si>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</si>
  <si>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</si>
  <si>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</si>
  <si>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</si>
  <si>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</si>
  <si>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</si>
  <si>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</si>
  <si>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</si>
  <si>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</si>
  <si>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</si>
  <si>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</si>
  <si>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</si>
  <si>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</si>
  <si>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</si>
  <si>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</si>
  <si>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</si>
  <si>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</si>
  <si>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</si>
  <si>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</si>
  <si>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</si>
  <si>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</si>
  <si>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</si>
  <si>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</si>
  <si>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</si>
  <si>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</si>
  <si>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</si>
  <si>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</si>
  <si>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</si>
  <si>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</si>
  <si>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</si>
  <si>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</si>
  <si>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</si>
  <si>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</si>
  <si>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</si>
  <si>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</si>
  <si>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</si>
  <si>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</si>
  <si>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</si>
  <si>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</si>
  <si>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</si>
  <si>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</si>
  <si>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</si>
  <si>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</si>
  <si>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</si>
  <si>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</si>
  <si>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</si>
  <si>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</si>
  <si>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</si>
  <si>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</si>
  <si>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</si>
  <si>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</si>
  <si>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</si>
  <si>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</si>
  <si>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</si>
  <si>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</si>
  <si>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</si>
  <si>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</si>
  <si>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</si>
  <si>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</si>
  <si>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</si>
  <si>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</si>
  <si>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</si>
  <si>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</si>
  <si>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</si>
  <si>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</si>
  <si>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</si>
  <si>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</si>
  <si>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</si>
  <si>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</si>
  <si>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</si>
  <si>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</si>
  <si>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</si>
  <si>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</si>
  <si>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</si>
  <si>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</si>
  <si>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</si>
  <si>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</si>
  <si>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</si>
  <si>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</si>
  <si>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</si>
  <si>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</si>
  <si>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</si>
  <si>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</si>
  <si>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</si>
  <si>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</si>
  <si>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</si>
  <si>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</si>
  <si>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</si>
  <si>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</si>
  <si>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</si>
  <si>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</si>
  <si>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</si>
  <si>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</si>
  <si>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</si>
  <si>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</si>
  <si>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</si>
  <si>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</si>
  <si>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</si>
  <si>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</si>
  <si>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</si>
  <si>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</si>
  <si>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</si>
  <si>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</si>
  <si>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</si>
  <si>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</si>
  <si>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</si>
  <si>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</si>
  <si>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</si>
  <si>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</si>
  <si>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</si>
  <si>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</si>
  <si>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</si>
  <si>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</si>
  <si>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</si>
  <si>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</si>
  <si>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</si>
  <si>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</si>
  <si>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</si>
  <si>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</si>
  <si>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</si>
  <si>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</si>
  <si>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</si>
  <si>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</si>
  <si>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</si>
  <si>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</si>
  <si>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</si>
  <si>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</si>
  <si>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</si>
  <si>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</si>
  <si>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</si>
  <si>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</si>
  <si>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</si>
  <si>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</si>
  <si>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</si>
  <si>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</si>
  <si>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</si>
  <si>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</si>
  <si>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</si>
  <si>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</si>
  <si>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</si>
  <si>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</si>
  <si>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</si>
  <si>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</si>
  <si>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</si>
  <si>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</si>
  <si>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</si>
  <si>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</si>
  <si>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</si>
  <si>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</si>
  <si>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</si>
  <si>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</si>
  <si>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</si>
  <si>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</si>
  <si>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</si>
  <si>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</si>
  <si>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</si>
  <si>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</si>
  <si>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</si>
  <si>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</si>
  <si>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</si>
  <si>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</si>
  <si>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</si>
  <si>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</si>
  <si>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</si>
  <si>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</si>
  <si>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</si>
  <si>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</si>
  <si>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</si>
  <si>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</si>
  <si>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</si>
  <si>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</si>
  <si>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</si>
  <si>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</si>
  <si>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</si>
  <si>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</si>
  <si>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</si>
  <si>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</si>
  <si>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</si>
  <si>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</si>
  <si>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</si>
  <si>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</si>
  <si>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</si>
  <si>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</si>
  <si>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</si>
  <si>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</si>
  <si>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</si>
  <si>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</si>
  <si>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</si>
  <si>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</si>
  <si>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</si>
  <si>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</si>
  <si>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</si>
  <si>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</si>
  <si>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</si>
  <si>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</si>
  <si>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</si>
  <si>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</si>
  <si>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</si>
  <si>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</si>
  <si>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</si>
  <si>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</si>
  <si>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</si>
  <si>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</si>
  <si>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</si>
  <si>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</si>
  <si>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</si>
  <si>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</si>
  <si>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</si>
  <si>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</si>
  <si>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</si>
  <si>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</si>
  <si>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</si>
  <si>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</si>
  <si>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</si>
  <si>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</si>
  <si>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</si>
  <si>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</si>
  <si>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</si>
  <si>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</si>
  <si>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</si>
  <si>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</si>
  <si>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</si>
  <si>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</si>
  <si>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</si>
  <si>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</si>
  <si>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</si>
  <si>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</si>
  <si>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</si>
  <si>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</si>
  <si>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</si>
  <si>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</si>
  <si>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</si>
  <si>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</si>
  <si>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</si>
  <si>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</si>
  <si>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</si>
  <si>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</si>
  <si>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</si>
  <si>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</si>
  <si>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</si>
  <si>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</si>
  <si>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</si>
  <si>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</si>
  <si>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</si>
  <si>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</si>
  <si>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</si>
  <si>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</si>
  <si>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</si>
  <si>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</si>
  <si>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</si>
  <si>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</si>
  <si>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</si>
  <si>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</si>
  <si>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</si>
  <si>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</si>
  <si>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</si>
  <si>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</si>
  <si>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</si>
  <si>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</si>
  <si>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</si>
  <si>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</si>
  <si>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</si>
  <si>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</si>
  <si>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</si>
  <si>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</si>
  <si>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</si>
  <si>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</si>
  <si>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</si>
  <si>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</si>
  <si>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</si>
  <si>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</si>
  <si>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</si>
  <si>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</si>
  <si>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</si>
  <si>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</si>
  <si>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</si>
  <si>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</si>
  <si>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</si>
  <si>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</si>
  <si>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</si>
  <si>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</si>
  <si>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</si>
  <si>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</si>
  <si>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</si>
  <si>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</si>
  <si>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</si>
  <si>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</si>
  <si>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</si>
  <si>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</si>
  <si>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</si>
  <si>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</si>
  <si>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</si>
  <si>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</si>
  <si>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</si>
  <si>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</si>
  <si>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</si>
  <si>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</si>
  <si>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</si>
  <si>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</si>
  <si>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</si>
  <si>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</si>
  <si>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</si>
  <si>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</si>
  <si>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</si>
  <si>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</si>
  <si>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</si>
  <si>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</si>
  <si>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</si>
  <si>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</si>
  <si>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</si>
  <si>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</si>
  <si>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</si>
  <si>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</si>
  <si>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</si>
  <si>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</si>
  <si>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</si>
  <si>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</si>
  <si>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</si>
  <si>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</si>
  <si>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</si>
  <si>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</si>
  <si>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</si>
  <si>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</si>
  <si>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</si>
  <si>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</si>
  <si>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</si>
  <si>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</si>
  <si>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</si>
  <si>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</si>
  <si>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</si>
  <si>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</si>
  <si>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</si>
  <si>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</si>
  <si>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</si>
  <si>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</si>
  <si>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</si>
  <si>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</si>
  <si>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</si>
  <si>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</si>
  <si>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</si>
  <si>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</si>
  <si>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</si>
  <si>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</si>
  <si>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</si>
  <si>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</si>
  <si>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</si>
  <si>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</si>
  <si>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</si>
  <si>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</si>
  <si>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</si>
  <si>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</si>
  <si>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</si>
  <si>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</si>
  <si>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</si>
  <si>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</si>
  <si>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</si>
  <si>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</si>
  <si>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</si>
  <si>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</si>
  <si>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</si>
  <si>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</si>
  <si>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</si>
  <si>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</si>
  <si>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</si>
  <si>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</si>
  <si>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</si>
  <si>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</si>
  <si>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</si>
  <si>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</si>
  <si>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</si>
  <si>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</si>
  <si>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</si>
  <si>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</si>
  <si>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</si>
  <si>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</si>
  <si>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</si>
  <si>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</si>
  <si>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</si>
  <si>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</si>
  <si>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</si>
  <si>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</si>
  <si>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</si>
  <si>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</si>
  <si>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</si>
  <si>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</si>
  <si>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</si>
  <si>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</si>
  <si>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</si>
  <si>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</si>
  <si>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</si>
  <si>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</si>
  <si>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</si>
  <si>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</si>
  <si>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</si>
  <si>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</si>
  <si>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</si>
  <si>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</si>
  <si>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</si>
  <si>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</si>
  <si>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</si>
  <si>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</si>
  <si>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</si>
  <si>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</si>
  <si>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</si>
  <si>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</si>
  <si>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</si>
  <si>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</si>
  <si>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</si>
  <si>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</si>
  <si>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</si>
  <si>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</si>
  <si>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</si>
  <si>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</si>
  <si>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</si>
  <si>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</si>
  <si>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</si>
  <si>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</si>
  <si>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</si>
  <si>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</si>
  <si>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</si>
  <si>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</si>
  <si>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</si>
  <si>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</si>
  <si>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</si>
  <si>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</si>
  <si>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</si>
  <si>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</si>
  <si>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</si>
  <si>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</si>
  <si>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</si>
  <si>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</si>
  <si>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</si>
  <si>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</si>
  <si>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</si>
  <si>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</si>
  <si>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</si>
  <si>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</si>
  <si>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</si>
  <si>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</si>
  <si>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</si>
  <si>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</si>
  <si>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</si>
  <si>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</si>
  <si>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</si>
  <si>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</si>
  <si>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</si>
  <si>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</si>
  <si>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</si>
  <si>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</si>
  <si>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</si>
  <si>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</si>
  <si>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</si>
  <si>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</si>
  <si>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</si>
  <si>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</si>
  <si>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</si>
  <si>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</si>
  <si>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</si>
  <si>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</si>
  <si>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</si>
  <si>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</si>
  <si>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</si>
  <si>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</si>
  <si>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</si>
  <si>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</si>
  <si>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</si>
  <si>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</si>
  <si>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</si>
  <si>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</si>
  <si>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</si>
  <si>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</si>
  <si>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</si>
  <si>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</si>
  <si>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</si>
  <si>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</si>
  <si>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</si>
  <si>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</si>
  <si>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</si>
  <si>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</si>
  <si>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</si>
  <si>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</si>
  <si>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</si>
  <si>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</si>
  <si>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</si>
  <si>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</si>
  <si>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</si>
  <si>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</si>
  <si>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</si>
  <si>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</si>
  <si>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</si>
  <si>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</si>
  <si>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</si>
  <si>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</si>
  <si>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</si>
  <si>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</si>
  <si>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</si>
  <si>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</si>
  <si>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</si>
  <si>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</si>
  <si>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</si>
  <si>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</si>
  <si>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</si>
  <si>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</si>
  <si>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</si>
  <si>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</si>
  <si>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</si>
  <si>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</si>
  <si>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</si>
  <si>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</si>
  <si>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</si>
  <si>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</si>
  <si>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</si>
  <si>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</si>
  <si>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</si>
  <si>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</si>
  <si>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</si>
  <si>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</si>
  <si>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</si>
  <si>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</si>
  <si>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</si>
  <si>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</si>
  <si>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</si>
  <si>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</si>
  <si>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</si>
  <si>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</si>
  <si>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</si>
  <si>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</si>
  <si>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</si>
  <si>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</si>
  <si>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</si>
  <si>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</si>
  <si>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</si>
  <si>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</si>
  <si>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</si>
  <si>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</si>
  <si>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</si>
  <si>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</si>
  <si>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</si>
  <si>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</si>
  <si>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</si>
  <si>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</si>
  <si>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</si>
  <si>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</si>
  <si>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</si>
  <si>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</si>
  <si>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</si>
  <si>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</si>
  <si>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</si>
  <si>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</si>
  <si>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</si>
  <si>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</si>
  <si>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</si>
  <si>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</si>
  <si>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</si>
  <si>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</si>
  <si>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</si>
  <si>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</si>
  <si>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</si>
  <si>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</si>
  <si>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</si>
  <si>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</si>
  <si>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</si>
  <si>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</si>
  <si>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</si>
  <si>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</si>
  <si>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</si>
  <si>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</si>
  <si>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</si>
  <si>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</si>
  <si>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</si>
  <si>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</si>
  <si>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</si>
  <si>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</si>
  <si>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</si>
  <si>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</si>
  <si>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</si>
  <si>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</si>
  <si>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</si>
  <si>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</si>
  <si>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</si>
  <si>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</si>
  <si>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</si>
  <si>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</si>
  <si>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</si>
  <si>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</si>
  <si>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</si>
  <si>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</si>
  <si>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</si>
  <si>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</si>
  <si>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</si>
  <si>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</si>
  <si>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</si>
  <si>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</si>
  <si>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</si>
  <si>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</si>
  <si>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</si>
  <si>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</si>
  <si>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</si>
  <si>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</si>
  <si>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</si>
  <si>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</si>
  <si>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</si>
  <si>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</si>
  <si>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</si>
  <si>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</si>
  <si>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</si>
  <si>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</si>
  <si>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</si>
  <si>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</si>
  <si>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</si>
  <si>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</si>
  <si>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</si>
  <si>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</si>
  <si>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</si>
  <si>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</si>
  <si>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</si>
  <si>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</si>
  <si>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</si>
  <si>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</si>
  <si>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</si>
  <si>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</si>
  <si>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</si>
  <si>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</si>
  <si>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</si>
  <si>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</si>
  <si>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</si>
  <si>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</si>
  <si>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</si>
  <si>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</si>
  <si>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</si>
  <si>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</si>
  <si>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</si>
  <si>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</si>
  <si>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</si>
  <si>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</si>
  <si>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</si>
  <si>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</si>
  <si>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</si>
  <si>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</si>
  <si>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</si>
  <si>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</si>
  <si>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</si>
  <si>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</si>
  <si>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</si>
  <si>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</si>
  <si>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</si>
  <si>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</si>
  <si>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</si>
  <si>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</si>
  <si>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</si>
  <si>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</si>
  <si>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</si>
  <si>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</si>
  <si>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</si>
  <si>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</si>
  <si>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</si>
  <si>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</si>
  <si>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</si>
  <si>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</si>
  <si>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</si>
  <si>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</si>
  <si>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</si>
  <si>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</si>
  <si>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</si>
  <si>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</si>
  <si>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</si>
  <si>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</si>
  <si>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</si>
  <si>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</si>
  <si>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</si>
  <si>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</si>
  <si>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</si>
  <si>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</si>
  <si>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</si>
  <si>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</si>
  <si>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</si>
  <si>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</si>
  <si>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</si>
  <si>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</si>
  <si>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</si>
  <si>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</si>
  <si>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</si>
  <si>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</si>
  <si>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</si>
  <si>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</si>
  <si>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</si>
  <si>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</si>
  <si>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</si>
  <si>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</si>
  <si>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</si>
  <si>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</si>
  <si>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</si>
  <si>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</si>
  <si>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</si>
  <si>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</si>
  <si>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</si>
  <si>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</si>
  <si>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</si>
  <si>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</si>
  <si>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</si>
  <si>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</si>
  <si>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</si>
  <si>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</si>
  <si>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</si>
  <si>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</si>
  <si>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</si>
  <si>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</si>
  <si>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</si>
  <si>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</si>
  <si>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</si>
  <si>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</si>
  <si>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</si>
  <si>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</si>
  <si>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</si>
  <si>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</si>
  <si>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</si>
  <si>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</si>
  <si>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</si>
  <si>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</si>
  <si>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</si>
  <si>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</si>
  <si>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</si>
  <si>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</si>
  <si>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</si>
  <si>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</si>
  <si>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</si>
  <si>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</si>
  <si>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</si>
  <si>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</si>
  <si>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</si>
  <si>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</si>
  <si>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</si>
  <si>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</si>
  <si>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</si>
  <si>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</si>
  <si>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</si>
  <si>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</si>
  <si>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</si>
  <si>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</si>
  <si>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</si>
  <si>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</si>
  <si>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</si>
  <si>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</si>
  <si>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</si>
  <si>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</si>
  <si>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</si>
  <si>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</si>
  <si>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</si>
  <si>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</si>
  <si>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</si>
  <si>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</si>
  <si>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</si>
  <si>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</si>
  <si>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</si>
  <si>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</si>
  <si>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</si>
  <si>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</si>
  <si>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</si>
  <si>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</si>
  <si>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</si>
  <si>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</si>
  <si>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</si>
  <si>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</si>
  <si>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</si>
  <si>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</si>
  <si>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</si>
  <si>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</si>
  <si>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</si>
  <si>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</si>
  <si>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</si>
  <si>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</si>
  <si>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</si>
  <si>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</si>
  <si>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</si>
  <si>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</si>
  <si>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</si>
  <si>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</si>
  <si>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</si>
  <si>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</si>
  <si>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</si>
  <si>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</si>
  <si>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</si>
  <si>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</si>
  <si>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</si>
  <si>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</si>
  <si>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</si>
  <si>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</si>
  <si>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</si>
  <si>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</si>
  <si>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</si>
  <si>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</si>
  <si>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</si>
  <si>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</si>
  <si>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</si>
  <si>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</si>
  <si>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</si>
  <si>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</si>
  <si>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</si>
  <si>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</si>
  <si>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</si>
  <si>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</si>
  <si>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</si>
  <si>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</si>
  <si>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</si>
  <si>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</si>
  <si>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</si>
  <si>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</si>
  <si>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</si>
  <si>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</si>
  <si>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</si>
  <si>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</si>
  <si>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</si>
  <si>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</si>
  <si>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</si>
  <si>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</si>
  <si>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</si>
  <si>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</si>
  <si>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</si>
  <si>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</si>
  <si>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</si>
  <si>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</si>
  <si>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</si>
  <si>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</si>
  <si>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</si>
  <si>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</si>
  <si>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</si>
  <si>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</si>
  <si>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</si>
  <si>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</si>
  <si>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</si>
  <si>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</si>
  <si>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</si>
  <si>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</si>
  <si>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</si>
  <si>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</si>
  <si>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</si>
  <si>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</si>
  <si>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</si>
  <si>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</si>
  <si>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</si>
  <si>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</si>
  <si>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</si>
  <si>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</si>
  <si>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</si>
  <si>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</si>
  <si>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</si>
  <si>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</si>
  <si>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</si>
  <si>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</si>
  <si>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</si>
  <si>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</si>
  <si>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</si>
  <si>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</si>
  <si>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</si>
  <si>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</si>
  <si>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</si>
  <si>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</si>
  <si>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</si>
  <si>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</si>
  <si>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</si>
  <si>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</si>
  <si>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</si>
  <si>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</si>
  <si>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</si>
  <si>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</si>
  <si>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</si>
  <si>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</si>
  <si>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</si>
  <si>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</si>
  <si>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</si>
  <si>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</si>
  <si>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</si>
  <si>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</si>
  <si>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</si>
  <si>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</si>
  <si>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</si>
  <si>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</si>
  <si>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</si>
  <si>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</si>
  <si>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</si>
  <si>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</si>
  <si>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</si>
  <si>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</si>
  <si>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</si>
  <si>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</si>
  <si>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</si>
  <si>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</si>
  <si>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</si>
  <si>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</si>
  <si>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</si>
  <si>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</si>
  <si>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</si>
  <si>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</si>
  <si>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</si>
  <si>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</si>
  <si>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</si>
  <si>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</si>
  <si>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</si>
  <si>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</si>
  <si>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</si>
  <si>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</si>
  <si>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</si>
  <si>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</si>
  <si>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</si>
  <si>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</si>
  <si>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</si>
  <si>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</si>
  <si>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</si>
  <si>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</si>
  <si>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</si>
  <si>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</si>
  <si>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</si>
  <si>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</si>
  <si>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</si>
  <si>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</si>
  <si>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</si>
  <si>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</si>
  <si>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</si>
  <si>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</si>
  <si>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</si>
  <si>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</si>
  <si>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</si>
  <si>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</si>
  <si>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</si>
  <si>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</si>
  <si>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</si>
  <si>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</si>
  <si>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</si>
  <si>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</si>
  <si>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</si>
  <si>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</si>
  <si>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</si>
  <si>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</si>
  <si>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</si>
  <si>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</si>
  <si>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</si>
  <si>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</si>
  <si>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</si>
  <si>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</si>
  <si>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</si>
  <si>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</si>
  <si>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</si>
  <si>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</si>
  <si>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</si>
  <si>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</si>
  <si>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</si>
  <si>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</si>
  <si>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</si>
  <si>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</si>
  <si>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</si>
  <si>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</si>
  <si>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</si>
  <si>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</si>
  <si>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</si>
  <si>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</si>
  <si>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</si>
  <si>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</si>
  <si>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</si>
  <si>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</si>
  <si>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</si>
  <si>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</si>
  <si>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</si>
  <si>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</si>
  <si>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</si>
  <si>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</si>
  <si>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</si>
  <si>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</si>
  <si>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</si>
  <si>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</si>
  <si>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</si>
  <si>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</si>
  <si>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</si>
  <si>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</si>
  <si>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</si>
  <si>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</si>
  <si>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</si>
  <si>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</si>
  <si>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</si>
  <si>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</si>
  <si>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</si>
  <si>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</si>
  <si>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</si>
  <si>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</si>
  <si>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</si>
  <si>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</si>
  <si>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</si>
  <si>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</si>
  <si>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</si>
  <si>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</si>
  <si>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</si>
  <si>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</si>
  <si>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</si>
  <si>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</si>
  <si>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</si>
  <si>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</si>
  <si>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</si>
  <si>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</si>
  <si>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</si>
  <si>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</si>
  <si>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</si>
  <si>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</si>
  <si>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</si>
  <si>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</si>
  <si>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</si>
  <si>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</si>
  <si>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</si>
  <si>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</si>
  <si>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</si>
  <si>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</si>
  <si>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</si>
  <si>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</si>
  <si>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</si>
  <si>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</si>
  <si>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</si>
  <si>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</si>
  <si>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</si>
  <si>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</si>
  <si>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</si>
  <si>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</si>
  <si>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</si>
  <si>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</si>
  <si>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</si>
  <si>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</si>
  <si>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</si>
  <si>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</si>
  <si>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</si>
  <si>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</si>
  <si>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</si>
  <si>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</si>
  <si>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</si>
  <si>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</si>
  <si>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</si>
  <si>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</si>
  <si>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</si>
  <si>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</si>
  <si>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</si>
  <si>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</si>
  <si>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</si>
  <si>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</si>
  <si>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</si>
  <si>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</si>
  <si>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</si>
  <si>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</si>
  <si>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</si>
  <si>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</si>
  <si>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</si>
  <si>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</si>
  <si>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</si>
  <si>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</si>
  <si>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</si>
  <si>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</si>
  <si>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</si>
  <si>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</si>
  <si>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</si>
  <si>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</si>
  <si>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</si>
  <si>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</si>
  <si>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</si>
  <si>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</si>
  <si>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</si>
  <si>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</si>
  <si>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</si>
  <si>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</si>
  <si>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</si>
  <si>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</si>
  <si>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</si>
  <si>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</si>
  <si>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</si>
  <si>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</si>
  <si>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</si>
  <si>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</si>
  <si>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</si>
  <si>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</si>
  <si>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</si>
  <si>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</si>
  <si>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</si>
  <si>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</si>
  <si>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</si>
  <si>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</si>
  <si>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</si>
  <si>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</si>
  <si>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</si>
  <si>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</si>
  <si>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</si>
  <si>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</si>
  <si>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</si>
  <si>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</si>
  <si>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</si>
  <si>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</si>
  <si>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</si>
  <si>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</si>
  <si>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</si>
  <si>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</si>
  <si>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</si>
  <si>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</si>
  <si>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</si>
  <si>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</si>
  <si>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</si>
  <si>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</si>
  <si>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</si>
  <si>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</si>
  <si>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</si>
  <si>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</si>
  <si>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</si>
  <si>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</si>
  <si>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</si>
  <si>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</si>
  <si>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</si>
  <si>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</si>
  <si>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</si>
  <si>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</si>
  <si>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</si>
  <si>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</si>
  <si>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</si>
  <si>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</si>
  <si>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</si>
  <si>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</si>
  <si>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</si>
  <si>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</si>
  <si>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</si>
  <si>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</si>
  <si>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</si>
  <si>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</si>
  <si>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</si>
  <si>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</si>
  <si>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</si>
  <si>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</si>
  <si>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</si>
  <si>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</si>
  <si>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</si>
  <si>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</si>
  <si>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</si>
  <si>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</si>
  <si>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</si>
  <si>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</si>
  <si>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</si>
  <si>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</si>
  <si>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</si>
  <si>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</si>
  <si>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</si>
  <si>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</si>
  <si>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</si>
  <si>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</si>
  <si>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</si>
  <si>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</si>
  <si>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</si>
  <si>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</si>
  <si>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</si>
  <si>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</si>
  <si>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</si>
  <si>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</si>
  <si>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</si>
  <si>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</si>
  <si>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</si>
  <si>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</si>
  <si>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</si>
  <si>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</si>
  <si>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</si>
  <si>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</si>
  <si>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</si>
  <si>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</si>
  <si>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</si>
  <si>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</si>
  <si>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</si>
  <si>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</si>
  <si>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</si>
  <si>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</si>
  <si>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</si>
  <si>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</si>
  <si>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</si>
  <si>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</si>
  <si>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</si>
  <si>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</si>
  <si>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</si>
  <si>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</si>
  <si>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</si>
  <si>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</si>
  <si>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</si>
  <si>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</si>
  <si>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</si>
  <si>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</si>
  <si>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</si>
  <si>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</si>
  <si>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</si>
  <si>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</si>
  <si>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</si>
  <si>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</si>
  <si>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</si>
  <si>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</si>
  <si>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</si>
  <si>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</si>
  <si>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</si>
  <si>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</si>
  <si>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</si>
  <si>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</si>
  <si>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</si>
  <si>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</si>
  <si>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</si>
  <si>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</si>
  <si>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</si>
  <si>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</si>
  <si>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</si>
  <si>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</si>
  <si>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</si>
  <si>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</si>
  <si>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</si>
  <si>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</si>
  <si>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</si>
  <si>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</si>
  <si>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</si>
  <si>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</si>
  <si>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</si>
  <si>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</si>
  <si>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</si>
  <si>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</si>
  <si>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</si>
  <si>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</si>
  <si>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</si>
  <si>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</si>
  <si>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</si>
  <si>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</si>
  <si>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</si>
  <si>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</si>
  <si>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</si>
  <si>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</si>
  <si>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</si>
  <si>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</si>
  <si>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</si>
  <si>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</si>
  <si>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</si>
  <si>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</si>
  <si>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</si>
  <si>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</si>
  <si>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</si>
  <si>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</si>
  <si>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</si>
  <si>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</si>
  <si>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</si>
  <si>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</si>
  <si>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</si>
  <si>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</si>
  <si>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</si>
  <si>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</si>
  <si>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</si>
  <si>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</si>
  <si>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</si>
  <si>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</si>
  <si>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</si>
  <si>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</si>
  <si>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</si>
  <si>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</si>
  <si>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</si>
  <si>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</si>
  <si>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</si>
  <si>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</si>
  <si>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</si>
  <si>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</si>
  <si>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</si>
  <si>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</si>
  <si>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</si>
  <si>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</si>
  <si>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</si>
  <si>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</si>
  <si>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</si>
  <si>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</si>
  <si>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</si>
  <si>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</si>
  <si>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</si>
  <si>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</si>
  <si>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</si>
  <si>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</si>
  <si>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</si>
  <si>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</si>
  <si>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</si>
  <si>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</si>
  <si>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</si>
  <si>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</si>
  <si>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</si>
  <si>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</si>
  <si>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</si>
  <si>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</si>
  <si>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</si>
  <si>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</si>
  <si>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</si>
  <si>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</si>
  <si>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</si>
  <si>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</si>
  <si>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</si>
  <si>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</si>
  <si>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</si>
  <si>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</si>
  <si>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</si>
  <si>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</si>
  <si>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</si>
  <si>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</si>
  <si>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</si>
  <si>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</si>
  <si>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</si>
  <si>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</si>
  <si>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</si>
  <si>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</si>
  <si>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</si>
  <si>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</si>
  <si>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</si>
  <si>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</si>
  <si>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</si>
  <si>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</si>
  <si>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</si>
  <si>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</si>
  <si>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</si>
  <si>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</si>
  <si>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</si>
  <si>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</si>
  <si>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</si>
  <si>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</si>
  <si>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</si>
  <si>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</si>
  <si>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</si>
  <si>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</si>
  <si>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</si>
  <si>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</si>
  <si>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</si>
  <si>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</si>
  <si>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</si>
  <si>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</si>
  <si>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</si>
  <si>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</si>
  <si>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</si>
  <si>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</si>
  <si>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</si>
  <si>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</si>
  <si>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</si>
  <si>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</si>
  <si>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</si>
  <si>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</si>
  <si>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</si>
  <si>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</si>
  <si>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</si>
  <si>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</si>
  <si>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</si>
  <si>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</si>
  <si>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</si>
  <si>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</si>
  <si>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</si>
  <si>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</si>
  <si>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</si>
  <si>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</si>
  <si>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</si>
  <si>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</si>
  <si>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</si>
  <si>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</si>
  <si>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</si>
  <si>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</si>
  <si>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</si>
  <si>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</si>
  <si>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</si>
  <si>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</si>
  <si>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</si>
  <si>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</si>
  <si>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</si>
  <si>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</si>
  <si>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</si>
  <si>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</si>
  <si>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</si>
  <si>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</si>
  <si>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</si>
  <si>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</si>
  <si>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</si>
  <si>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</si>
  <si>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</si>
  <si>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</si>
  <si>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</si>
  <si>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</si>
  <si>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</si>
  <si>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</si>
  <si>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</si>
  <si>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</si>
  <si>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</si>
  <si>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</si>
  <si>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</si>
  <si>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</si>
  <si>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</si>
  <si>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</si>
  <si>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</si>
  <si>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</si>
  <si>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</si>
  <si>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</si>
  <si>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</si>
  <si>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</si>
  <si>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</si>
  <si>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</si>
  <si>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</si>
  <si>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</si>
  <si>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</si>
  <si>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</si>
  <si>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</si>
  <si>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</si>
  <si>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</si>
  <si>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</si>
  <si>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</si>
  <si>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</si>
  <si>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</si>
  <si>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</si>
  <si>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</si>
  <si>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</si>
  <si>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</si>
  <si>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</si>
  <si>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</si>
  <si>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</si>
  <si>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</si>
  <si>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</si>
  <si>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</si>
  <si>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</si>
  <si>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</si>
  <si>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</si>
  <si>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</si>
  <si>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</si>
  <si>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</si>
  <si>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</si>
  <si>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</si>
  <si>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</si>
  <si>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</si>
  <si>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</si>
  <si>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</si>
  <si>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</si>
  <si>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</si>
  <si>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</si>
  <si>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</si>
  <si>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</si>
  <si>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</si>
  <si>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</si>
  <si>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</si>
  <si>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</si>
  <si>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</si>
  <si>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</si>
  <si>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</si>
  <si>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</si>
  <si>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</si>
  <si>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</si>
  <si>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</si>
  <si>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</si>
  <si>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</si>
  <si>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</si>
  <si>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</si>
  <si>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</si>
  <si>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</si>
  <si>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</si>
  <si>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</si>
  <si>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</si>
  <si>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</si>
  <si>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</si>
  <si>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</si>
  <si>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</si>
  <si>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</si>
  <si>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</si>
  <si>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</si>
  <si>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</si>
  <si>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</si>
  <si>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</si>
  <si>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</si>
  <si>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</si>
  <si>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</si>
  <si>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</si>
  <si>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</si>
  <si>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</si>
  <si>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</si>
  <si>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</si>
  <si>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</si>
  <si>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</si>
  <si>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</si>
  <si>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</si>
  <si>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</si>
  <si>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</si>
  <si>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</si>
  <si>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</si>
  <si>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</si>
  <si>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</si>
  <si>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</si>
  <si>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</si>
  <si>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</si>
  <si>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</si>
  <si>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</si>
  <si>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</si>
  <si>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</si>
  <si>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</si>
  <si>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</si>
  <si>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</si>
  <si>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</si>
  <si>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</si>
  <si>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</si>
  <si>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</si>
  <si>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</si>
  <si>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</si>
  <si>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</si>
  <si>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</si>
  <si>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</si>
  <si>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</si>
  <si>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</si>
  <si>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</si>
  <si>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</si>
  <si>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</si>
  <si>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</si>
  <si>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</si>
  <si>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</si>
  <si>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</si>
  <si>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</si>
  <si>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</si>
  <si>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</si>
  <si>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</si>
  <si>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</si>
  <si>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</si>
  <si>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</si>
  <si>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</si>
  <si>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</si>
  <si>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</si>
  <si>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</si>
  <si>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</si>
  <si>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</si>
  <si>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</si>
  <si>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</si>
  <si>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</si>
  <si>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</si>
  <si>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</si>
  <si>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</si>
  <si>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</si>
  <si>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</si>
  <si>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</si>
  <si>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</si>
  <si>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</si>
  <si>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</si>
  <si>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</si>
  <si>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</si>
  <si>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</si>
  <si>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</si>
  <si>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</si>
  <si>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</si>
  <si>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</si>
  <si>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</si>
  <si>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</si>
  <si>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</si>
  <si>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</si>
  <si>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</si>
  <si>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</si>
  <si>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</si>
  <si>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</si>
  <si>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</si>
  <si>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</si>
  <si>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</si>
  <si>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</si>
  <si>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</si>
  <si>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</si>
  <si>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</si>
  <si>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</si>
  <si>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</si>
  <si>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</si>
  <si>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</si>
  <si>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</si>
  <si>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</si>
  <si>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</si>
  <si>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</si>
  <si>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</si>
  <si>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</si>
  <si>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</si>
  <si>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</si>
  <si>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</si>
  <si>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</si>
  <si>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</si>
  <si>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</si>
  <si>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</si>
  <si>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</si>
  <si>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</si>
  <si>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</si>
  <si>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</si>
  <si>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</si>
  <si>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</si>
  <si>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</si>
  <si>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</si>
  <si>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</si>
  <si>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</si>
  <si>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</si>
  <si>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</si>
  <si>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</si>
  <si>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</si>
  <si>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</si>
  <si>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</si>
  <si>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</si>
  <si>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</si>
  <si>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</si>
  <si>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</si>
  <si>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</si>
  <si>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</si>
  <si>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</si>
  <si>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</si>
  <si>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</si>
  <si>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</si>
  <si>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</si>
  <si>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</si>
  <si>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</si>
  <si>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</si>
  <si>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</si>
  <si>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</si>
  <si>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</si>
  <si>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</si>
  <si>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</si>
  <si>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</si>
  <si>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</si>
  <si>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</si>
  <si>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</si>
  <si>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</si>
  <si>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</si>
  <si>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</si>
  <si>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</si>
  <si>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</si>
  <si>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</si>
  <si>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</si>
  <si>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</si>
  <si>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</si>
  <si>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</si>
  <si>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</si>
  <si>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</si>
  <si>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</si>
  <si>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</si>
  <si>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</si>
  <si>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</si>
  <si>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</si>
  <si>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</si>
  <si>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</si>
  <si>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</si>
  <si>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</si>
  <si>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</si>
  <si>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</si>
  <si>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</si>
  <si>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</si>
  <si>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</si>
  <si>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</si>
  <si>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</si>
  <si>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</si>
  <si>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</si>
  <si>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</si>
  <si>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</si>
  <si>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</si>
  <si>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</si>
  <si>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</si>
  <si>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</si>
  <si>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</si>
  <si>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</si>
  <si>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</si>
  <si>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</si>
  <si>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</si>
  <si>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</si>
  <si>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</si>
  <si>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</si>
  <si>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</si>
  <si>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</si>
  <si>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</si>
  <si>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</si>
  <si>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</si>
  <si>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</si>
  <si>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</si>
  <si>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</si>
  <si>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</si>
  <si>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</si>
  <si>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</si>
  <si>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</si>
  <si>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</si>
  <si>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</si>
  <si>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</si>
  <si>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</si>
  <si>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</si>
  <si>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</si>
  <si>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</si>
  <si>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</si>
  <si>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</si>
  <si>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</si>
  <si>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</si>
  <si>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</si>
  <si>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</si>
  <si>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</si>
  <si>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</si>
  <si>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</si>
  <si>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</si>
  <si>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</si>
  <si>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</si>
  <si>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</si>
  <si>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</si>
  <si>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</si>
  <si>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</si>
  <si>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</si>
  <si>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</si>
  <si>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</si>
  <si>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</si>
  <si>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</si>
  <si>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</si>
  <si>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</si>
  <si>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</si>
  <si>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</si>
  <si>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</si>
  <si>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</si>
  <si>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</si>
  <si>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</si>
  <si>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</si>
  <si>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</si>
  <si>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</si>
  <si>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</si>
  <si>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</si>
  <si>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</si>
  <si>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</si>
  <si>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</si>
  <si>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</si>
  <si>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</si>
  <si>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</si>
  <si>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</si>
  <si>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</si>
  <si>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</si>
  <si>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</si>
  <si>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</si>
  <si>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</si>
  <si>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</si>
  <si>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</si>
  <si>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</si>
  <si>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</si>
  <si>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</si>
  <si>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</si>
  <si>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</si>
  <si>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</si>
  <si>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</si>
  <si>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</si>
  <si>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</si>
  <si>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</si>
  <si>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</si>
  <si>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</si>
  <si>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</si>
  <si>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</si>
  <si>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</si>
  <si>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</si>
  <si>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</si>
  <si>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</si>
  <si>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</si>
  <si>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</si>
  <si>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</si>
  <si>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</si>
  <si>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</si>
  <si>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</si>
  <si>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</si>
  <si>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</si>
  <si>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</si>
  <si>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</si>
  <si>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</si>
  <si>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</si>
  <si>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</si>
  <si>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</si>
  <si>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</si>
  <si>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</si>
  <si>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</si>
  <si>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</si>
  <si>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</si>
  <si>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</si>
  <si>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</si>
  <si>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</si>
  <si>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</si>
  <si>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</si>
  <si>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</si>
  <si>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</si>
  <si>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</si>
  <si>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</si>
  <si>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</si>
  <si>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</si>
  <si>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</si>
  <si>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</si>
  <si>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</si>
  <si>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</si>
  <si>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</si>
  <si>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</si>
  <si>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</si>
  <si>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</si>
  <si>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</si>
  <si>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</si>
  <si>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</si>
  <si>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</si>
  <si>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</si>
  <si>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</si>
  <si>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</si>
  <si>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</si>
  <si>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</si>
  <si>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</si>
  <si>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</si>
  <si>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</si>
  <si>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</si>
  <si>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</si>
  <si>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</si>
  <si>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</si>
  <si>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</si>
  <si>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</si>
  <si>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</si>
  <si>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</si>
  <si>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</si>
  <si>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</si>
  <si>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</si>
  <si>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</si>
  <si>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</si>
  <si>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</si>
  <si>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</si>
  <si>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</si>
  <si>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</si>
  <si>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</si>
  <si>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</si>
  <si>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</si>
  <si>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</si>
  <si>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</si>
  <si>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</si>
  <si>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</si>
  <si>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</si>
  <si>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</si>
  <si>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</si>
  <si>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</si>
  <si>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</si>
  <si>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</si>
  <si>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</si>
  <si>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</si>
  <si>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</si>
  <si>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</si>
  <si>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</si>
  <si>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</si>
  <si>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</si>
  <si>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</si>
  <si>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</si>
  <si>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</si>
  <si>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</si>
  <si>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</si>
  <si>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</si>
  <si>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</si>
  <si>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</si>
  <si>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</si>
  <si>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</si>
  <si>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</si>
  <si>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</si>
  <si>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</si>
  <si>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</si>
  <si>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</si>
  <si>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</si>
  <si>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</si>
  <si>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</si>
  <si>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</si>
  <si>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</si>
  <si>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</si>
  <si>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</si>
  <si>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</si>
  <si>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</si>
  <si>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</si>
  <si>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</si>
  <si>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</si>
  <si>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</si>
  <si>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</si>
  <si>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</si>
  <si>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</si>
  <si>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</si>
  <si>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</si>
  <si>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</si>
  <si>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</si>
  <si>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</si>
  <si>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</si>
  <si>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</si>
  <si>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</si>
  <si>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</si>
  <si>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</si>
  <si>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</si>
  <si>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</si>
  <si>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</si>
  <si>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</si>
  <si>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</si>
  <si>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</si>
  <si>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</si>
  <si>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</si>
  <si>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</si>
  <si>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</si>
  <si>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</si>
  <si>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</si>
  <si>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</si>
  <si>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</si>
  <si>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</si>
  <si>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</si>
  <si>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</si>
  <si>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</si>
  <si>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</si>
  <si>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</si>
  <si>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</si>
  <si>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</si>
  <si>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</si>
  <si>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</si>
  <si>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</si>
  <si>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</si>
  <si>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</si>
  <si>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</si>
  <si>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</si>
  <si>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</si>
  <si>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</si>
  <si>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</si>
  <si>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</si>
  <si>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</si>
  <si>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</si>
  <si>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</si>
  <si>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</si>
  <si>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</si>
  <si>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</si>
  <si>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</si>
  <si>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</si>
  <si>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</si>
  <si>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</si>
  <si>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</si>
  <si>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</si>
  <si>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</si>
  <si>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</si>
  <si>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</si>
  <si>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</si>
  <si>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</si>
  <si>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</si>
  <si>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</si>
  <si>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</si>
  <si>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</si>
  <si>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</si>
  <si>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</si>
  <si>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</si>
  <si>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</si>
  <si>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</si>
  <si>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</si>
  <si>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</si>
  <si>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</si>
  <si>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</si>
  <si>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</si>
  <si>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</si>
  <si>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</si>
  <si>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</si>
  <si>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</si>
  <si>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</si>
  <si>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</si>
  <si>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</si>
  <si>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</si>
  <si>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</si>
  <si>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</si>
  <si>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</si>
  <si>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</si>
  <si>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</si>
  <si>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</si>
  <si>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</si>
  <si>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</si>
  <si>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</si>
  <si>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</si>
  <si>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</si>
  <si>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</si>
  <si>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</si>
  <si>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</si>
  <si>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</si>
  <si>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</si>
  <si>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</si>
  <si>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</si>
  <si>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</si>
  <si>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</si>
  <si>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</si>
  <si>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</si>
  <si>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</si>
  <si>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</si>
  <si>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</si>
  <si>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</si>
  <si>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</si>
  <si>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</si>
  <si>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</si>
  <si>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</si>
  <si>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</si>
  <si>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</si>
  <si>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</si>
  <si>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</si>
  <si>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</si>
  <si>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</si>
  <si>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</si>
  <si>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</si>
  <si>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</si>
  <si>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</si>
  <si>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</si>
  <si>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</si>
  <si>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</si>
  <si>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</si>
  <si>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</si>
  <si>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</si>
  <si>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</si>
  <si>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</si>
  <si>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</si>
  <si>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</si>
  <si>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</si>
  <si>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</si>
  <si>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</si>
  <si>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</si>
  <si>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</si>
  <si>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</si>
  <si>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</si>
  <si>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</si>
  <si>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</si>
  <si>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</si>
  <si>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</si>
  <si>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</si>
  <si>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</si>
  <si>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</si>
  <si>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</si>
  <si>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</si>
  <si>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</si>
  <si>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</si>
  <si>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</si>
  <si>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</si>
  <si>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</si>
  <si>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</si>
  <si>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</si>
  <si>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</si>
  <si>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</si>
  <si>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</si>
  <si>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</si>
  <si>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</si>
  <si>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</si>
  <si>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</si>
  <si>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</si>
  <si>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</si>
  <si>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</si>
  <si>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</si>
  <si>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</si>
  <si>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</si>
  <si>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</si>
  <si>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</si>
  <si>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</si>
  <si>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</si>
  <si>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</si>
  <si>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</si>
  <si>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</si>
  <si>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</si>
  <si>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</si>
  <si>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</si>
  <si>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</si>
  <si>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</si>
  <si>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</si>
  <si>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</si>
  <si>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</si>
  <si>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</si>
  <si>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</si>
  <si>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</si>
  <si>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</si>
  <si>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</si>
  <si>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</si>
  <si>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</si>
  <si>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</si>
  <si>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</si>
  <si>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</si>
  <si>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</si>
  <si>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</si>
  <si>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</si>
  <si>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</si>
  <si>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</si>
  <si>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</si>
  <si>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</si>
  <si>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</si>
  <si>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</si>
  <si>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</si>
  <si>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</si>
  <si>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</si>
  <si>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</si>
  <si>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</si>
  <si>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</si>
  <si>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</si>
  <si>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</si>
  <si>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</si>
  <si>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</si>
  <si>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</si>
  <si>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</si>
  <si>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</si>
  <si>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</si>
  <si>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</si>
  <si>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</si>
  <si>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</si>
  <si>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</si>
  <si>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</si>
  <si>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</si>
  <si>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</si>
  <si>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</si>
  <si>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</si>
  <si>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</si>
  <si>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</si>
  <si>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</si>
  <si>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</si>
  <si>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</si>
  <si>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</si>
  <si>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</si>
  <si>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</si>
  <si>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</si>
  <si>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</si>
  <si>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</si>
  <si>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</si>
  <si>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</si>
  <si>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</si>
  <si>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</si>
  <si>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</si>
  <si>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</si>
  <si>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</si>
  <si>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</si>
  <si>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</si>
  <si>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</si>
  <si>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</si>
  <si>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</si>
  <si>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</si>
  <si>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</si>
  <si>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</si>
  <si>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</si>
  <si>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</si>
  <si>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</si>
  <si>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</si>
  <si>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</si>
  <si>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</si>
  <si>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</si>
  <si>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</si>
  <si>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</si>
  <si>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</si>
  <si>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</si>
  <si>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</si>
  <si>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</si>
  <si>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</si>
  <si>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</si>
  <si>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</si>
  <si>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</si>
  <si>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</si>
  <si>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</si>
  <si>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</si>
  <si>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</si>
  <si>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</si>
  <si>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</si>
  <si>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</si>
  <si>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</si>
  <si>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</si>
  <si>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</si>
  <si>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</si>
  <si>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</si>
  <si>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</si>
  <si>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</si>
  <si>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</si>
  <si>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</si>
  <si>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</si>
  <si>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</si>
  <si>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</si>
  <si>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</si>
  <si>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</si>
  <si>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</si>
  <si>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</si>
  <si>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</si>
  <si>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</si>
  <si>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</si>
  <si>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</si>
  <si>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</si>
  <si>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</si>
  <si>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</si>
  <si>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</si>
  <si>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</si>
  <si>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</si>
  <si>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</si>
  <si>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</si>
  <si>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</si>
  <si>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</si>
  <si>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</si>
  <si>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</si>
  <si>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</si>
  <si>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</si>
  <si>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</si>
  <si>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</si>
  <si>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</si>
  <si>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</si>
  <si>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</si>
  <si>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</si>
  <si>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</si>
  <si>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</si>
  <si>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</si>
  <si>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</si>
  <si>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</si>
  <si>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</si>
  <si>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</si>
  <si>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</si>
  <si>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</si>
  <si>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</si>
  <si>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</si>
  <si>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</si>
  <si>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</si>
  <si>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</si>
  <si>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</si>
  <si>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</si>
  <si>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</si>
  <si>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</si>
  <si>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</si>
  <si>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</si>
  <si>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</si>
  <si>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</si>
  <si>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</si>
  <si>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</si>
  <si>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</si>
  <si>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</si>
  <si>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</si>
  <si>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</si>
  <si>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</si>
  <si>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</si>
  <si>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</si>
  <si>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</si>
  <si>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</si>
  <si>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</si>
  <si>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</si>
  <si>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</si>
  <si>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</si>
  <si>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</si>
  <si>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</si>
  <si>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</si>
  <si>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</si>
  <si>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</si>
  <si>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</si>
  <si>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</si>
  <si>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</si>
  <si>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</si>
  <si>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</si>
  <si>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</si>
  <si>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</si>
  <si>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</si>
  <si>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</si>
  <si>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</si>
  <si>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</si>
  <si>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</si>
  <si>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</si>
  <si>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</si>
  <si>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</si>
  <si>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</si>
  <si>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</si>
  <si>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</si>
  <si>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</si>
  <si>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</si>
  <si>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</si>
  <si>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</si>
  <si>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</si>
  <si>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</si>
  <si>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</si>
  <si>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</si>
  <si>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</si>
  <si>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</si>
  <si>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</si>
  <si>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</si>
  <si>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</si>
  <si>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</si>
  <si>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</si>
  <si>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</si>
  <si>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</si>
  <si>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</si>
  <si>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</si>
  <si>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</si>
  <si>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</si>
  <si>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</si>
  <si>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</si>
  <si>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</si>
  <si>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</si>
  <si>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</si>
  <si>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</si>
  <si>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</si>
  <si>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</si>
  <si>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</si>
  <si>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</si>
  <si>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</si>
  <si>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</si>
  <si>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</si>
  <si>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</si>
  <si>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</si>
  <si>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</si>
  <si>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</si>
  <si>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</si>
  <si>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</si>
  <si>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</si>
  <si>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</si>
  <si>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</si>
  <si>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</si>
  <si>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</si>
  <si>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</si>
  <si>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</si>
  <si>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</si>
  <si>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</si>
  <si>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</si>
  <si>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</si>
  <si>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</si>
  <si>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</si>
  <si>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</si>
  <si>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</si>
  <si>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</si>
  <si>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</si>
  <si>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</si>
  <si>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</si>
  <si>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</si>
  <si>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</si>
  <si>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</si>
  <si>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</si>
  <si>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</si>
  <si>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</si>
  <si>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</si>
  <si>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</si>
  <si>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</si>
  <si>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</si>
  <si>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</si>
  <si>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</si>
  <si>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</si>
  <si>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</si>
  <si>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</si>
  <si>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</si>
  <si>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</si>
  <si>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</si>
  <si>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</si>
  <si>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</si>
  <si>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</si>
  <si>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</si>
  <si>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</si>
  <si>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</si>
  <si>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</si>
  <si>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</si>
  <si>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</si>
  <si>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</si>
  <si>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</si>
  <si>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</si>
  <si>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</si>
  <si>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</si>
  <si>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</si>
  <si>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</si>
  <si>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</si>
  <si>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</si>
  <si>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</si>
  <si>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</si>
  <si>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</si>
  <si>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</si>
  <si>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</si>
  <si>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</si>
  <si>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</si>
  <si>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</si>
  <si>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</si>
  <si>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</si>
  <si>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</si>
  <si>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</si>
  <si>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</si>
  <si>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</si>
  <si>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</si>
  <si>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</si>
  <si>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</si>
  <si>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</si>
  <si>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</si>
  <si>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</si>
  <si>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</si>
  <si>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</si>
  <si>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</si>
  <si>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</si>
  <si>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</si>
  <si>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</si>
  <si>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</si>
  <si>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</si>
  <si>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</si>
  <si>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</si>
  <si>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</si>
  <si>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</si>
  <si>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</si>
  <si>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</si>
  <si>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</si>
  <si>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</si>
  <si>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</si>
  <si>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</si>
  <si>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</si>
  <si>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</si>
  <si>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</si>
  <si>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</si>
  <si>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</si>
  <si>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</si>
  <si>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</si>
  <si>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</si>
  <si>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</si>
  <si>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</si>
  <si>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</si>
  <si>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</si>
  <si>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</si>
  <si>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</si>
  <si>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</si>
  <si>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</si>
  <si>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</si>
  <si>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</si>
  <si>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</si>
  <si>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</si>
  <si>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</si>
  <si>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</si>
  <si>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</si>
  <si>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</si>
  <si>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</si>
  <si>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</si>
  <si>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</si>
  <si>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</si>
  <si>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</si>
  <si>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</si>
  <si>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</si>
  <si>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</si>
  <si>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</si>
  <si>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</si>
  <si>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</si>
  <si>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</si>
  <si>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</si>
  <si>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</si>
  <si>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</si>
  <si>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</si>
  <si>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</si>
  <si>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</si>
  <si>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</si>
  <si>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</si>
  <si>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</si>
  <si>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</si>
  <si>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</si>
  <si>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</si>
  <si>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</si>
  <si>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</si>
  <si>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</si>
  <si>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</si>
  <si>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</si>
  <si>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</si>
  <si>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</si>
  <si>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</si>
  <si>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</si>
  <si>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</si>
  <si>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</si>
  <si>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</si>
  <si>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</si>
  <si>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</si>
  <si>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</si>
  <si>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</si>
  <si>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</si>
  <si>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</si>
  <si>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</si>
  <si>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</si>
  <si>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</si>
  <si>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</si>
  <si>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</si>
  <si>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</si>
  <si>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</si>
  <si>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</si>
  <si>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</si>
  <si>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</si>
  <si>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</si>
  <si>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</si>
  <si>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</si>
  <si>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</si>
  <si>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</si>
  <si>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</si>
  <si>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</si>
  <si>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</si>
  <si>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</si>
  <si>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</si>
  <si>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</si>
  <si>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</si>
  <si>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</si>
  <si>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</si>
  <si>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</si>
  <si>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</si>
  <si>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</si>
  <si>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</si>
  <si>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</si>
  <si>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</si>
  <si>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</si>
  <si>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</si>
  <si>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</si>
  <si>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</si>
  <si>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</si>
  <si>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</si>
  <si>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</si>
  <si>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</si>
  <si>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</si>
  <si>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</si>
  <si>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</si>
  <si>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</si>
  <si>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</si>
  <si>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</si>
  <si>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</si>
  <si>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</si>
  <si>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</si>
  <si>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</si>
  <si>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</si>
  <si>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</si>
  <si>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</si>
  <si>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</si>
  <si>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</si>
  <si>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</si>
  <si>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</si>
  <si>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</si>
  <si>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</si>
  <si>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</si>
  <si>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</si>
  <si>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</si>
  <si>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</si>
  <si>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</si>
  <si>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</si>
  <si>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</si>
  <si>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</si>
  <si>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</si>
  <si>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</si>
  <si>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</si>
  <si>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</si>
  <si>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</si>
  <si>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</si>
  <si>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</si>
  <si>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</si>
  <si>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</si>
  <si>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</si>
  <si>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</si>
  <si>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</si>
  <si>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</si>
  <si>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</si>
  <si>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</si>
  <si>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</si>
  <si>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</si>
  <si>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</si>
  <si>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</si>
  <si>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</si>
  <si>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</si>
  <si>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</si>
  <si>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</si>
  <si>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</si>
  <si>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</si>
  <si>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</si>
  <si>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</si>
  <si>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</si>
  <si>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</si>
  <si>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</si>
  <si>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</si>
  <si>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</si>
  <si>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</si>
  <si>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</si>
  <si>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</si>
  <si>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</si>
  <si>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</si>
  <si>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</si>
  <si>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</si>
  <si>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</si>
  <si>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</si>
  <si>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</si>
  <si>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</si>
  <si>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</si>
  <si>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</si>
  <si>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</si>
  <si>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</si>
  <si>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</si>
  <si>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</si>
  <si>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</si>
  <si>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</si>
  <si>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</si>
  <si>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</si>
  <si>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</si>
  <si>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</si>
  <si>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</si>
  <si>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</si>
  <si>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</si>
  <si>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</si>
  <si>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</si>
  <si>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</si>
  <si>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</si>
  <si>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</si>
  <si>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</si>
  <si>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</si>
  <si>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</si>
  <si>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</si>
  <si>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</si>
  <si>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</si>
  <si>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</si>
  <si>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</si>
  <si>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</si>
  <si>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</si>
  <si>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</si>
  <si>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</si>
  <si>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</si>
  <si>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</si>
  <si>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</si>
  <si>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</si>
  <si>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</si>
  <si>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</si>
  <si>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</si>
  <si>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</si>
  <si>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</si>
  <si>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</si>
  <si>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</si>
  <si>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</si>
  <si>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</si>
  <si>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</si>
  <si>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</si>
  <si>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</si>
  <si>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</si>
  <si>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</si>
  <si>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</si>
  <si>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</si>
  <si>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</si>
  <si>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</si>
  <si>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</si>
  <si>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</si>
  <si>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</si>
  <si>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</si>
  <si>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</si>
  <si>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</si>
  <si>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</si>
  <si>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</si>
  <si>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</si>
  <si>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</si>
  <si>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</si>
  <si>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</si>
  <si>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</si>
  <si>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</si>
  <si>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</si>
  <si>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</si>
  <si>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</si>
  <si>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</si>
  <si>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</si>
  <si>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</si>
  <si>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</si>
  <si>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</si>
  <si>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</si>
  <si>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</si>
  <si>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</si>
  <si>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</si>
  <si>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</si>
  <si>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</si>
  <si>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</si>
  <si>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</si>
  <si>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</si>
  <si>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</si>
  <si>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</si>
  <si>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</si>
  <si>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</si>
  <si>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</si>
  <si>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</si>
  <si>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</si>
  <si>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</si>
  <si>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</si>
  <si>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</si>
  <si>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</si>
  <si>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</si>
  <si>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</si>
  <si>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</si>
  <si>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</si>
  <si>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</si>
  <si>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</si>
  <si>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</si>
  <si>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</si>
  <si>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</si>
  <si>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</si>
  <si>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</si>
  <si>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</si>
  <si>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</si>
  <si>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</si>
  <si>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</si>
  <si>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</si>
  <si>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</si>
  <si>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</si>
  <si>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</si>
  <si>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</si>
  <si>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</si>
  <si>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</si>
  <si>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</si>
  <si>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</si>
  <si>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</si>
  <si>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</si>
  <si>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</si>
  <si>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</si>
  <si>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</si>
  <si>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</si>
  <si>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</si>
  <si>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</si>
  <si>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</si>
  <si>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</si>
  <si>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</si>
  <si>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</si>
  <si>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</si>
  <si>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</si>
  <si>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</si>
  <si>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</si>
  <si>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</si>
  <si>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</si>
  <si>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</si>
  <si>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</si>
  <si>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</si>
  <si>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</si>
  <si>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</si>
  <si>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</si>
  <si>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</si>
  <si>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</si>
  <si>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</si>
  <si>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</si>
  <si>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</si>
  <si>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</si>
  <si>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</si>
  <si>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</si>
  <si>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</si>
  <si>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</si>
  <si>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</si>
  <si>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</si>
  <si>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</si>
  <si>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</si>
  <si>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</si>
  <si>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</si>
  <si>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</si>
  <si>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</si>
  <si>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</si>
  <si>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</si>
  <si>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</si>
  <si>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</si>
  <si>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</si>
  <si>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</si>
  <si>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</si>
  <si>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</si>
  <si>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</si>
  <si>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</si>
  <si>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</si>
  <si>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</si>
  <si>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</si>
  <si>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</si>
  <si>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</si>
  <si>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</si>
  <si>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</si>
  <si>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</si>
  <si>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</si>
  <si>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</si>
  <si>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</si>
  <si>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</si>
  <si>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</si>
  <si>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</si>
  <si>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</si>
  <si>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</si>
  <si>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</si>
  <si>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</si>
  <si>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</si>
  <si>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</si>
  <si>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</si>
  <si>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</si>
  <si>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</si>
  <si>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</si>
  <si>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</si>
  <si>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</si>
  <si>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</si>
  <si>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</si>
  <si>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</si>
  <si>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</si>
  <si>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</si>
  <si>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</si>
  <si>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</si>
  <si>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</si>
  <si>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</si>
  <si>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</si>
  <si>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</si>
  <si>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</si>
  <si>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</si>
  <si>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</si>
  <si>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</si>
  <si>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</si>
  <si>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</si>
  <si>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</si>
  <si>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</si>
  <si>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</si>
  <si>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</si>
  <si>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</si>
  <si>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</si>
  <si>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</si>
  <si>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</si>
  <si>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</si>
  <si>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</si>
  <si>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</si>
  <si>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</si>
  <si>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</si>
  <si>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</si>
  <si>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</si>
  <si>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</si>
  <si>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</si>
  <si>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</si>
  <si>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</si>
  <si>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</si>
  <si>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</si>
  <si>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</si>
  <si>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</si>
  <si>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</si>
  <si>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</si>
  <si>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</si>
  <si>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</si>
  <si>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</si>
  <si>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</si>
  <si>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</si>
  <si>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</si>
  <si>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</si>
  <si>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</si>
  <si>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</si>
  <si>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</si>
  <si>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</si>
  <si>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</si>
  <si>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</si>
  <si>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</si>
  <si>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</si>
  <si>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</si>
  <si>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</si>
  <si>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</si>
  <si>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</si>
  <si>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</si>
  <si>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</si>
  <si>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</si>
  <si>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</si>
  <si>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</si>
  <si>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</si>
  <si>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</si>
  <si>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</si>
  <si>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</si>
  <si>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</si>
  <si>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</si>
  <si>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</si>
  <si>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</si>
  <si>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</si>
  <si>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</si>
  <si>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</si>
  <si>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</si>
  <si>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</si>
  <si>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</si>
  <si>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</si>
  <si>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</si>
  <si>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</si>
  <si>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</si>
  <si>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</si>
  <si>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</si>
  <si>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</si>
  <si>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</si>
  <si>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</si>
  <si>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</si>
  <si>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</si>
  <si>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</si>
  <si>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</si>
  <si>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</si>
  <si>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</si>
  <si>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</si>
  <si>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</si>
  <si>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</si>
  <si>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</si>
  <si>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</si>
  <si>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</si>
  <si>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</si>
  <si>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</si>
  <si>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</si>
  <si>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</si>
  <si>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</si>
  <si>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</si>
  <si>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</si>
  <si>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</si>
  <si>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</si>
  <si>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</si>
  <si>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</si>
  <si>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</si>
  <si>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</si>
  <si>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</si>
  <si>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</si>
  <si>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</si>
  <si>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</si>
  <si>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</si>
  <si>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</si>
  <si>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</si>
  <si>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</si>
  <si>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</si>
  <si>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</si>
  <si>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</si>
  <si>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</si>
  <si>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</si>
  <si>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</si>
  <si>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</si>
  <si>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</si>
  <si>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</si>
  <si>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</si>
  <si>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</si>
  <si>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</si>
  <si>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</si>
  <si>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</si>
  <si>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</si>
  <si>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</si>
  <si>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</si>
  <si>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</si>
  <si>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</si>
  <si>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</si>
  <si>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</si>
  <si>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</si>
  <si>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</si>
  <si>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</si>
  <si>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</si>
  <si>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</si>
  <si>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</si>
  <si>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</si>
  <si>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</si>
  <si>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</si>
  <si>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</si>
  <si>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</si>
  <si>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</si>
  <si>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</si>
  <si>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</si>
  <si>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</si>
  <si>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</si>
  <si>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</si>
  <si>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</si>
  <si>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</si>
  <si>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</si>
  <si>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</si>
  <si>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</si>
  <si>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</si>
  <si>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</si>
  <si>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</si>
  <si>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</si>
  <si>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</si>
  <si>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</si>
  <si>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</si>
  <si>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</si>
  <si>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</si>
  <si>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</si>
  <si>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</si>
  <si>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</si>
  <si>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</si>
  <si>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</si>
  <si>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</si>
  <si>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</si>
  <si>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</si>
  <si>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</si>
  <si>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</si>
  <si>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</si>
  <si>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</si>
  <si>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</si>
  <si>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</si>
  <si>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</si>
  <si>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</si>
  <si>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</si>
  <si>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</si>
  <si>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</si>
  <si>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</si>
  <si>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</si>
  <si>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</si>
  <si>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</si>
  <si>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</si>
  <si>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</si>
  <si>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</si>
  <si>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</si>
  <si>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</si>
  <si>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</si>
  <si>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</si>
  <si>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</si>
  <si>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</si>
  <si>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</si>
  <si>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</si>
  <si>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</si>
  <si>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</si>
  <si>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</si>
  <si>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</si>
  <si>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</si>
  <si>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</si>
  <si>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</si>
  <si>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</si>
  <si>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</si>
  <si>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</si>
  <si>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</si>
  <si>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</si>
  <si>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</si>
  <si>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</si>
  <si>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</si>
  <si>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</si>
  <si>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</si>
  <si>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</si>
  <si>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</si>
  <si>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</si>
  <si>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</si>
  <si>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</si>
  <si>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</si>
  <si>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</si>
  <si>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</si>
  <si>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</si>
  <si>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</si>
  <si>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</si>
  <si>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</si>
  <si>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</si>
  <si>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</si>
  <si>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</si>
  <si>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</si>
  <si>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</si>
  <si>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</si>
  <si>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</si>
  <si>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</si>
  <si>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</si>
  <si>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</si>
  <si>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</si>
  <si>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</si>
  <si>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</si>
  <si>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</si>
  <si>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</si>
  <si>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</si>
  <si>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</si>
  <si>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</si>
  <si>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</si>
  <si>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</si>
  <si>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</si>
  <si>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</si>
  <si>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</si>
  <si>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</si>
  <si>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</si>
  <si>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</si>
  <si>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</si>
  <si>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</si>
  <si>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</si>
  <si>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</si>
  <si>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</si>
  <si>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</si>
  <si>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</si>
  <si>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</si>
  <si>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</si>
  <si>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</si>
  <si>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</si>
  <si>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</si>
  <si>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</si>
  <si>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</si>
  <si>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</si>
  <si>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</si>
  <si>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</si>
  <si>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</si>
  <si>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</si>
  <si>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</si>
  <si>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</si>
  <si>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</si>
  <si>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</si>
  <si>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</si>
  <si>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</si>
  <si>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</si>
  <si>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</si>
  <si>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</si>
  <si>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</si>
  <si>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</si>
  <si>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</si>
  <si>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</si>
  <si>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</si>
  <si>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</si>
  <si>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</si>
  <si>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</si>
  <si>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</si>
  <si>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</si>
  <si>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</si>
  <si>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</si>
  <si>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</si>
  <si>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</si>
  <si>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</si>
  <si>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</si>
  <si>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</si>
  <si>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</si>
  <si>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</si>
  <si>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</si>
  <si>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</si>
  <si>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</si>
  <si>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</si>
  <si>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</si>
  <si>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</si>
  <si>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</si>
  <si>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</si>
  <si>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</si>
  <si>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</si>
  <si>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</si>
  <si>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</si>
  <si>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</si>
  <si>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</si>
  <si>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</si>
  <si>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</si>
  <si>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</si>
  <si>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</si>
  <si>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</si>
  <si>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</si>
  <si>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</si>
  <si>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</si>
  <si>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</si>
  <si>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</si>
  <si>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</si>
  <si>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</si>
  <si>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</si>
  <si>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</si>
  <si>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</si>
  <si>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</si>
  <si>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</si>
  <si>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</si>
  <si>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</si>
  <si>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</si>
  <si>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</si>
  <si>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</si>
  <si>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</si>
  <si>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</si>
  <si>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</si>
  <si>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</si>
  <si>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</si>
  <si>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</si>
  <si>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</si>
  <si>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</si>
  <si>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</si>
  <si>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</si>
  <si>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</si>
  <si>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</si>
  <si>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</si>
  <si>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</si>
  <si>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</si>
  <si>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</si>
  <si>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</si>
  <si>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</si>
  <si>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</si>
  <si>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</si>
  <si>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</si>
  <si>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</si>
  <si>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</si>
  <si>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</si>
  <si>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</si>
  <si>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</si>
  <si>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</si>
  <si>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</si>
  <si>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</si>
  <si>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</si>
  <si>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</si>
  <si>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</si>
  <si>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</si>
  <si>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</si>
  <si>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</si>
  <si>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</si>
  <si>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</si>
  <si>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</si>
  <si>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</si>
  <si>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</si>
  <si>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</si>
  <si>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</si>
  <si>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</si>
  <si>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</si>
  <si>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</si>
  <si>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</si>
  <si>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</si>
  <si>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</si>
  <si>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</si>
  <si>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</si>
  <si>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</si>
  <si>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</si>
  <si>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</si>
  <si>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</si>
  <si>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</si>
  <si>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</si>
  <si>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</si>
  <si>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</si>
  <si>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</si>
  <si>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</si>
  <si>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</si>
  <si>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</si>
  <si>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</si>
  <si>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</si>
  <si>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</si>
  <si>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</si>
  <si>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</si>
  <si>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</si>
  <si>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</si>
  <si>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</si>
  <si>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</si>
  <si>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</si>
  <si>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</si>
  <si>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</si>
  <si>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</si>
  <si>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</si>
  <si>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</si>
  <si>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</si>
  <si>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</si>
  <si>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</si>
  <si>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</si>
  <si>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</si>
  <si>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</si>
  <si>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</si>
  <si>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</si>
  <si>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</si>
  <si>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</si>
  <si>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</si>
  <si>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</si>
  <si>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</si>
  <si>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</si>
  <si>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</si>
  <si>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</si>
  <si>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</si>
  <si>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</si>
  <si>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</si>
  <si>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</si>
  <si>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</si>
  <si>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</si>
  <si>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</si>
  <si>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</si>
  <si>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</si>
  <si>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</si>
  <si>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</si>
  <si>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</si>
  <si>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</si>
  <si>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</si>
  <si>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</si>
  <si>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</si>
  <si>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</si>
  <si>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</si>
  <si>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</si>
  <si>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</si>
  <si>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</si>
  <si>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</si>
  <si>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</si>
  <si>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</si>
  <si>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</si>
  <si>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</si>
  <si>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</si>
  <si>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</si>
  <si>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</si>
  <si>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</si>
  <si>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</si>
  <si>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</si>
  <si>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</si>
  <si>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</si>
  <si>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</si>
  <si>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</si>
  <si>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</si>
  <si>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</si>
  <si>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</si>
  <si>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</si>
  <si>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</si>
  <si>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</si>
  <si>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</si>
  <si>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</si>
  <si>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</si>
  <si>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</si>
  <si>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</si>
  <si>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</si>
  <si>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</si>
  <si>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</si>
  <si>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</si>
  <si>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</si>
  <si>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</si>
  <si>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</si>
  <si>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</si>
  <si>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</si>
  <si>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</si>
  <si>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</si>
  <si>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</si>
  <si>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</si>
  <si>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</si>
  <si>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</si>
  <si>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</si>
  <si>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</si>
  <si>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</si>
  <si>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</si>
  <si>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</si>
  <si>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</si>
  <si>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</si>
  <si>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</si>
  <si>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</si>
  <si>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</si>
  <si>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</si>
  <si>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</si>
  <si>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</si>
  <si>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</si>
  <si>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</si>
  <si>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</si>
  <si>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</si>
  <si>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</si>
  <si>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</si>
  <si>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</si>
  <si>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</si>
  <si>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</si>
  <si>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</si>
  <si>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</si>
  <si>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</si>
  <si>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</si>
  <si>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</si>
  <si>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</si>
  <si>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</si>
  <si>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</si>
  <si>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</si>
  <si>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</si>
  <si>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</si>
  <si>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</si>
  <si>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</si>
  <si>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</si>
  <si>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</si>
  <si>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</si>
  <si>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</si>
  <si>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</si>
  <si>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</si>
  <si>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</si>
  <si>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</si>
  <si>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</si>
  <si>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</si>
  <si>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</si>
  <si>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</si>
  <si>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</si>
  <si>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</si>
  <si>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</si>
  <si>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</si>
  <si>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</si>
  <si>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</si>
  <si>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</si>
  <si>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</si>
  <si>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</si>
  <si>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</si>
  <si>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</si>
  <si>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</si>
  <si>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</si>
  <si>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</si>
  <si>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</si>
  <si>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</si>
  <si>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</si>
  <si>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</si>
  <si>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</si>
  <si>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</si>
  <si>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</si>
  <si>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</si>
  <si>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</si>
  <si>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</si>
  <si>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</si>
  <si>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</si>
  <si>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</si>
  <si>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</si>
  <si>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</si>
  <si>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</si>
  <si>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</si>
  <si>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</si>
  <si>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</si>
  <si>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</si>
  <si>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</si>
  <si>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</si>
  <si>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</si>
  <si>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</si>
  <si>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</si>
  <si>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</si>
  <si>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</si>
  <si>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</si>
  <si>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</si>
  <si>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</si>
  <si>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</si>
  <si>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</si>
  <si>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</si>
  <si>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</si>
  <si>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</si>
  <si>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</si>
  <si>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</si>
  <si>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</si>
  <si>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</si>
  <si>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</si>
  <si>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</si>
  <si>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</si>
  <si>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</si>
  <si>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</si>
  <si>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</si>
  <si>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</si>
  <si>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</si>
  <si>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</si>
  <si>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</si>
  <si>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</si>
  <si>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</si>
  <si>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</si>
  <si>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</si>
  <si>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</si>
  <si>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</si>
  <si>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</si>
  <si>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</si>
  <si>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</si>
  <si>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</si>
  <si>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</si>
  <si>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</si>
  <si>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</si>
  <si>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</si>
  <si>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</si>
  <si>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</si>
  <si>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</si>
  <si>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</si>
  <si>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</si>
  <si>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</si>
  <si>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</si>
  <si>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</si>
  <si>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</si>
  <si>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</si>
  <si>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</si>
  <si>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</si>
  <si>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</si>
  <si>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</si>
  <si>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</si>
  <si>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</si>
  <si>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</si>
  <si>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</si>
  <si>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</si>
  <si>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</si>
  <si>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</si>
  <si>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</si>
  <si>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</si>
  <si>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</si>
  <si>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</si>
  <si>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</si>
  <si>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</si>
  <si>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</si>
  <si>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</si>
  <si>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</si>
  <si>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</si>
  <si>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</si>
  <si>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</si>
  <si>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</si>
  <si>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</si>
  <si>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</si>
  <si>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</si>
  <si>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</si>
  <si>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</si>
  <si>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</si>
  <si>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</si>
  <si>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</si>
  <si>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</si>
  <si>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</si>
  <si>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</si>
  <si>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</si>
  <si>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</si>
  <si>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</si>
  <si>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</si>
  <si>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</si>
  <si>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</si>
  <si>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</si>
  <si>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</si>
  <si>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</si>
  <si>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</si>
  <si>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</si>
  <si>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</si>
  <si>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</si>
  <si>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</si>
  <si>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</si>
  <si>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</si>
  <si>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</si>
  <si>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</si>
  <si>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</si>
  <si>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</si>
  <si>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</si>
  <si>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</si>
  <si>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</si>
  <si>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</si>
  <si>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</si>
  <si>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</si>
  <si>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</si>
  <si>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</si>
  <si>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</si>
  <si>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</si>
  <si>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</si>
  <si>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</si>
  <si>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</si>
  <si>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</si>
  <si>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</si>
  <si>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</si>
  <si>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</si>
  <si>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</si>
  <si>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</si>
  <si>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</si>
  <si>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</si>
  <si>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</si>
  <si>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</si>
  <si>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</si>
  <si>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</si>
  <si>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</si>
  <si>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</si>
  <si>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</si>
  <si>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</si>
  <si>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</si>
  <si>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</si>
  <si>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</si>
  <si>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</si>
  <si>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</si>
  <si>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</si>
  <si>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</si>
  <si>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</si>
  <si>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</si>
  <si>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</si>
  <si>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</si>
  <si>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</si>
  <si>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</si>
  <si>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</si>
  <si>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</si>
  <si>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</si>
  <si>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</si>
  <si>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</si>
  <si>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</si>
  <si>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</si>
  <si>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</si>
  <si>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</si>
  <si>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</si>
  <si>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</si>
  <si>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</si>
  <si>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</si>
  <si>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</si>
  <si>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</si>
  <si>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</si>
  <si>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</si>
  <si>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</si>
  <si>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</si>
  <si>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</si>
  <si>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</si>
  <si>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</si>
  <si>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</si>
  <si>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</si>
  <si>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</si>
  <si>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</si>
  <si>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</si>
  <si>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</si>
  <si>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</si>
  <si>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</si>
  <si>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</si>
  <si>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</si>
  <si>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</si>
  <si>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</si>
  <si>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</si>
  <si>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</si>
  <si>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</si>
  <si>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</si>
  <si>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</si>
  <si>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</si>
  <si>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</si>
  <si>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</si>
  <si>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</si>
  <si>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</si>
  <si>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</si>
  <si>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</si>
  <si>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</si>
  <si>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</si>
  <si>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</si>
  <si>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</si>
  <si>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</si>
  <si>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</si>
  <si>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</si>
  <si>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</si>
  <si>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</si>
  <si>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</si>
  <si>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</si>
  <si>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</si>
  <si>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</si>
  <si>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</si>
  <si>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</si>
  <si>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</si>
  <si>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</si>
  <si>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</si>
  <si>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</si>
  <si>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</si>
  <si>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</si>
  <si>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</si>
  <si>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</si>
  <si>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</si>
  <si>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</si>
  <si>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</si>
  <si>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</si>
  <si>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</si>
  <si>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</si>
  <si>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</si>
  <si>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</si>
  <si>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</si>
  <si>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</si>
  <si>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</si>
  <si>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</si>
  <si>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</si>
  <si>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</si>
  <si>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</si>
  <si>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</si>
  <si>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</si>
  <si>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</si>
  <si>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</si>
  <si>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</si>
  <si>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</si>
  <si>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</si>
  <si>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</si>
  <si>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</si>
  <si>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</si>
  <si>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</si>
  <si>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</si>
  <si>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</si>
  <si>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</si>
  <si>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</si>
  <si>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</si>
  <si>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</si>
  <si>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</si>
  <si>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</si>
  <si>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</si>
  <si>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</si>
  <si>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</si>
  <si>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</si>
  <si>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</si>
  <si>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</si>
  <si>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</si>
  <si>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</si>
  <si>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</si>
  <si>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</si>
  <si>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</si>
  <si>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</si>
  <si>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</si>
  <si>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</si>
  <si>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</si>
  <si>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</si>
  <si>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</si>
  <si>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</si>
  <si>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</si>
  <si>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</si>
  <si>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</si>
  <si>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</si>
  <si>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</si>
  <si>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</si>
  <si>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</si>
  <si>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</si>
  <si>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</si>
  <si>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</si>
  <si>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</si>
  <si>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</si>
  <si>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</si>
  <si>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</si>
  <si>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</si>
  <si>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</si>
  <si>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</si>
  <si>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</si>
  <si>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</si>
  <si>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</si>
  <si>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</si>
  <si>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</si>
  <si>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</si>
  <si>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</si>
  <si>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</si>
  <si>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</si>
  <si>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</si>
  <si>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</si>
  <si>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</si>
  <si>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</si>
  <si>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</si>
  <si>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</si>
  <si>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</si>
  <si>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</si>
  <si>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</si>
  <si>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</si>
  <si>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</si>
  <si>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</si>
  <si>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</si>
  <si>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</si>
  <si>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</si>
  <si>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</si>
  <si>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</si>
  <si>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</si>
  <si>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</si>
  <si>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</si>
  <si>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</si>
  <si>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</si>
  <si>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</si>
  <si>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</si>
  <si>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</si>
  <si>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</si>
  <si>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</si>
  <si>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</si>
  <si>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</si>
  <si>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</si>
  <si>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</si>
  <si>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</si>
  <si>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</si>
  <si>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</si>
  <si>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</si>
  <si>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</si>
  <si>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</si>
  <si>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</si>
  <si>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</si>
  <si>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</si>
  <si>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</si>
  <si>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</si>
  <si>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</si>
  <si>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</si>
  <si>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</si>
  <si>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</si>
  <si>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</si>
  <si>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</si>
  <si>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</si>
  <si>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</si>
  <si>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</si>
  <si>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</si>
  <si>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</si>
  <si>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</si>
  <si>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</si>
  <si>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</si>
  <si>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</si>
  <si>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</si>
  <si>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</si>
  <si>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</si>
  <si>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</si>
  <si>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</si>
  <si>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</si>
  <si>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</si>
  <si>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</si>
  <si>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</si>
  <si>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</si>
  <si>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</si>
  <si>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</si>
  <si>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</si>
  <si>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</si>
  <si>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</si>
  <si>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</si>
  <si>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</si>
  <si>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</si>
  <si>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</si>
  <si>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</si>
  <si>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</si>
  <si>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</si>
  <si>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</si>
  <si>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</si>
  <si>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</si>
  <si>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</si>
  <si>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</si>
  <si>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</si>
  <si>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</si>
  <si>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</si>
  <si>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</si>
  <si>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</si>
  <si>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</si>
  <si>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</si>
  <si>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</si>
  <si>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</si>
  <si>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</si>
  <si>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</si>
  <si>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</si>
  <si>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</si>
  <si>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</si>
  <si>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</si>
  <si>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</si>
  <si>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</si>
  <si>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</si>
  <si>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</si>
  <si>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</si>
  <si>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</si>
  <si>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</si>
  <si>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</si>
  <si>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</si>
  <si>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</si>
  <si>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</si>
  <si>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</si>
  <si>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</si>
  <si>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</si>
  <si>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</si>
  <si>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</si>
  <si>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</si>
  <si>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</si>
  <si>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</si>
  <si>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</si>
  <si>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</si>
  <si>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</si>
  <si>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</si>
  <si>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</si>
  <si>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</si>
  <si>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</si>
  <si>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</si>
  <si>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</si>
  <si>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</si>
  <si>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</si>
  <si>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</si>
  <si>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</si>
  <si>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</si>
  <si>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</si>
  <si>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</si>
  <si>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</si>
  <si>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</si>
  <si>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</si>
  <si>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</si>
  <si>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</si>
  <si>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</si>
  <si>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</si>
  <si>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</si>
  <si>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</si>
  <si>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</si>
  <si>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</si>
  <si>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</si>
  <si>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</si>
  <si>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</si>
  <si>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</si>
  <si>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</si>
  <si>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</si>
  <si>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</si>
  <si>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</si>
  <si>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</si>
  <si>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</si>
  <si>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</si>
  <si>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</si>
  <si>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</si>
  <si>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</si>
  <si>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</si>
  <si>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</si>
  <si>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</si>
  <si>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</si>
  <si>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</si>
  <si>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</si>
  <si>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</si>
  <si>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</si>
  <si>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</si>
  <si>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</si>
  <si>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</si>
  <si>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</si>
  <si>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</si>
  <si>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</si>
  <si>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</si>
  <si>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</si>
  <si>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</si>
  <si>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</si>
  <si>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</si>
  <si>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</si>
  <si>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</si>
  <si>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</si>
  <si>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</si>
  <si>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</si>
  <si>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</si>
  <si>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</si>
  <si>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</si>
  <si>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</si>
  <si>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</si>
  <si>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</si>
  <si>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</si>
  <si>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</si>
  <si>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</si>
  <si>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</si>
  <si>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</si>
  <si>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</si>
  <si>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</si>
  <si>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</si>
  <si>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</si>
  <si>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</si>
  <si>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</si>
  <si>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</si>
  <si>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</si>
  <si>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</si>
  <si>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</si>
  <si>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</si>
  <si>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</si>
  <si>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</si>
  <si>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</si>
  <si>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</si>
  <si>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</si>
  <si>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</si>
  <si>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</si>
  <si>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</si>
  <si>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</si>
  <si>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</si>
  <si>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</si>
  <si>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</si>
  <si>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</si>
  <si>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</si>
  <si>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</si>
  <si>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</si>
  <si>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</si>
  <si>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</si>
  <si>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</si>
  <si>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</si>
  <si>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</si>
  <si>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</si>
  <si>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</si>
  <si>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</si>
  <si>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</si>
  <si>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</si>
  <si>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</si>
  <si>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</si>
  <si>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</si>
  <si>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</si>
  <si>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</si>
  <si>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</si>
  <si>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</si>
  <si>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</si>
  <si>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</si>
  <si>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</si>
  <si>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</si>
  <si>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</si>
  <si>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</si>
  <si>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</si>
  <si>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</si>
  <si>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</si>
  <si>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</si>
  <si>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</si>
  <si>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</si>
  <si>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</si>
  <si>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</si>
  <si>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</si>
  <si>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</si>
  <si>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</si>
  <si>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</si>
  <si>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</si>
  <si>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</si>
  <si>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</si>
  <si>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</si>
  <si>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</si>
  <si>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</si>
  <si>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</si>
  <si>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</si>
  <si>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</si>
  <si>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</si>
  <si>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</si>
  <si>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</si>
  <si>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</si>
  <si>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</si>
  <si>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</si>
  <si>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</si>
  <si>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</si>
  <si>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</si>
  <si>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</si>
  <si>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</si>
  <si>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</si>
  <si>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</si>
  <si>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</si>
  <si>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</si>
  <si>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</si>
  <si>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</si>
  <si>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</si>
  <si>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</si>
  <si>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</si>
  <si>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</si>
  <si>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</si>
  <si>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</si>
  <si>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</si>
  <si>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</si>
  <si>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</si>
  <si>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</si>
  <si>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</si>
  <si>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</si>
  <si>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</si>
  <si>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</si>
  <si>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</si>
  <si>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</si>
  <si>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</si>
  <si>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</si>
  <si>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</si>
  <si>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</si>
  <si>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</si>
  <si>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</si>
  <si>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</si>
  <si>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</si>
  <si>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</si>
  <si>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</si>
  <si>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</si>
  <si>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</si>
  <si>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</si>
  <si>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</si>
  <si>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</si>
  <si>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</si>
  <si>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</si>
  <si>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</si>
  <si>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</si>
  <si>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</si>
  <si>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</si>
  <si>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</si>
  <si>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</si>
  <si>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</si>
  <si>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</si>
  <si>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</si>
  <si>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</si>
  <si>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</si>
  <si>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</si>
  <si>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</si>
  <si>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</si>
  <si>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</si>
  <si>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</si>
  <si>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</si>
  <si>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</si>
  <si>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</si>
  <si>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</si>
  <si>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</si>
  <si>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</si>
  <si>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</si>
  <si>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</si>
  <si>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</si>
  <si>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</si>
  <si>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</si>
  <si>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</si>
  <si>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</si>
  <si>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</si>
  <si>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</si>
  <si>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</si>
  <si>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</si>
  <si>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</si>
  <si>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</si>
  <si>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</si>
  <si>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</si>
  <si>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</si>
  <si>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</si>
  <si>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</si>
  <si>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</si>
  <si>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</si>
  <si>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</si>
  <si>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</si>
  <si>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</si>
  <si>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</si>
  <si>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</si>
  <si>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</si>
  <si>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</si>
  <si>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</si>
  <si>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</si>
  <si>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</si>
  <si>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</si>
  <si>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</si>
  <si>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</si>
  <si>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</si>
  <si>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</si>
  <si>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</si>
  <si>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</si>
  <si>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</si>
  <si>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</si>
  <si>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</si>
  <si>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</si>
  <si>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</si>
  <si>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</si>
  <si>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</si>
  <si>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</si>
  <si>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</si>
  <si>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</si>
  <si>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</si>
  <si>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</si>
  <si>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</si>
  <si>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</si>
  <si>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</si>
  <si>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</si>
  <si>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</si>
  <si>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</si>
  <si>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</si>
  <si>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</si>
  <si>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</si>
  <si>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</si>
  <si>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</si>
  <si>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</si>
  <si>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</si>
  <si>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</si>
  <si>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</si>
  <si>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</si>
  <si>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</si>
  <si>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</si>
  <si>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</si>
  <si>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</si>
  <si>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</si>
  <si>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</si>
  <si>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</si>
  <si>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</si>
  <si>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</si>
  <si>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</si>
  <si>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</si>
  <si>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</si>
  <si>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</si>
  <si>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</si>
  <si>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</si>
  <si>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</si>
  <si>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</si>
  <si>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</si>
  <si>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</si>
  <si>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</si>
  <si>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</si>
  <si>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</si>
  <si>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</si>
  <si>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</si>
  <si>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</si>
  <si>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</si>
  <si>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</si>
  <si>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</si>
  <si>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</si>
  <si>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</si>
  <si>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</si>
  <si>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</si>
  <si>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</si>
  <si>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</si>
  <si>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</si>
  <si>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</si>
  <si>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</si>
  <si>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</si>
  <si>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</si>
  <si>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</si>
  <si>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</si>
  <si>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</si>
  <si>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</si>
  <si>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</si>
  <si>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</si>
  <si>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</si>
  <si>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</si>
  <si>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</si>
  <si>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</si>
  <si>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</si>
  <si>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</si>
  <si>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</si>
  <si>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</si>
  <si>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</si>
  <si>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</si>
  <si>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</si>
  <si>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</si>
  <si>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</si>
  <si>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</si>
  <si>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</si>
  <si>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</si>
  <si>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</si>
  <si>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</si>
  <si>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</si>
  <si>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</si>
  <si>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</si>
  <si>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</si>
  <si>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</si>
  <si>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</si>
  <si>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</si>
  <si>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</si>
  <si>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</si>
  <si>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</si>
  <si>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</si>
  <si>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</si>
  <si>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</si>
  <si>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</si>
  <si>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</si>
  <si>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</si>
  <si>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</si>
  <si>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</si>
  <si>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</si>
  <si>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</si>
  <si>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</si>
  <si>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</si>
  <si>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</si>
  <si>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</si>
  <si>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</si>
  <si>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</si>
  <si>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</si>
  <si>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</si>
  <si>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</si>
  <si>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</si>
  <si>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</si>
  <si>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</si>
  <si>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</si>
  <si>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</si>
  <si>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</si>
  <si>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</si>
  <si>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</si>
  <si>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</si>
  <si>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</si>
  <si>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</si>
  <si>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</si>
  <si>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</si>
  <si>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</si>
  <si>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</si>
  <si>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</si>
  <si>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</si>
  <si>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</si>
  <si>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</si>
  <si>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</si>
  <si>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</si>
  <si>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</si>
  <si>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</si>
  <si>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</si>
  <si>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</si>
  <si>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</si>
  <si>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</si>
  <si>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</si>
  <si>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</si>
  <si>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</si>
  <si>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</si>
  <si>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</si>
  <si>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</si>
  <si>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</si>
  <si>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</si>
  <si>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</si>
  <si>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</si>
  <si>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</si>
  <si>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</si>
  <si>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</si>
  <si>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</si>
  <si>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</si>
  <si>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</si>
  <si>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</si>
  <si>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</si>
  <si>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</si>
  <si>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</si>
  <si>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</si>
  <si>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</si>
  <si>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</si>
  <si>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</si>
  <si>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</si>
  <si>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</si>
  <si>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</si>
  <si>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</si>
  <si>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</si>
  <si>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</si>
  <si>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</si>
  <si>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</si>
  <si>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</si>
  <si>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</si>
  <si>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</si>
  <si>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</si>
  <si>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</si>
  <si>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</si>
  <si>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</si>
  <si>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</si>
  <si>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</si>
  <si>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</si>
  <si>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</si>
  <si>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</si>
  <si>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</si>
  <si>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</si>
  <si>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</si>
  <si>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</si>
  <si>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</si>
  <si>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</si>
  <si>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</si>
  <si>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</si>
  <si>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</si>
  <si>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</si>
  <si>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</si>
  <si>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</si>
  <si>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</si>
  <si>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</si>
  <si>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</si>
  <si>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</si>
  <si>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</si>
  <si>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</si>
  <si>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</si>
  <si>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</si>
  <si>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</si>
  <si>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</si>
  <si>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</si>
  <si>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</si>
  <si>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</si>
  <si>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</si>
  <si>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</si>
  <si>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</si>
  <si>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</si>
  <si>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</si>
  <si>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</si>
  <si>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</si>
  <si>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</si>
  <si>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</si>
  <si>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</si>
  <si>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</si>
  <si>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</si>
  <si>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</si>
  <si>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</si>
  <si>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</si>
  <si>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</si>
  <si>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</si>
  <si>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</si>
  <si>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</si>
  <si>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</si>
  <si>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</si>
  <si>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</si>
  <si>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</si>
  <si>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</si>
  <si>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</si>
  <si>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</si>
  <si>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</si>
  <si>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</si>
  <si>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</si>
  <si>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</si>
  <si>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</si>
  <si>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</si>
  <si>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</si>
  <si>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</si>
  <si>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</si>
  <si>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</si>
  <si>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</si>
  <si>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</si>
  <si>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</si>
  <si>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</si>
  <si>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</si>
  <si>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</si>
  <si>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</si>
  <si>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</si>
  <si>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</si>
  <si>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</si>
  <si>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</si>
  <si>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</si>
  <si>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</si>
  <si>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</si>
  <si>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</si>
  <si>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</si>
  <si>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</si>
  <si>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</si>
  <si>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</si>
  <si>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</si>
  <si>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</si>
  <si>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</si>
  <si>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</si>
  <si>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</si>
  <si>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</si>
  <si>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</si>
  <si>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</si>
  <si>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</si>
  <si>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</si>
  <si>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</si>
  <si>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</si>
  <si>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</si>
  <si>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</si>
  <si>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</si>
  <si>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</si>
  <si>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</si>
  <si>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</si>
  <si>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</si>
  <si>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</si>
  <si>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</si>
  <si>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</si>
  <si>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</si>
  <si>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</si>
  <si>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</si>
  <si>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</si>
  <si>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</si>
  <si>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</si>
  <si>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</si>
  <si>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</si>
  <si>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</si>
  <si>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</si>
  <si>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</si>
  <si>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</si>
  <si>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</si>
  <si>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</si>
  <si>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</si>
  <si>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</si>
  <si>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</si>
  <si>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</si>
  <si>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</si>
  <si>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</si>
  <si>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</si>
  <si>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</si>
  <si>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</si>
  <si>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</si>
  <si>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</si>
  <si>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</si>
  <si>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</si>
  <si>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</si>
  <si>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</si>
  <si>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</si>
  <si>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</si>
  <si>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</si>
  <si>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</si>
  <si>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</si>
  <si>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</si>
  <si>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</si>
  <si>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</si>
  <si>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</si>
  <si>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</si>
  <si>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</si>
  <si>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</si>
  <si>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</si>
  <si>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</si>
  <si>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</si>
  <si>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</si>
  <si>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</si>
  <si>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</si>
  <si>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</si>
  <si>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</si>
  <si>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</si>
  <si>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</si>
  <si>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</si>
  <si>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</si>
  <si>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</si>
  <si>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</si>
  <si>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</si>
  <si>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</si>
  <si>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</si>
  <si>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</si>
  <si>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</si>
  <si>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</si>
  <si>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</si>
  <si>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</si>
  <si>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</si>
  <si>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</si>
  <si>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</si>
  <si>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</si>
  <si>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</si>
  <si>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</si>
  <si>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</si>
  <si>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</si>
  <si>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</si>
  <si>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</si>
  <si>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</si>
  <si>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</si>
  <si>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</si>
  <si>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</si>
  <si>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</si>
  <si>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</si>
  <si>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</si>
  <si>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</si>
  <si>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</si>
  <si>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</si>
  <si>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</si>
  <si>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</si>
  <si>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</si>
  <si>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</si>
  <si>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</si>
  <si>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</si>
  <si>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</si>
  <si>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</si>
  <si>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</si>
  <si>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</si>
  <si>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</si>
  <si>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</si>
  <si>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</si>
  <si>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</si>
  <si>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</si>
  <si>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</si>
  <si>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</si>
  <si>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</si>
  <si>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</si>
  <si>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</si>
  <si>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</si>
  <si>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</si>
  <si>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</si>
  <si>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</si>
  <si>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</si>
  <si>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</si>
  <si>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</si>
  <si>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</si>
  <si>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</si>
  <si>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</si>
  <si>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</si>
  <si>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</si>
  <si>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</si>
  <si>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</si>
  <si>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</si>
  <si>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</si>
  <si>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</si>
  <si>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</si>
  <si>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</si>
  <si>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</si>
  <si>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</si>
  <si>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</si>
  <si>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</si>
  <si>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</si>
  <si>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</si>
  <si>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</si>
  <si>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</si>
  <si>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</si>
  <si>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</si>
  <si>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</si>
  <si>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</si>
  <si>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</si>
  <si>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</si>
  <si>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</si>
  <si>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</si>
  <si>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</si>
  <si>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</si>
  <si>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</si>
  <si>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</si>
  <si>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</si>
  <si>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</si>
  <si>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</si>
  <si>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</si>
  <si>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</si>
  <si>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</si>
  <si>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</si>
  <si>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</si>
  <si>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</si>
  <si>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</si>
  <si>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</si>
  <si>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</si>
  <si>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</si>
  <si>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</si>
  <si>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</si>
  <si>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</si>
  <si>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</si>
  <si>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</si>
  <si>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</si>
  <si>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</si>
  <si>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</si>
  <si>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</si>
  <si>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</si>
  <si>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</si>
  <si>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</si>
  <si>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</si>
  <si>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</si>
  <si>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</si>
  <si>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</si>
  <si>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</si>
  <si>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</si>
  <si>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</si>
  <si>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</si>
  <si>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</si>
  <si>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</si>
  <si>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</si>
  <si>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</si>
  <si>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</si>
  <si>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</si>
  <si>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</si>
  <si>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</si>
  <si>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</si>
  <si>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</si>
  <si>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</si>
  <si>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</si>
  <si>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</si>
  <si>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</si>
  <si>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</si>
  <si>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</si>
  <si>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</si>
  <si>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</si>
  <si>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</si>
  <si>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</si>
  <si>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</si>
  <si>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</si>
  <si>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</si>
  <si>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</si>
  <si>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</si>
  <si>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</si>
  <si>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</si>
  <si>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</si>
  <si>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</si>
  <si>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</si>
  <si>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</si>
  <si>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</si>
  <si>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</si>
  <si>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</si>
  <si>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</si>
  <si>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</si>
  <si>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</si>
  <si>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</si>
  <si>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</si>
  <si>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</si>
  <si>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</si>
  <si>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</si>
  <si>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</si>
  <si>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</si>
  <si>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</si>
  <si>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</si>
  <si>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</si>
  <si>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</si>
  <si>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</si>
  <si>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</si>
  <si>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</si>
  <si>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</si>
  <si>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</si>
  <si>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</si>
  <si>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</si>
  <si>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</si>
  <si>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</si>
  <si>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</si>
  <si>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</si>
  <si>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</si>
  <si>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</si>
  <si>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</si>
  <si>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</si>
  <si>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</si>
  <si>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</si>
  <si>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</si>
  <si>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</si>
  <si>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</si>
  <si>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</si>
  <si>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</si>
  <si>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</si>
  <si>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</si>
  <si>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</si>
  <si>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</si>
  <si>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</si>
  <si>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</si>
  <si>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</si>
  <si>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</si>
  <si>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</si>
  <si>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</si>
  <si>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</si>
  <si>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</si>
  <si>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</si>
  <si>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</si>
  <si>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</si>
  <si>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</si>
  <si>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</si>
  <si>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</si>
  <si>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</si>
  <si>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</si>
  <si>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</si>
  <si>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</si>
  <si>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</si>
  <si>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</si>
  <si>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</si>
  <si>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</si>
  <si>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</si>
  <si>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</si>
  <si>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</si>
  <si>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</si>
  <si>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</si>
  <si>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</si>
  <si>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</si>
  <si>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</si>
  <si>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</si>
  <si>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</si>
  <si>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</si>
  <si>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</si>
  <si>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</si>
  <si>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</si>
  <si>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</si>
  <si>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</si>
  <si>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</si>
  <si>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</si>
  <si>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</si>
  <si>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</si>
  <si>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</si>
  <si>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</si>
  <si>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</si>
  <si>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</si>
  <si>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</si>
  <si>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</si>
  <si>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</si>
  <si>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</si>
  <si>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</si>
  <si>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</si>
  <si>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</si>
  <si>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</si>
  <si>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</si>
  <si>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</si>
  <si>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</si>
  <si>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</si>
  <si>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</si>
  <si>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</si>
  <si>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</si>
  <si>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</si>
  <si>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</si>
  <si>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</si>
  <si>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</si>
  <si>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</si>
  <si>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</si>
  <si>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</si>
  <si>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</si>
  <si>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</si>
  <si>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</si>
  <si>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</si>
  <si>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</si>
  <si>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</si>
  <si>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</si>
  <si>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</si>
  <si>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</si>
  <si>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</si>
  <si>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</si>
  <si>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</si>
  <si>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</si>
  <si>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</si>
  <si>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</si>
  <si>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</si>
  <si>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</si>
  <si>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</si>
  <si>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</si>
  <si>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</si>
  <si>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</si>
  <si>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</si>
  <si>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</si>
  <si>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</si>
  <si>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</si>
  <si>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</si>
  <si>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</si>
  <si>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</si>
  <si>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</si>
  <si>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</si>
  <si>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</si>
  <si>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</si>
  <si>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</si>
  <si>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</si>
  <si>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</si>
  <si>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</si>
  <si>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</si>
  <si>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</si>
  <si>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</si>
  <si>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</si>
  <si>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</si>
  <si>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</si>
  <si>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</si>
  <si>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</si>
  <si>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</si>
  <si>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</si>
  <si>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</si>
  <si>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</si>
  <si>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</si>
  <si>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</si>
  <si>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</si>
  <si>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</si>
  <si>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</si>
  <si>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</si>
  <si>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</si>
  <si>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</si>
  <si>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</si>
  <si>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</si>
  <si>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</si>
  <si>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</si>
  <si>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</si>
  <si>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</si>
  <si>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</si>
  <si>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</si>
  <si>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</si>
  <si>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</si>
  <si>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</si>
  <si>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</si>
  <si>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</si>
  <si>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</si>
  <si>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</si>
  <si>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</si>
  <si>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</si>
  <si>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</si>
  <si>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</si>
  <si>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</si>
  <si>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</si>
  <si>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</si>
  <si>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</si>
  <si>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</si>
  <si>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</si>
  <si>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</si>
  <si>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</si>
  <si>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</si>
  <si>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</si>
  <si>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</si>
  <si>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</si>
  <si>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</si>
  <si>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</si>
  <si>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</si>
  <si>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</si>
  <si>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</si>
  <si>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</si>
  <si>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</si>
  <si>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</si>
  <si>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</si>
  <si>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</si>
  <si>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</si>
  <si>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</si>
  <si>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</si>
  <si>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</si>
  <si>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</si>
  <si>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</si>
  <si>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</si>
  <si>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</si>
  <si>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</si>
  <si>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</si>
  <si>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</si>
  <si>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</si>
  <si>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</si>
  <si>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</si>
  <si>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</si>
  <si>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</si>
  <si>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</si>
  <si>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</si>
  <si>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</si>
  <si>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</si>
  <si>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</si>
  <si>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</si>
  <si>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</si>
  <si>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</si>
  <si>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</si>
  <si>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</si>
  <si>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</si>
  <si>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</si>
  <si>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</si>
  <si>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</si>
  <si>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</si>
  <si>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</si>
  <si>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</si>
  <si>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</si>
  <si>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</si>
  <si>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</si>
  <si>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</si>
  <si>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</si>
  <si>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</si>
  <si>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</si>
  <si>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</si>
  <si>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</si>
  <si>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</si>
  <si>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</si>
  <si>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</si>
  <si>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</si>
  <si>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</si>
  <si>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</si>
  <si>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</si>
  <si>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</si>
  <si>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</si>
  <si>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</si>
  <si>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</si>
  <si>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</si>
  <si>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</si>
  <si>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</si>
  <si>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</si>
  <si>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</si>
  <si>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</si>
  <si>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</si>
  <si>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</si>
  <si>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</si>
  <si>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</si>
  <si>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</si>
  <si>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</si>
  <si>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</si>
  <si>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</si>
  <si>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</si>
  <si>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</si>
  <si>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</si>
  <si>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</si>
  <si>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</si>
  <si>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</si>
  <si>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</si>
  <si>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</si>
  <si>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</si>
  <si>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</si>
  <si>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</si>
  <si>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</si>
  <si>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</si>
  <si>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</si>
  <si>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</si>
  <si>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</si>
  <si>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</si>
  <si>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</si>
  <si>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</si>
  <si>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</si>
  <si>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</si>
  <si>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</si>
  <si>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</si>
  <si>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</si>
  <si>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</si>
  <si>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</si>
  <si>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</si>
  <si>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</si>
  <si>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</si>
  <si>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</si>
  <si>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</si>
  <si>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</si>
  <si>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</si>
  <si>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</si>
  <si>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</si>
  <si>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</si>
  <si>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</si>
  <si>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</si>
  <si>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</si>
  <si>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</si>
  <si>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</si>
  <si>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</si>
  <si>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</si>
  <si>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</si>
  <si>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</si>
  <si>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</si>
  <si>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</si>
  <si>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</si>
  <si>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</si>
  <si>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</si>
  <si>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</si>
  <si>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</si>
  <si>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</si>
  <si>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</si>
  <si>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</si>
  <si>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</si>
  <si>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</si>
  <si>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</si>
  <si>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</si>
  <si>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</si>
  <si>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</si>
  <si>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</si>
  <si>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</si>
  <si>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</si>
  <si>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</si>
  <si>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</si>
  <si>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</si>
  <si>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</si>
  <si>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</si>
  <si>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</si>
  <si>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</si>
  <si>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</si>
  <si>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</si>
  <si>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</si>
  <si>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</si>
  <si>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</si>
  <si>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</si>
  <si>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</si>
  <si>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</si>
  <si>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</si>
  <si>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</si>
  <si>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</si>
  <si>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</si>
  <si>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</si>
  <si>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</si>
  <si>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</si>
  <si>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</si>
  <si>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</si>
  <si>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</si>
  <si>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</si>
  <si>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</si>
  <si>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</si>
  <si>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</si>
  <si>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</si>
  <si>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</si>
  <si>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</si>
  <si>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</si>
  <si>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</si>
  <si>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</si>
  <si>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</si>
  <si>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</si>
  <si>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</si>
  <si>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</si>
  <si>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</si>
  <si>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</si>
  <si>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</si>
  <si>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</si>
  <si>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</si>
  <si>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</si>
  <si>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</si>
  <si>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</si>
  <si>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</si>
  <si>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</si>
  <si>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</si>
  <si>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</si>
  <si>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</si>
  <si>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</si>
  <si>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</si>
  <si>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</si>
  <si>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</si>
  <si>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</si>
  <si>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</si>
  <si>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</si>
  <si>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</si>
  <si>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</si>
  <si>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</si>
  <si>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</si>
  <si>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</si>
  <si>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</si>
  <si>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</si>
  <si>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</si>
  <si>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</si>
  <si>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</si>
  <si>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</si>
  <si>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</si>
  <si>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</si>
  <si>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</si>
  <si>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</si>
  <si>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</si>
  <si>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</si>
  <si>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</si>
  <si>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</si>
  <si>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</si>
  <si>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</si>
  <si>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</si>
  <si>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</si>
  <si>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</si>
  <si>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</si>
  <si>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</si>
  <si>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</si>
  <si>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</si>
  <si>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</si>
  <si>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</si>
  <si>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</si>
  <si>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</si>
  <si>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</si>
  <si>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</si>
  <si>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</si>
  <si>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</si>
  <si>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</si>
  <si>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</si>
  <si>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</si>
  <si>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</si>
  <si>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</si>
  <si>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</si>
  <si>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</si>
  <si>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</si>
  <si>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</si>
  <si>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</si>
  <si>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</si>
  <si>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</si>
  <si>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</si>
  <si>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</si>
  <si>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</si>
  <si>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</si>
  <si>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</si>
  <si>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</si>
  <si>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</si>
  <si>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</si>
  <si>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</si>
  <si>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</si>
  <si>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</si>
  <si>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</si>
  <si>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</si>
  <si>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</si>
  <si>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</si>
  <si>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</si>
  <si>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</si>
  <si>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</si>
  <si>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</si>
  <si>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</si>
  <si>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</si>
  <si>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</si>
  <si>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</si>
  <si>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</si>
  <si>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</si>
  <si>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</si>
  <si>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</si>
  <si>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</si>
  <si>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</si>
  <si>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</si>
  <si>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</si>
  <si>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</si>
  <si>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</si>
  <si>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</si>
  <si>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</si>
  <si>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</si>
  <si>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</si>
  <si>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</si>
  <si>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</si>
  <si>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</si>
  <si>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</si>
  <si>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</si>
  <si>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</si>
  <si>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</si>
  <si>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</si>
  <si>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</si>
  <si>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</si>
  <si>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</si>
  <si>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</si>
  <si>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</si>
  <si>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</si>
  <si>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</si>
  <si>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</si>
  <si>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</si>
  <si>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</si>
  <si>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</si>
  <si>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</si>
  <si>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</si>
  <si>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</si>
  <si>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</si>
  <si>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</si>
  <si>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</si>
  <si>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</si>
  <si>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</si>
  <si>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</si>
  <si>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</si>
  <si>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</si>
  <si>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</si>
  <si>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</si>
  <si>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</si>
  <si>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</si>
  <si>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</si>
  <si>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</si>
  <si>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</si>
  <si>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</si>
  <si>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</si>
  <si>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</si>
  <si>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</si>
  <si>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</si>
  <si>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</si>
  <si>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</si>
  <si>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</si>
  <si>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</si>
  <si>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</si>
  <si>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</si>
  <si>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</si>
  <si>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</si>
  <si>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</si>
  <si>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</si>
  <si>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</si>
  <si>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</si>
  <si>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</si>
  <si>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</si>
  <si>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</si>
  <si>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</si>
  <si>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</si>
  <si>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</si>
  <si>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</si>
  <si>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</si>
  <si>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</si>
  <si>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</si>
  <si>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</si>
  <si>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</si>
  <si>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</si>
  <si>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</si>
  <si>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</si>
  <si>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</si>
  <si>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</si>
  <si>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</si>
  <si>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</si>
  <si>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</si>
  <si>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</si>
  <si>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</si>
  <si>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</si>
  <si>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</si>
  <si>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</si>
  <si>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</si>
  <si>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</si>
  <si>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</si>
  <si>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</si>
  <si>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</si>
  <si>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</si>
  <si>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</si>
  <si>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</si>
  <si>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</si>
  <si>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</si>
  <si>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</si>
  <si>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</si>
  <si>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</si>
  <si>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</si>
  <si>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</si>
  <si>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</si>
  <si>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</si>
  <si>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</si>
  <si>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</si>
  <si>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</si>
  <si>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</si>
  <si>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</si>
  <si>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</si>
  <si>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</si>
  <si>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</si>
  <si>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</si>
  <si>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</si>
  <si>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</si>
  <si>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</si>
  <si>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</si>
  <si>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</si>
  <si>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</si>
  <si>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</si>
  <si>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</si>
  <si>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</si>
  <si>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</si>
  <si>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</si>
  <si>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</si>
  <si>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</si>
  <si>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</si>
  <si>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</si>
  <si>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</si>
  <si>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</si>
  <si>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</si>
  <si>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</si>
  <si>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</si>
  <si>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</si>
  <si>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</si>
  <si>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</si>
  <si>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</si>
  <si>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</si>
  <si>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</si>
  <si>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</si>
  <si>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</si>
  <si>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</si>
  <si>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</si>
  <si>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</si>
  <si>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</si>
  <si>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</si>
  <si>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</si>
  <si>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</si>
  <si>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</si>
  <si>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</si>
  <si>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</si>
  <si>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</si>
  <si>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</si>
  <si>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</si>
  <si>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</si>
  <si>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</si>
  <si>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</si>
  <si>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</si>
  <si>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</si>
  <si>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</si>
  <si>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</si>
  <si>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</si>
  <si>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</si>
  <si>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</si>
  <si>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</si>
  <si>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</si>
  <si>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</si>
  <si>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</si>
  <si>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</si>
  <si>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</si>
  <si>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</si>
  <si>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</si>
  <si>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</si>
  <si>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</si>
  <si>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</si>
  <si>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</si>
  <si>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</si>
  <si>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</si>
  <si>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</si>
  <si>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</si>
  <si>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</si>
  <si>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</si>
  <si>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</si>
  <si>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</si>
  <si>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</si>
  <si>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</si>
  <si>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</si>
  <si>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</si>
  <si>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</si>
  <si>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</si>
  <si>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</si>
  <si>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</si>
  <si>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</si>
  <si>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</si>
  <si>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</si>
  <si>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</si>
  <si>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</si>
  <si>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</si>
  <si>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</si>
  <si>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</si>
  <si>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</si>
  <si>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</si>
  <si>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</si>
  <si>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</si>
  <si>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</si>
  <si>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</si>
  <si>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</si>
  <si>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</si>
  <si>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</si>
  <si>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</si>
  <si>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</si>
  <si>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</si>
  <si>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</si>
  <si>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</si>
  <si>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</si>
  <si>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</si>
  <si>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</si>
  <si>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</si>
  <si>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</si>
  <si>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</si>
  <si>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</si>
  <si>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</si>
  <si>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</si>
  <si>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</si>
  <si>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</si>
  <si>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</si>
  <si>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</si>
  <si>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</si>
  <si>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</si>
  <si>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</si>
  <si>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</si>
  <si>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</si>
  <si>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</si>
  <si>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</si>
  <si>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</si>
  <si>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</si>
  <si>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</si>
  <si>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</si>
  <si>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</si>
  <si>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</si>
  <si>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</si>
  <si>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</si>
  <si>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</si>
  <si>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</si>
  <si>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</si>
  <si>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</si>
  <si>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</si>
  <si>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</si>
  <si>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</si>
  <si>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</si>
  <si>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</si>
  <si>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</si>
  <si>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</si>
  <si>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</si>
  <si>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</si>
  <si>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</si>
  <si>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</si>
  <si>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</si>
  <si>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</si>
  <si>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</si>
  <si>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</si>
  <si>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</si>
  <si>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</si>
  <si>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</si>
  <si>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</si>
  <si>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</si>
  <si>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</si>
  <si>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</si>
  <si>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</si>
  <si>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</si>
  <si>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</si>
  <si>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</si>
  <si>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</si>
  <si>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</si>
  <si>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</si>
  <si>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</si>
  <si>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</si>
  <si>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</si>
  <si>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</si>
  <si>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</si>
  <si>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</si>
  <si>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</si>
  <si>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</si>
  <si>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</si>
  <si>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</si>
  <si>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</si>
  <si>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</si>
  <si>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</si>
  <si>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</si>
  <si>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</si>
  <si>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</si>
  <si>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</si>
  <si>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</si>
  <si>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</si>
  <si>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</si>
  <si>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</si>
  <si>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</si>
  <si>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</si>
  <si>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</si>
  <si>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</si>
  <si>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</si>
  <si>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</si>
  <si>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</si>
  <si>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</si>
  <si>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</si>
  <si>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</si>
  <si>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</si>
  <si>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</si>
  <si>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</si>
  <si>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</si>
  <si>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</si>
  <si>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</si>
  <si>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</si>
  <si>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</si>
  <si>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</si>
  <si>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</si>
  <si>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</si>
  <si>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</si>
  <si>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</si>
  <si>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</si>
  <si>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</si>
  <si>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</si>
  <si>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</si>
  <si>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</si>
  <si>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</si>
  <si>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</si>
  <si>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</si>
  <si>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</si>
  <si>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</si>
  <si>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</si>
  <si>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</si>
  <si>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</si>
  <si>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</si>
  <si>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</si>
  <si>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</si>
  <si>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</si>
  <si>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</si>
  <si>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</si>
  <si>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</si>
  <si>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</si>
  <si>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</si>
  <si>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</si>
  <si>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</si>
  <si>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</si>
  <si>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</si>
  <si>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</si>
  <si>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</si>
  <si>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</si>
  <si>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</si>
  <si>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</si>
  <si>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</si>
  <si>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</si>
  <si>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</si>
  <si>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</si>
  <si>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</si>
  <si>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</si>
  <si>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</si>
  <si>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</si>
  <si>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</si>
  <si>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</si>
  <si>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</si>
  <si>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</si>
  <si>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</si>
  <si>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</si>
  <si>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</si>
  <si>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</si>
  <si>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</si>
  <si>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</si>
  <si>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</si>
  <si>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</si>
  <si>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</si>
  <si>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</si>
  <si>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</si>
  <si>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</si>
  <si>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</si>
  <si>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</si>
  <si>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</si>
  <si>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</si>
  <si>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</si>
  <si>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</si>
  <si>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</si>
  <si>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</si>
  <si>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</si>
  <si>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</si>
  <si>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</si>
  <si>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</si>
  <si>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</si>
  <si>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</si>
  <si>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</si>
  <si>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</si>
  <si>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</si>
  <si>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</si>
  <si>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</si>
  <si>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</si>
  <si>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</si>
  <si>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</si>
  <si>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</si>
  <si>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</si>
  <si>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</si>
  <si>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</si>
  <si>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</si>
  <si>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</si>
  <si>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</si>
  <si>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</si>
  <si>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</si>
  <si>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</si>
  <si>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</si>
  <si>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</si>
  <si>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</si>
  <si>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</si>
  <si>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</si>
  <si>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</si>
  <si>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</si>
  <si>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</si>
  <si>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</si>
  <si>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</si>
  <si>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</si>
  <si>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</si>
  <si>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</si>
  <si>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</si>
  <si>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</si>
  <si>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</si>
  <si>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</si>
  <si>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</si>
  <si>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</si>
  <si>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</si>
  <si>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</si>
  <si>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</si>
  <si>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</si>
  <si>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</si>
  <si>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</si>
  <si>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</si>
  <si>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</si>
  <si>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</si>
  <si>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</si>
  <si>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</si>
  <si>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</si>
  <si>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</si>
  <si>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</si>
  <si>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</si>
  <si>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</si>
  <si>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</si>
  <si>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</si>
  <si>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</si>
  <si>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</si>
  <si>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</si>
  <si>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</si>
  <si>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</si>
  <si>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</si>
  <si>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</si>
  <si>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</si>
  <si>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</si>
  <si>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</si>
  <si>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</si>
  <si>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</si>
  <si>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</si>
  <si>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</si>
  <si>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</si>
  <si>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</si>
  <si>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</si>
  <si>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</si>
  <si>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</si>
  <si>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</si>
  <si>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</si>
  <si>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</si>
  <si>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</si>
  <si>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</si>
  <si>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</si>
  <si>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</si>
  <si>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</si>
  <si>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</si>
  <si>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</si>
  <si>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</si>
  <si>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</si>
  <si>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</si>
  <si>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</si>
  <si>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</si>
  <si>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</si>
  <si>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</si>
  <si>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</si>
  <si>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</si>
  <si>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</si>
  <si>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</si>
  <si>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</si>
  <si>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</si>
  <si>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</si>
  <si>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</si>
  <si>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</si>
  <si>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</si>
  <si>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</si>
  <si>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</si>
  <si>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</si>
  <si>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</si>
  <si>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</si>
  <si>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</si>
  <si>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</si>
  <si>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</si>
  <si>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</si>
  <si>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</si>
  <si>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</si>
  <si>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</si>
  <si>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</si>
  <si>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</si>
  <si>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</si>
  <si>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</si>
  <si>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</si>
  <si>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</si>
  <si>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</si>
  <si>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</si>
  <si>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</si>
  <si>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</si>
  <si>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</si>
  <si>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</si>
  <si>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</si>
  <si>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</si>
  <si>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</si>
  <si>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</si>
  <si>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</si>
  <si>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</si>
  <si>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</si>
  <si>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</si>
  <si>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</si>
  <si>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</si>
  <si>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</si>
  <si>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</si>
  <si>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</si>
  <si>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</si>
  <si>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</si>
  <si>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</si>
  <si>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</si>
  <si>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</si>
  <si>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</si>
  <si>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</si>
  <si>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</si>
  <si>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</si>
  <si>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</si>
  <si>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</si>
  <si>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</si>
  <si>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</si>
  <si>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</si>
  <si>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</si>
  <si>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</si>
  <si>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</si>
  <si>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</si>
  <si>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</si>
  <si>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</si>
  <si>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</si>
  <si>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</si>
  <si>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</si>
  <si>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</si>
  <si>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</si>
  <si>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</si>
  <si>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</si>
  <si>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</si>
  <si>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</si>
  <si>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</si>
  <si>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</si>
  <si>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</si>
  <si>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</si>
  <si>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</si>
  <si>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</si>
  <si>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</si>
  <si>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</si>
  <si>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</si>
  <si>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</si>
  <si>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</si>
  <si>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</si>
  <si>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</si>
  <si>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</si>
  <si>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</si>
  <si>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</si>
  <si>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</si>
  <si>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</si>
  <si>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</si>
  <si>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</si>
  <si>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</si>
  <si>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</si>
  <si>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</si>
  <si>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</si>
  <si>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</si>
  <si>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</si>
  <si>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</si>
  <si>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</si>
  <si>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</si>
  <si>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</si>
  <si>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</si>
  <si>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</si>
  <si>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</si>
  <si>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</si>
  <si>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</si>
  <si>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</si>
  <si>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</si>
  <si>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</si>
  <si>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</si>
  <si>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</si>
  <si>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</si>
  <si>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</si>
  <si>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</si>
  <si>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</si>
  <si>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</si>
  <si>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</si>
  <si>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</si>
  <si>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</si>
  <si>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</si>
  <si>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</si>
  <si>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</si>
  <si>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</si>
  <si>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</si>
  <si>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</si>
  <si>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</si>
  <si>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</si>
  <si>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</si>
  <si>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</si>
  <si>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</si>
  <si>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</si>
  <si>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</si>
  <si>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</si>
  <si>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</si>
  <si>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</si>
  <si>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</si>
  <si>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</si>
  <si>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</si>
  <si>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</si>
  <si>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</si>
  <si>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</si>
  <si>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</si>
  <si>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</si>
  <si>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</si>
  <si>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</si>
  <si>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</si>
  <si>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</si>
  <si>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</si>
  <si>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</si>
  <si>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</si>
  <si>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</si>
  <si>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</si>
  <si>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</si>
  <si>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</si>
  <si>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</si>
  <si>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</si>
  <si>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</si>
  <si>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</si>
  <si>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</si>
  <si>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</si>
  <si>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</si>
  <si>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</si>
  <si>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</si>
  <si>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</si>
  <si>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</si>
  <si>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</si>
  <si>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</si>
  <si>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</si>
  <si>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</si>
  <si>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</si>
  <si>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</si>
  <si>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</si>
  <si>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</si>
  <si>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</si>
  <si>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</si>
  <si>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</si>
  <si>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</si>
  <si>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</si>
  <si>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</si>
  <si>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</si>
  <si>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</si>
  <si>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</si>
  <si>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</si>
  <si>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</si>
  <si>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</si>
  <si>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</si>
  <si>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</si>
  <si>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</si>
  <si>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</si>
  <si>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</si>
  <si>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</si>
  <si>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</si>
  <si>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</si>
  <si>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</si>
  <si>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</si>
  <si>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</si>
  <si>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</si>
  <si>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</si>
  <si>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</si>
  <si>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</si>
  <si>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</si>
  <si>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</si>
  <si>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</si>
  <si>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</si>
  <si>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</si>
  <si>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</si>
  <si>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</si>
  <si>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</si>
  <si>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</si>
  <si>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</si>
  <si>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</si>
  <si>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</si>
  <si>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</si>
  <si>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</si>
  <si>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</si>
  <si>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</si>
  <si>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</si>
  <si>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</si>
  <si>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</si>
  <si>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</si>
  <si>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</si>
  <si>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</si>
  <si>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</si>
  <si>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</si>
  <si>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</si>
  <si>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</si>
  <si>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</si>
  <si>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</si>
  <si>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</si>
  <si>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</si>
  <si>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</si>
  <si>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</si>
  <si>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</si>
  <si>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</si>
  <si>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</si>
  <si>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</si>
  <si>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</si>
  <si>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</si>
  <si>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</si>
  <si>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</si>
  <si>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</si>
  <si>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</si>
  <si>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</si>
  <si>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</si>
  <si>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</si>
  <si>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</si>
  <si>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</si>
  <si>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</si>
  <si>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</si>
  <si>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</si>
  <si>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</si>
  <si>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</si>
  <si>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</si>
  <si>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</si>
  <si>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</si>
  <si>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</si>
  <si>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</si>
  <si>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</si>
  <si>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</si>
  <si>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</si>
  <si>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</si>
  <si>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</si>
  <si>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</si>
  <si>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</si>
  <si>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</si>
  <si>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</si>
  <si>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</si>
  <si>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</si>
  <si>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</si>
  <si>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</si>
  <si>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</si>
  <si>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</si>
  <si>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</si>
  <si>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</si>
  <si>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</si>
  <si>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</si>
  <si>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</si>
  <si>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</si>
  <si>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</si>
  <si>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</si>
  <si>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</si>
  <si>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</si>
  <si>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</si>
  <si>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</si>
  <si>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</si>
  <si>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</si>
  <si>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</si>
  <si>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</si>
  <si>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</si>
  <si>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</si>
  <si>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</si>
  <si>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</si>
  <si>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</si>
  <si>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</si>
  <si>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</si>
  <si>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</si>
  <si>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</si>
  <si>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</si>
  <si>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</si>
  <si>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</si>
  <si>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</si>
  <si>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</si>
  <si>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</si>
  <si>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</si>
  <si>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</si>
  <si>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</si>
  <si>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</si>
  <si>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</si>
  <si>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</si>
  <si>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</si>
  <si>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</si>
  <si>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</si>
  <si>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</si>
  <si>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</si>
  <si>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</si>
  <si>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</si>
  <si>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</si>
  <si>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</si>
  <si>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</si>
  <si>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</si>
  <si>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</si>
  <si>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</si>
  <si>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</si>
  <si>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</si>
  <si>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</si>
  <si>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</si>
  <si>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</si>
  <si>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</si>
  <si>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</si>
  <si>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</si>
  <si>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</si>
  <si>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</si>
  <si>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</si>
  <si>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</si>
  <si>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</si>
  <si>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</si>
  <si>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</si>
  <si>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</si>
  <si>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</si>
  <si>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</si>
  <si>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</si>
  <si>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</si>
  <si>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</si>
  <si>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</si>
  <si>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</si>
  <si>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</si>
  <si>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</si>
  <si>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</si>
  <si>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</si>
  <si>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</si>
  <si>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</si>
  <si>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</si>
  <si>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</si>
  <si>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</si>
  <si>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</si>
  <si>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</si>
  <si>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</si>
  <si>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</si>
  <si>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</si>
  <si>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</si>
  <si>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</si>
  <si>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</si>
  <si>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</si>
  <si>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</si>
  <si>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</si>
  <si>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</si>
  <si>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</si>
  <si>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</si>
  <si>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</si>
  <si>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</si>
  <si>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</si>
  <si>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</si>
  <si>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</si>
  <si>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</si>
  <si>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</si>
  <si>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</si>
  <si>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</si>
  <si>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</si>
  <si>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</si>
  <si>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</si>
  <si>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</si>
  <si>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</si>
  <si>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</si>
  <si>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</si>
  <si>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</si>
  <si>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</si>
  <si>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</si>
  <si>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</si>
  <si>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</si>
  <si>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</si>
  <si>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</si>
  <si>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</si>
  <si>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</si>
  <si>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</si>
  <si>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</si>
  <si>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</si>
  <si>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</si>
  <si>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</si>
  <si>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</si>
  <si>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</si>
  <si>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</si>
  <si>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</si>
  <si>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</si>
  <si>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</si>
  <si>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</si>
  <si>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</si>
  <si>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</si>
  <si>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</si>
  <si>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</si>
  <si>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</si>
  <si>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</si>
  <si>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</si>
  <si>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</si>
  <si>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</si>
  <si>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</si>
  <si>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</si>
  <si>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</si>
  <si>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</si>
  <si>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</si>
  <si>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</si>
  <si>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</si>
  <si>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</si>
  <si>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</si>
  <si>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</si>
  <si>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</si>
  <si>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</si>
  <si>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</si>
  <si>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</si>
  <si>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</si>
  <si>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</si>
  <si>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</si>
  <si>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</si>
  <si>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</si>
  <si>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</si>
  <si>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</si>
  <si>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</si>
  <si>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</si>
  <si>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</si>
  <si>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</si>
  <si>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</si>
  <si>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</si>
  <si>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</si>
  <si>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</si>
  <si>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</si>
  <si>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</si>
  <si>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</si>
  <si>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</si>
  <si>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</si>
  <si>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</si>
  <si>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</si>
  <si>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</si>
  <si>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</si>
  <si>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</si>
  <si>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</si>
  <si>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</si>
  <si>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</si>
  <si>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</si>
  <si>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</si>
  <si>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</si>
  <si>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</si>
  <si>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</si>
  <si>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</si>
  <si>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</si>
  <si>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</si>
  <si>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</si>
  <si>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</si>
  <si>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</si>
  <si>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</si>
  <si>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</si>
  <si>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</si>
  <si>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</si>
  <si>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</si>
  <si>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</si>
  <si>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</si>
  <si>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</si>
  <si>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</si>
  <si>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</si>
  <si>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</si>
  <si>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</si>
  <si>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</si>
  <si>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</si>
  <si>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</si>
  <si>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</si>
  <si>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</si>
  <si>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</si>
  <si>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</si>
  <si>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</si>
  <si>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</si>
  <si>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</si>
  <si>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</si>
  <si>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</si>
  <si>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</si>
  <si>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</si>
  <si>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</si>
  <si>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</si>
  <si>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</si>
  <si>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</si>
  <si>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</si>
  <si>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</si>
  <si>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</si>
  <si>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</si>
  <si>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</si>
  <si>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</si>
  <si>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</si>
  <si>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</si>
  <si>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</si>
  <si>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</si>
  <si>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</si>
  <si>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</si>
  <si>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</si>
  <si>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</si>
  <si>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</si>
  <si>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</si>
  <si>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</si>
  <si>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</si>
  <si>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</si>
  <si>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</si>
  <si>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</si>
  <si>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</si>
  <si>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</si>
  <si>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</si>
  <si>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</si>
  <si>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</si>
  <si>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</si>
  <si>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</si>
  <si>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</si>
  <si>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</si>
  <si>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</si>
  <si>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</si>
  <si>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</si>
  <si>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</si>
  <si>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</si>
  <si>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</si>
  <si>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</si>
  <si>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</si>
  <si>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</si>
  <si>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</si>
  <si>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</si>
  <si>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</si>
  <si>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</si>
  <si>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</si>
  <si>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</si>
  <si>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</si>
  <si>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</si>
  <si>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</si>
  <si>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</si>
  <si>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</si>
  <si>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</si>
  <si>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</si>
  <si>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</si>
  <si>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</si>
  <si>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</si>
  <si>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</si>
  <si>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</si>
  <si>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</si>
  <si>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</si>
  <si>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</si>
  <si>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</si>
  <si>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</si>
  <si>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</si>
  <si>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</si>
  <si>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</si>
  <si>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</si>
  <si>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</si>
  <si>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</si>
  <si>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</si>
  <si>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</si>
  <si>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</si>
  <si>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</si>
  <si>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</si>
  <si>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</si>
  <si>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</si>
  <si>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</si>
  <si>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</si>
  <si>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</si>
  <si>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</si>
  <si>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</si>
  <si>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</si>
  <si>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</si>
  <si>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</si>
  <si>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</si>
  <si>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</si>
  <si>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</si>
  <si>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</si>
  <si>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</si>
  <si>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</si>
  <si>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</si>
  <si>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</si>
  <si>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</si>
  <si>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</si>
  <si>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</si>
  <si>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</si>
  <si>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</si>
  <si>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</si>
  <si>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</si>
  <si>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</si>
  <si>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</si>
  <si>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</si>
  <si>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</si>
  <si>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</si>
  <si>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</si>
  <si>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</si>
  <si>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</si>
  <si>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</si>
  <si>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</si>
  <si>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</si>
  <si>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</si>
  <si>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</si>
  <si>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</si>
  <si>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</si>
  <si>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</si>
  <si>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</si>
  <si>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</si>
  <si>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</si>
  <si>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</si>
  <si>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</si>
  <si>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</si>
  <si>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</si>
  <si>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</si>
  <si>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</si>
  <si>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</si>
  <si>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</si>
  <si>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</si>
  <si>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</si>
  <si>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</si>
  <si>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</si>
  <si>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</si>
  <si>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</si>
  <si>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</si>
  <si>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</si>
  <si>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</si>
  <si>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</si>
  <si>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</si>
  <si>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</si>
  <si>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</si>
  <si>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</si>
  <si>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</si>
  <si>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</si>
  <si>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</si>
  <si>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</si>
  <si>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</si>
  <si>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</si>
  <si>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</si>
  <si>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</si>
  <si>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</si>
  <si>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</si>
  <si>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</si>
  <si>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</si>
  <si>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</si>
  <si>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</si>
  <si>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</si>
  <si>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</si>
  <si>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</si>
  <si>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</si>
  <si>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</si>
  <si>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</si>
  <si>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</si>
  <si>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</si>
  <si>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</si>
  <si>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</si>
  <si>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</si>
  <si>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</si>
  <si>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</si>
  <si>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</si>
  <si>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</si>
  <si>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</si>
  <si>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</si>
  <si>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</si>
  <si>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</si>
  <si>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</si>
  <si>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</si>
  <si>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</si>
  <si>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</si>
  <si>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</si>
  <si>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</si>
  <si>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</si>
  <si>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</si>
  <si>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</si>
  <si>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</si>
  <si>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</si>
  <si>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</si>
  <si>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</si>
  <si>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</si>
  <si>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</si>
  <si>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</si>
  <si>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</si>
  <si>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</si>
  <si>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</si>
  <si>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</si>
  <si>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</si>
  <si>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</si>
  <si>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</si>
  <si>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</si>
  <si>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</si>
  <si>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</si>
  <si>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</si>
  <si>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</si>
  <si>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</si>
  <si>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</si>
  <si>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</si>
  <si>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</si>
  <si>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</si>
  <si>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</si>
  <si>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</si>
  <si>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</si>
  <si>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</si>
  <si>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</si>
  <si>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</si>
  <si>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</si>
  <si>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</si>
  <si>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</si>
  <si>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</si>
  <si>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</si>
  <si>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</si>
  <si>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</si>
  <si>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</si>
  <si>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</si>
  <si>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</si>
  <si>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</si>
  <si>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</si>
  <si>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</si>
  <si>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</si>
  <si>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</si>
  <si>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</si>
  <si>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</si>
  <si>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</si>
  <si>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</si>
  <si>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</si>
  <si>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</si>
  <si>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</si>
  <si>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</si>
  <si>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</si>
  <si>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</si>
  <si>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</si>
  <si>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</si>
  <si>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</si>
  <si>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</si>
  <si>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</si>
  <si>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</si>
  <si>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</si>
  <si>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</si>
  <si>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</si>
  <si>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</si>
  <si>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</si>
  <si>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</si>
  <si>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</si>
  <si>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</si>
  <si>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</si>
  <si>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</si>
  <si>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</si>
  <si>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</si>
  <si>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</si>
  <si>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</si>
  <si>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</si>
  <si>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</si>
  <si>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</si>
  <si>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</si>
  <si>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</si>
  <si>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</si>
  <si>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</si>
  <si>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</si>
  <si>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</si>
  <si>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</si>
  <si>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</si>
  <si>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</si>
  <si>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</si>
  <si>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</si>
  <si>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</si>
  <si>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</si>
  <si>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</si>
  <si>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</si>
  <si>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</si>
  <si>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</si>
  <si>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</si>
  <si>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</si>
  <si>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</si>
  <si>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</si>
  <si>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</si>
  <si>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</si>
  <si>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</si>
  <si>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</si>
  <si>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</si>
  <si>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</si>
  <si>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</si>
  <si>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</si>
  <si>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</si>
  <si>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</si>
  <si>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</si>
  <si>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</si>
  <si>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</si>
  <si>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</si>
  <si>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</si>
  <si>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</si>
  <si>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</si>
  <si>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</si>
  <si>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</si>
  <si>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</si>
  <si>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</si>
  <si>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</si>
  <si>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</si>
  <si>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</si>
  <si>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</si>
  <si>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</si>
  <si>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</si>
  <si>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</si>
  <si>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</si>
  <si>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</si>
  <si>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</si>
  <si>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</si>
  <si>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</si>
  <si>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</si>
  <si>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</si>
  <si>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</si>
  <si>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</si>
  <si>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</si>
  <si>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</si>
  <si>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</si>
  <si>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</si>
  <si>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</si>
  <si>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</si>
  <si>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</si>
  <si>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</si>
  <si>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</si>
  <si>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</si>
  <si>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</si>
  <si>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</si>
  <si>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</si>
  <si>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</si>
  <si>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</si>
  <si>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</si>
  <si>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</si>
  <si>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</si>
  <si>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</si>
  <si>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</si>
  <si>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</si>
  <si>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</si>
  <si>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</si>
  <si>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</si>
  <si>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</si>
  <si>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</si>
  <si>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</si>
  <si>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</si>
  <si>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</si>
  <si>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</si>
  <si>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</si>
  <si>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</si>
  <si>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</si>
  <si>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</si>
  <si>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</si>
  <si>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</si>
  <si>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</si>
  <si>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</si>
  <si>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</si>
  <si>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</si>
  <si>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</si>
  <si>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</si>
  <si>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</si>
  <si>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</si>
  <si>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</si>
  <si>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</si>
  <si>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</si>
  <si>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</si>
  <si>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</si>
  <si>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</si>
  <si>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</si>
  <si>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</si>
  <si>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</si>
  <si>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</si>
  <si>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</si>
  <si>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</si>
  <si>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</si>
  <si>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</si>
  <si>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</si>
  <si>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</si>
  <si>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</si>
  <si>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</si>
  <si>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</si>
  <si>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</si>
  <si>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</si>
  <si>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</si>
  <si>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</si>
  <si>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</si>
  <si>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</si>
  <si>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</si>
  <si>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</si>
  <si>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</si>
  <si>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</si>
  <si>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</si>
  <si>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</si>
  <si>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</si>
  <si>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</si>
  <si>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</si>
  <si>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</si>
  <si>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</si>
  <si>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</si>
  <si>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</si>
  <si>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</si>
  <si>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</si>
  <si>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</si>
  <si>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</si>
  <si>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</si>
  <si>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</si>
  <si>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</si>
  <si>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</si>
  <si>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</si>
  <si>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</si>
  <si>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</si>
  <si>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</si>
  <si>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</si>
  <si>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</si>
  <si>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</si>
  <si>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</si>
  <si>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</si>
  <si>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</si>
  <si>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</si>
  <si>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</si>
  <si>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</si>
  <si>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</si>
  <si>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</si>
  <si>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</si>
  <si>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</si>
  <si>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</si>
  <si>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</si>
  <si>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</si>
  <si>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</si>
  <si>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</si>
  <si>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</si>
  <si>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</si>
  <si>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</si>
  <si>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</si>
  <si>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</si>
  <si>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</si>
  <si>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</si>
  <si>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</si>
  <si>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</si>
  <si>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</si>
  <si>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</si>
  <si>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</si>
  <si>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</si>
  <si>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</si>
  <si>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</si>
  <si>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</si>
  <si>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</si>
  <si>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</si>
  <si>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</si>
  <si>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</si>
  <si>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</si>
  <si>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</si>
  <si>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</si>
  <si>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</si>
  <si>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</si>
  <si>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</si>
  <si>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</si>
  <si>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</si>
  <si>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</si>
  <si>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</si>
  <si>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</si>
  <si>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</si>
  <si>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</si>
  <si>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</si>
  <si>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</si>
  <si>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</si>
  <si>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</si>
  <si>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</si>
  <si>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</si>
  <si>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</si>
  <si>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</si>
  <si>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</si>
  <si>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</si>
  <si>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</si>
  <si>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</si>
  <si>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</si>
  <si>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</si>
  <si>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</si>
  <si>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</si>
  <si>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</si>
  <si>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</si>
  <si>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</si>
  <si>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</si>
  <si>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</si>
  <si>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</si>
  <si>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</si>
  <si>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</si>
  <si>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</si>
  <si>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</si>
  <si>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</si>
  <si>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</si>
  <si>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</si>
  <si>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</si>
  <si>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</si>
  <si>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</si>
  <si>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</si>
  <si>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</si>
  <si>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</si>
  <si>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</si>
  <si>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</si>
  <si>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</si>
  <si>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</si>
  <si>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</si>
  <si>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</si>
  <si>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</si>
  <si>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</si>
  <si>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</si>
  <si>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</si>
  <si>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</si>
  <si>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</si>
  <si>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</si>
  <si>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</si>
  <si>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</si>
  <si>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</si>
  <si>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</si>
  <si>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</si>
  <si>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</si>
  <si>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</si>
  <si>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</si>
  <si>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</si>
  <si>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</si>
  <si>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</si>
  <si>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</si>
  <si>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</si>
  <si>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</si>
  <si>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</si>
  <si>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</si>
  <si>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</si>
  <si>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</si>
  <si>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</si>
  <si>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</si>
  <si>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</si>
  <si>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</si>
  <si>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</si>
  <si>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</si>
  <si>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</si>
  <si>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</si>
  <si>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</si>
  <si>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</si>
  <si>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</si>
  <si>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</si>
  <si>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</si>
  <si>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</si>
  <si>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</si>
  <si>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</si>
  <si>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</si>
  <si>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</si>
  <si>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</si>
  <si>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</si>
  <si>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</si>
  <si>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</si>
  <si>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</si>
  <si>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</si>
  <si>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</si>
  <si>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</si>
  <si>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</si>
  <si>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</si>
  <si>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</si>
  <si>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</si>
  <si>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</si>
  <si>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</si>
  <si>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</si>
  <si>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</si>
  <si>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</si>
  <si>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</si>
  <si>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</si>
  <si>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</si>
  <si>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</si>
  <si>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</si>
  <si>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</si>
  <si>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</si>
  <si>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</si>
  <si>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</si>
  <si>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</si>
  <si>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</si>
  <si>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</si>
  <si>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</si>
  <si>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</si>
  <si>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</si>
  <si>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</si>
  <si>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</si>
  <si>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</si>
  <si>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</si>
  <si>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</si>
  <si>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</si>
  <si>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</si>
  <si>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</si>
  <si>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</si>
  <si>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</si>
  <si>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</si>
  <si>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</si>
  <si>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</si>
  <si>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</si>
  <si>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</si>
  <si>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</si>
  <si>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</si>
  <si>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</si>
  <si>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</si>
  <si>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</si>
  <si>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</si>
  <si>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</si>
  <si>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</si>
  <si>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</si>
  <si>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</si>
  <si>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</si>
  <si>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</si>
  <si>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</si>
  <si>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</si>
  <si>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</si>
  <si>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</si>
  <si>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</si>
  <si>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</si>
  <si>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</si>
  <si>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</si>
  <si>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</si>
  <si>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</si>
  <si>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</si>
  <si>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</si>
  <si>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</si>
  <si>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</si>
  <si>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</si>
  <si>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</si>
  <si>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</si>
  <si>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</si>
  <si>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</si>
  <si>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</si>
  <si>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</si>
  <si>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</si>
  <si>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</si>
  <si>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</si>
  <si>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</si>
  <si>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</si>
  <si>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</si>
  <si>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</si>
  <si>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</si>
  <si>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</si>
  <si>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</si>
  <si>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</si>
  <si>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</si>
  <si>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</si>
  <si>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</si>
  <si>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</si>
  <si>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</si>
  <si>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</si>
  <si>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</si>
  <si>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</si>
  <si>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</si>
  <si>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</si>
  <si>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</si>
  <si>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</si>
  <si>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</si>
  <si>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</si>
  <si>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</si>
  <si>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</si>
  <si>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</si>
  <si>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</si>
  <si>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</si>
  <si>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</si>
  <si>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</si>
  <si>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</si>
  <si>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</si>
  <si>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</si>
  <si>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</si>
  <si>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</si>
  <si>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</si>
  <si>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</si>
  <si>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</si>
  <si>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</si>
  <si>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</si>
  <si>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</si>
  <si>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</si>
  <si>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</si>
  <si>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</si>
  <si>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</si>
  <si>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</si>
  <si>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</si>
  <si>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</si>
  <si>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</si>
  <si>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</si>
  <si>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</si>
  <si>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</si>
  <si>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</si>
  <si>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</si>
  <si>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</si>
  <si>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</si>
  <si>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</si>
  <si>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</si>
  <si>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</si>
  <si>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</si>
  <si>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</si>
  <si>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</si>
  <si>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</si>
  <si>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</si>
  <si>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</si>
  <si>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</si>
  <si>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</si>
  <si>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</si>
  <si>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</si>
  <si>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</si>
  <si>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</si>
  <si>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</si>
  <si>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</si>
  <si>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</si>
  <si>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</si>
  <si>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</si>
  <si>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</si>
  <si>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</si>
  <si>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</si>
  <si>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</si>
  <si>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</si>
  <si>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</si>
  <si>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</si>
  <si>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</si>
  <si>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</si>
  <si>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</si>
  <si>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</si>
  <si>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</si>
  <si>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</si>
  <si>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</si>
  <si>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</si>
  <si>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</si>
  <si>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</si>
  <si>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</si>
  <si>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</si>
  <si>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</si>
  <si>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</si>
  <si>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</si>
  <si>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</si>
  <si>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</si>
  <si>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</si>
  <si>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</si>
  <si>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</si>
  <si>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</si>
  <si>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</si>
  <si>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</si>
  <si>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</si>
  <si>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</si>
  <si>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</si>
  <si>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</si>
  <si>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</si>
  <si>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</si>
  <si>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</si>
  <si>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</si>
  <si>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</si>
  <si>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</si>
  <si>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</si>
  <si>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</si>
  <si>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</si>
  <si>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</si>
  <si>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</si>
  <si>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</si>
  <si>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</si>
  <si>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</si>
  <si>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</si>
  <si>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</si>
  <si>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</si>
  <si>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</si>
  <si>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</si>
  <si>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</si>
  <si>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</si>
  <si>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</si>
  <si>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</si>
  <si>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</si>
  <si>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</si>
  <si>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</si>
  <si>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</si>
  <si>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</si>
  <si>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</si>
  <si>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</si>
  <si>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</si>
  <si>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</si>
  <si>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</si>
  <si>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</si>
  <si>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</si>
  <si>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</si>
  <si>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</si>
  <si>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</si>
  <si>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</si>
  <si>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</si>
  <si>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</si>
  <si>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</si>
  <si>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</si>
  <si>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</si>
  <si>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</si>
  <si>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</si>
  <si>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</si>
  <si>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</si>
  <si>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</si>
  <si>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</si>
  <si>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</si>
  <si>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</si>
  <si>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</si>
  <si>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</si>
  <si>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</si>
  <si>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</si>
  <si>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</si>
  <si>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</si>
  <si>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</si>
  <si>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</si>
  <si>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</si>
  <si>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</si>
  <si>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</si>
  <si>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</si>
  <si>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</si>
  <si>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</si>
  <si>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</si>
  <si>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</si>
  <si>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</si>
  <si>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</si>
  <si>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</si>
  <si>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</si>
  <si>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</si>
  <si>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</si>
  <si>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</si>
  <si>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</si>
  <si>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</si>
  <si>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</si>
  <si>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</si>
  <si>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</si>
  <si>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</si>
  <si>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</si>
  <si>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</si>
  <si>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</si>
  <si>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</si>
  <si>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</si>
  <si>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</si>
  <si>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</si>
  <si>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</si>
  <si>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</si>
  <si>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</si>
  <si>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</si>
  <si>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</si>
  <si>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</si>
  <si>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</si>
  <si>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</si>
  <si>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</si>
  <si>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</si>
  <si>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</si>
  <si>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</si>
  <si>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</si>
  <si>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</si>
  <si>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</si>
  <si>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</si>
  <si>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</si>
  <si>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</si>
  <si>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</si>
  <si>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</si>
  <si>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</si>
  <si>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</si>
  <si>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</si>
  <si>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</si>
  <si>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</si>
  <si>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</si>
  <si>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</si>
  <si>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</si>
  <si>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</si>
  <si>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</si>
  <si>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</si>
  <si>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</si>
  <si>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</si>
  <si>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</si>
  <si>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</si>
  <si>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</si>
  <si>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</si>
  <si>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</si>
  <si>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</si>
  <si>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</si>
  <si>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</si>
  <si>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</si>
  <si>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</si>
  <si>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</si>
  <si>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</si>
  <si>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</si>
  <si>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</si>
  <si>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</si>
  <si>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</si>
  <si>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</si>
  <si>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</si>
  <si>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</si>
  <si>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</si>
  <si>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</si>
  <si>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</si>
  <si>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</si>
  <si>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</si>
  <si>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</si>
  <si>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</si>
  <si>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</si>
  <si>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</si>
  <si>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</si>
  <si>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</si>
  <si>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</si>
  <si>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</si>
  <si>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</si>
  <si>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</si>
  <si>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</si>
  <si>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</si>
  <si>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</si>
  <si>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</si>
  <si>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</si>
  <si>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</si>
  <si>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</si>
  <si>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</si>
  <si>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</si>
  <si>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</si>
  <si>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</si>
  <si>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</si>
  <si>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</si>
  <si>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</si>
  <si>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</si>
  <si>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</si>
  <si>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</si>
  <si>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</si>
  <si>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</si>
  <si>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</si>
  <si>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</si>
  <si>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</si>
  <si>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</si>
  <si>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</si>
  <si>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</si>
  <si>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</si>
  <si>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</si>
  <si>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</si>
  <si>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</si>
  <si>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</si>
  <si>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</si>
  <si>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</si>
  <si>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</si>
  <si>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</si>
  <si>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</si>
  <si>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</si>
  <si>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</si>
  <si>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</si>
  <si>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</si>
  <si>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</si>
  <si>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</si>
  <si>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</si>
  <si>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</si>
  <si>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</si>
  <si>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</si>
  <si>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</si>
  <si>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</si>
  <si>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</si>
  <si>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</si>
  <si>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</si>
  <si>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</si>
  <si>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</si>
  <si>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</si>
  <si>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</si>
  <si>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</si>
  <si>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</si>
  <si>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</si>
  <si>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</si>
  <si>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</si>
  <si>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</si>
  <si>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</si>
  <si>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</si>
  <si>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</si>
  <si>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</si>
  <si>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</si>
  <si>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</si>
  <si>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</si>
  <si>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</si>
  <si>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</si>
  <si>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</si>
  <si>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</si>
  <si>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</si>
  <si>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</si>
  <si>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</si>
  <si>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</si>
  <si>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</si>
  <si>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</si>
  <si>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</si>
  <si>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</si>
  <si>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</si>
  <si>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</si>
  <si>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</si>
  <si>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</si>
  <si>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</si>
  <si>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</si>
  <si>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</si>
  <si>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</si>
  <si>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</si>
  <si>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</si>
  <si>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</si>
  <si>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</si>
  <si>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</si>
  <si>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</si>
  <si>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</si>
  <si>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</si>
  <si>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</si>
  <si>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</si>
  <si>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</si>
  <si>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</si>
  <si>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</si>
  <si>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</si>
  <si>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</si>
  <si>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</si>
  <si>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</si>
  <si>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</si>
  <si>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</si>
  <si>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</si>
  <si>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</si>
  <si>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</si>
  <si>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</si>
  <si>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</si>
  <si>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</si>
  <si>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</si>
  <si>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</si>
  <si>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</si>
  <si>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</si>
  <si>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</si>
  <si>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</si>
  <si>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</si>
  <si>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</si>
  <si>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</si>
  <si>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</si>
  <si>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</si>
  <si>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</si>
  <si>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</si>
  <si>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</si>
  <si>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</si>
  <si>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</si>
  <si>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</si>
  <si>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</si>
  <si>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</si>
  <si>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</si>
  <si>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</si>
  <si>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</si>
  <si>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</si>
  <si>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</si>
  <si>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</si>
  <si>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</si>
  <si>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</si>
  <si>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</si>
  <si>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</si>
  <si>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</si>
  <si>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</si>
  <si>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</si>
  <si>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</si>
  <si>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</si>
  <si>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</si>
  <si>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</si>
  <si>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</si>
  <si>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</si>
  <si>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</si>
  <si>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</si>
  <si>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</si>
  <si>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</si>
  <si>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</si>
  <si>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</si>
  <si>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</si>
  <si>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</si>
  <si>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</si>
  <si>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</si>
  <si>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</si>
  <si>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</si>
  <si>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</si>
  <si>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</si>
  <si>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</si>
  <si>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</si>
  <si>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</si>
  <si>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</si>
  <si>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</si>
  <si>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</si>
  <si>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</si>
  <si>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</si>
  <si>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</si>
  <si>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</si>
  <si>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</si>
  <si>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</si>
  <si>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</si>
  <si>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</si>
  <si>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</si>
  <si>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</si>
  <si>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</si>
  <si>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</si>
  <si>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</si>
  <si>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</si>
  <si>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</si>
  <si>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</si>
  <si>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</si>
  <si>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</si>
  <si>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</si>
  <si>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</si>
  <si>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</si>
  <si>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</si>
  <si>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</si>
  <si>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</si>
  <si>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</si>
  <si>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</si>
  <si>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</si>
  <si>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</si>
  <si>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</si>
  <si>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</si>
  <si>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</si>
  <si>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</si>
  <si>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</si>
  <si>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</si>
  <si>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</si>
  <si>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</si>
  <si>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</si>
  <si>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</si>
  <si>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</si>
  <si>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</si>
  <si>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</si>
  <si>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</si>
  <si>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</si>
  <si>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</si>
  <si>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</si>
  <si>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</si>
  <si>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</si>
  <si>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</si>
  <si>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</si>
  <si>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</si>
  <si>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</si>
  <si>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</si>
  <si>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</si>
  <si>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</si>
  <si>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</si>
  <si>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</si>
  <si>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</si>
  <si>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</si>
  <si>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</si>
  <si>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</si>
  <si>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</si>
  <si>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</si>
  <si>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</si>
  <si>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</si>
  <si>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</si>
  <si>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</si>
  <si>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</si>
  <si>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</si>
  <si>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</si>
  <si>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</si>
  <si>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</si>
  <si>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</si>
  <si>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</si>
  <si>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</si>
  <si>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</si>
  <si>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</si>
  <si>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</si>
  <si>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</si>
  <si>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</si>
  <si>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</si>
  <si>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</si>
  <si>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</si>
  <si>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</si>
  <si>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</si>
  <si>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</si>
  <si>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</si>
  <si>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</si>
  <si>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</si>
  <si>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</si>
  <si>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</si>
  <si>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</si>
  <si>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</si>
  <si>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</si>
  <si>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</si>
  <si>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</si>
  <si>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</si>
  <si>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</si>
  <si>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</si>
  <si>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</si>
  <si>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</si>
  <si>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</si>
  <si>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</si>
  <si>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</si>
  <si>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</si>
  <si>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</si>
  <si>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</si>
  <si>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</si>
  <si>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</si>
  <si>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</si>
  <si>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</si>
  <si>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</si>
  <si>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</si>
  <si>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</si>
  <si>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</si>
  <si>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</si>
  <si>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</si>
  <si>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</si>
  <si>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</si>
  <si>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</si>
  <si>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</si>
  <si>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</si>
  <si>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</si>
  <si>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</si>
  <si>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</si>
  <si>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</si>
  <si>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</si>
  <si>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</si>
  <si>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</si>
  <si>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</si>
  <si>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</si>
  <si>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</si>
  <si>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</si>
  <si>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</si>
  <si>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</si>
  <si>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</si>
  <si>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</si>
  <si>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</si>
  <si>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</si>
  <si>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</si>
  <si>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</si>
  <si>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</si>
  <si>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</si>
  <si>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</si>
  <si>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</si>
  <si>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</si>
  <si>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</si>
  <si>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</si>
  <si>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</si>
  <si>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</si>
  <si>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</si>
  <si>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</si>
  <si>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</si>
  <si>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</si>
  <si>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</si>
  <si>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</si>
  <si>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</si>
  <si>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</si>
  <si>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</si>
  <si>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</si>
  <si>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</si>
  <si>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</si>
  <si>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</si>
  <si>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</si>
  <si>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</si>
  <si>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</si>
  <si>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</si>
  <si>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</si>
  <si>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</si>
  <si>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</si>
  <si>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</si>
  <si>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</si>
  <si>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</si>
  <si>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</si>
  <si>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</si>
  <si>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</si>
  <si>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</si>
  <si>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</si>
  <si>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</si>
  <si>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</si>
  <si>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</si>
  <si>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</si>
  <si>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</si>
  <si>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</si>
  <si>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</si>
  <si>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</si>
  <si>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</si>
  <si>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</si>
  <si>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</si>
  <si>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</si>
  <si>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</si>
  <si>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</si>
  <si>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</si>
  <si>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</si>
  <si>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</si>
  <si>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</si>
  <si>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</si>
  <si>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</si>
  <si>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</si>
  <si>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</si>
  <si>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</si>
  <si>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</si>
  <si>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</si>
  <si>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</si>
  <si>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</si>
  <si>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</si>
  <si>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</si>
  <si>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</si>
  <si>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</si>
  <si>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</si>
  <si>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</si>
  <si>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</si>
  <si>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</si>
  <si>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</si>
  <si>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</si>
  <si>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</si>
  <si>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</si>
  <si>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</si>
  <si>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</si>
  <si>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</si>
  <si>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</si>
  <si>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</si>
  <si>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</si>
  <si>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</si>
  <si>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</si>
  <si>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</si>
  <si>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</si>
  <si>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</si>
  <si>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</si>
  <si>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</si>
  <si>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</si>
  <si>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</si>
  <si>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</si>
  <si>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</si>
  <si>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</si>
  <si>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</si>
  <si>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</si>
  <si>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</si>
  <si>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</si>
  <si>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</si>
  <si>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</si>
  <si>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</si>
  <si>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</si>
  <si>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</si>
  <si>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</si>
  <si>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</si>
  <si>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</si>
  <si>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</si>
  <si>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</si>
  <si>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</si>
  <si>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</si>
  <si>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</si>
  <si>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</si>
  <si>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</si>
  <si>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</si>
  <si>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</si>
  <si>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</si>
  <si>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</si>
  <si>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</si>
  <si>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</si>
  <si>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</si>
  <si>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</si>
  <si>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</si>
  <si>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</si>
  <si>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</si>
  <si>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</si>
  <si>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</si>
  <si>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</si>
  <si>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</si>
  <si>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</si>
  <si>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</si>
  <si>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</si>
  <si>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</si>
  <si>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</si>
  <si>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</si>
  <si>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</si>
  <si>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</si>
  <si>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</si>
  <si>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</si>
  <si>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</si>
  <si>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</si>
  <si>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</si>
  <si>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</si>
  <si>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</si>
  <si>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</si>
  <si>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</si>
  <si>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</si>
  <si>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</si>
  <si>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</si>
  <si>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</si>
  <si>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</si>
  <si>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</si>
  <si>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</si>
  <si>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</si>
  <si>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</si>
  <si>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</si>
  <si>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</si>
  <si>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</si>
  <si>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</si>
  <si>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</si>
  <si>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</si>
  <si>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</si>
  <si>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</si>
  <si>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</si>
  <si>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</si>
  <si>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</si>
  <si>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</si>
  <si>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</si>
  <si>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</si>
  <si>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</si>
  <si>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</si>
  <si>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</si>
  <si>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</si>
  <si>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</si>
  <si>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</si>
  <si>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</si>
  <si>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</si>
  <si>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</si>
  <si>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</si>
  <si>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</si>
  <si>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</si>
  <si>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</si>
  <si>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</si>
  <si>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</si>
  <si>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</si>
  <si>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</si>
  <si>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</si>
  <si>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</si>
  <si>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</si>
  <si>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</si>
  <si>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</si>
  <si>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</si>
  <si>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</si>
  <si>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</si>
  <si>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</si>
  <si>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</si>
  <si>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</si>
  <si>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</si>
  <si>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</si>
  <si>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</si>
  <si>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</si>
  <si>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</si>
  <si>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</si>
  <si>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</si>
  <si>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</si>
  <si>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</si>
  <si>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</si>
  <si>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</si>
  <si>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</si>
  <si>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</si>
  <si>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</si>
  <si>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</si>
  <si>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</si>
  <si>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</si>
  <si>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</si>
  <si>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</si>
  <si>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</si>
  <si>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</si>
  <si>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</si>
  <si>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</si>
  <si>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</si>
  <si>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</si>
  <si>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</si>
  <si>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</si>
  <si>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</si>
  <si>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</si>
  <si>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</si>
  <si>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</si>
  <si>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</si>
  <si>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</si>
  <si>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</si>
  <si>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</si>
  <si>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</si>
  <si>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</si>
  <si>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</si>
  <si>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</si>
  <si>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</si>
  <si>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</si>
  <si>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</si>
  <si>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</si>
  <si>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</si>
  <si>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</si>
  <si>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</si>
  <si>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</si>
  <si>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</si>
  <si>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</si>
  <si>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</si>
  <si>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</si>
  <si>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</si>
  <si>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</si>
  <si>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</si>
  <si>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</si>
  <si>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</si>
  <si>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</si>
  <si>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</si>
  <si>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</si>
  <si>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</si>
  <si>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</si>
  <si>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</si>
  <si>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</si>
  <si>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</si>
  <si>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</si>
  <si>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</si>
  <si>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</si>
  <si>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</si>
  <si>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</si>
  <si>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</si>
  <si>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</si>
  <si>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</si>
  <si>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</si>
  <si>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</si>
  <si>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</si>
  <si>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</si>
  <si>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</si>
  <si>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</si>
  <si>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</si>
  <si>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</si>
  <si>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</si>
  <si>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</si>
  <si>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</si>
  <si>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</si>
  <si>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</si>
  <si>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</si>
  <si>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</si>
  <si>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</si>
  <si>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</si>
  <si>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</si>
  <si>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</si>
  <si>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</si>
  <si>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</si>
  <si>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</si>
  <si>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</si>
  <si>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</si>
  <si>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</si>
  <si>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</si>
  <si>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</si>
  <si>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</si>
  <si>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</si>
  <si>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</si>
  <si>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</si>
  <si>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</si>
  <si>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</si>
  <si>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</si>
  <si>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</si>
  <si>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</si>
  <si>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</si>
  <si>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</si>
  <si>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</si>
  <si>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</si>
  <si>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</si>
  <si>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</si>
  <si>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</si>
  <si>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</si>
  <si>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</si>
  <si>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</si>
  <si>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</si>
  <si>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</si>
  <si>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</si>
  <si>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</si>
  <si>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</si>
  <si>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</si>
  <si>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</si>
  <si>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</si>
  <si>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</si>
  <si>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</si>
  <si>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</si>
  <si>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</si>
  <si>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</si>
  <si>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</si>
  <si>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</si>
  <si>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</si>
  <si>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</si>
  <si>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</si>
  <si>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</si>
  <si>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</si>
  <si>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</si>
  <si>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</si>
  <si>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</si>
  <si>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</si>
  <si>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</si>
  <si>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</si>
  <si>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</si>
  <si>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</si>
  <si>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</si>
  <si>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</si>
  <si>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</si>
  <si>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</si>
  <si>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</si>
  <si>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</si>
  <si>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</si>
  <si>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</si>
  <si>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</si>
  <si>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</si>
  <si>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</si>
  <si>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</si>
  <si>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</si>
  <si>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</si>
  <si>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</si>
  <si>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</si>
  <si>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</si>
  <si>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</si>
  <si>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</si>
  <si>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</si>
  <si>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</si>
  <si>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</si>
  <si>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</si>
  <si>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</si>
  <si>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</si>
  <si>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</si>
  <si>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</si>
  <si>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</si>
  <si>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</si>
  <si>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</si>
  <si>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</si>
  <si>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</si>
  <si>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</si>
  <si>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</si>
  <si>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</si>
  <si>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</si>
  <si>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</si>
  <si>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</si>
  <si>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</si>
  <si>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</si>
  <si>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</si>
  <si>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</si>
  <si>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</si>
  <si>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</si>
  <si>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</si>
  <si>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</si>
  <si>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</si>
  <si>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</si>
  <si>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</si>
  <si>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</si>
  <si>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</si>
  <si>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</si>
  <si>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</si>
  <si>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</si>
  <si>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</si>
  <si>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</si>
  <si>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</si>
  <si>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</si>
  <si>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</si>
  <si>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</si>
  <si>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</si>
  <si>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</si>
  <si>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</si>
  <si>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</si>
  <si>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</si>
  <si>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</si>
  <si>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</si>
  <si>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</si>
  <si>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</si>
  <si>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</si>
  <si>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</si>
  <si>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</si>
  <si>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</si>
  <si>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</si>
  <si>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</si>
  <si>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</si>
  <si>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</si>
  <si>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</si>
  <si>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</si>
  <si>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</si>
  <si>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</si>
  <si>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</si>
  <si>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</si>
  <si>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</si>
  <si>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</si>
  <si>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</si>
  <si>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</si>
  <si>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</si>
  <si>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</si>
  <si>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</si>
  <si>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</si>
  <si>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</si>
  <si>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</si>
  <si>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</si>
  <si>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</si>
  <si>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</si>
  <si>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</si>
  <si>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</si>
  <si>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</si>
  <si>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</si>
  <si>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</si>
  <si>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</si>
  <si>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</si>
  <si>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</si>
  <si>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</si>
  <si>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</si>
  <si>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</si>
  <si>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</si>
  <si>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</si>
  <si>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</si>
  <si>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</si>
  <si>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</si>
  <si>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</si>
  <si>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</si>
  <si>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</si>
  <si>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</si>
  <si>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</si>
  <si>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</si>
  <si>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</si>
  <si>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</si>
  <si>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</si>
  <si>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</si>
  <si>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</si>
  <si>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</si>
  <si>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</si>
  <si>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</si>
  <si>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</si>
  <si>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</si>
  <si>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</si>
  <si>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</si>
  <si>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</si>
  <si>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</si>
  <si>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</si>
  <si>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</si>
  <si>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</si>
  <si>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</si>
  <si>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</si>
  <si>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</si>
  <si>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</si>
  <si>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</si>
  <si>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</si>
  <si>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</si>
  <si>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</si>
  <si>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</si>
  <si>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</si>
  <si>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</si>
  <si>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</si>
  <si>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</si>
  <si>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</si>
  <si>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</si>
  <si>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</si>
  <si>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</si>
  <si>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</si>
  <si>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</si>
  <si>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</si>
  <si>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</si>
  <si>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</si>
  <si>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</si>
  <si>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</si>
  <si>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</si>
  <si>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</si>
  <si>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</si>
  <si>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</si>
  <si>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</si>
  <si>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</si>
  <si>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</si>
  <si>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</si>
  <si>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</si>
  <si>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</si>
  <si>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</si>
  <si>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</si>
  <si>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</si>
  <si>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</si>
  <si>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</si>
  <si>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</si>
  <si>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</si>
  <si>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</si>
  <si>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</si>
  <si>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</si>
  <si>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</si>
  <si>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</si>
  <si>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</si>
  <si>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</si>
  <si>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</si>
  <si>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</si>
  <si>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</si>
  <si>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</si>
  <si>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</si>
  <si>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</si>
  <si>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</si>
  <si>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</si>
  <si>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</si>
  <si>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</si>
  <si>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</si>
  <si>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</si>
  <si>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</si>
  <si>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</si>
  <si>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</si>
  <si>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</si>
  <si>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</si>
  <si>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</si>
  <si>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</si>
  <si>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</si>
  <si>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</si>
  <si>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</si>
  <si>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</si>
  <si>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</si>
  <si>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</si>
  <si>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</si>
  <si>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</si>
  <si>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</si>
  <si>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</si>
  <si>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</si>
  <si>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</si>
  <si>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</si>
  <si>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</si>
  <si>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</si>
  <si>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</si>
  <si>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</si>
  <si>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</si>
  <si>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</si>
  <si>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</si>
  <si>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</si>
  <si>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</si>
  <si>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</si>
  <si>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</si>
  <si>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</si>
  <si>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</si>
  <si>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</si>
  <si>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</si>
  <si>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</si>
  <si>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</si>
  <si>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</si>
  <si>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</si>
  <si>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</si>
  <si>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</si>
  <si>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</si>
  <si>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</si>
  <si>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</si>
  <si>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</si>
  <si>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</si>
  <si>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</si>
  <si>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</si>
  <si>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</si>
  <si>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</si>
  <si>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</si>
  <si>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</si>
  <si>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</si>
  <si>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</si>
  <si>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</si>
  <si>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</si>
  <si>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</si>
  <si>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</si>
  <si>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</si>
  <si>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</si>
  <si>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</si>
  <si>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</si>
  <si>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</si>
  <si>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</si>
  <si>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</si>
  <si>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</si>
  <si>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</si>
  <si>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</si>
  <si>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</si>
  <si>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</si>
  <si>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</si>
  <si>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</si>
  <si>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</si>
  <si>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</si>
  <si>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</si>
  <si>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</si>
  <si>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</si>
  <si>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</si>
  <si>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</si>
  <si>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</si>
  <si>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</si>
  <si>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</si>
  <si>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</si>
  <si>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</si>
  <si>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</si>
  <si>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</si>
  <si>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</si>
  <si>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</si>
  <si>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</si>
  <si>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</si>
  <si>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</si>
  <si>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</si>
  <si>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</si>
  <si>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</si>
  <si>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</si>
  <si>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</si>
  <si>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</si>
  <si>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</si>
  <si>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</si>
  <si>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</si>
  <si>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</si>
  <si>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</si>
  <si>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</si>
  <si>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</si>
  <si>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</si>
  <si>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</si>
  <si>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</si>
  <si>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</si>
  <si>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</si>
  <si>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</si>
  <si>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</si>
  <si>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</si>
  <si>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</si>
  <si>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</si>
  <si>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</si>
  <si>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</si>
  <si>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</si>
  <si>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</si>
  <si>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</si>
  <si>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</si>
  <si>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</si>
  <si>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</si>
  <si>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</si>
  <si>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</si>
  <si>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</si>
  <si>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</si>
  <si>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</si>
  <si>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</si>
  <si>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</si>
  <si>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</si>
  <si>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</si>
  <si>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</si>
  <si>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</si>
  <si>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</si>
  <si>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</si>
  <si>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</si>
  <si>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</si>
  <si>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</si>
  <si>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</si>
  <si>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</si>
  <si>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</si>
  <si>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</si>
  <si>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</si>
  <si>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</si>
  <si>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</si>
  <si>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</si>
  <si>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</si>
  <si>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</si>
  <si>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</si>
  <si>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</si>
  <si>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</si>
  <si>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</si>
  <si>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</si>
  <si>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</si>
  <si>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</si>
  <si>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</si>
  <si>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</si>
  <si>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</si>
  <si>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</si>
  <si>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</si>
  <si>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</si>
  <si>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</si>
  <si>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</si>
  <si>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</si>
  <si>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</si>
  <si>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</si>
  <si>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</si>
  <si>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</si>
  <si>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</si>
  <si>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</si>
  <si>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</si>
  <si>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</si>
  <si>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</si>
  <si>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</si>
  <si>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</si>
  <si>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</si>
  <si>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</si>
  <si>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</si>
  <si>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</si>
  <si>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</si>
  <si>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</si>
  <si>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</si>
  <si>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</si>
  <si>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</si>
  <si>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</si>
  <si>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</si>
  <si>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</si>
  <si>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</si>
  <si>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</si>
  <si>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</si>
  <si>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</si>
  <si>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</si>
  <si>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</si>
  <si>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</si>
  <si>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</si>
  <si>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</si>
  <si>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</si>
  <si>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</si>
  <si>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</si>
  <si>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</si>
  <si>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</si>
  <si>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</si>
  <si>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</si>
  <si>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</si>
  <si>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</si>
  <si>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</si>
  <si>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</si>
  <si>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</si>
  <si>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</si>
  <si>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</si>
  <si>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</si>
  <si>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</si>
  <si>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</si>
  <si>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</si>
  <si>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</si>
  <si>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</si>
  <si>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</si>
  <si>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</si>
  <si>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</si>
  <si>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</si>
  <si>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</si>
  <si>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</si>
  <si>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</si>
  <si>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</si>
  <si>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</si>
  <si>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</si>
  <si>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</si>
  <si>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</si>
  <si>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</si>
  <si>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</si>
  <si>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</si>
  <si>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</si>
  <si>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</si>
  <si>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</si>
  <si>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</si>
  <si>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</si>
  <si>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</si>
  <si>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</si>
  <si>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</si>
  <si>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</si>
  <si>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</si>
  <si>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</si>
  <si>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</si>
  <si>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</si>
  <si>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</si>
  <si>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</si>
  <si>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</si>
  <si>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</si>
  <si>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</si>
  <si>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</si>
  <si>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</si>
  <si>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</si>
  <si>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</si>
  <si>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</si>
  <si>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</si>
  <si>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</si>
  <si>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</si>
  <si>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</si>
  <si>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</si>
  <si>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</si>
  <si>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</si>
  <si>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</si>
  <si>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</si>
  <si>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</si>
  <si>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</si>
  <si>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</si>
  <si>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</si>
  <si>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</si>
  <si>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</si>
  <si>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</si>
  <si>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</si>
  <si>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</si>
  <si>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</si>
  <si>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</si>
  <si>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</si>
  <si>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</si>
  <si>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</si>
  <si>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</si>
  <si>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</si>
  <si>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</si>
  <si>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</si>
  <si>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</si>
  <si>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</si>
  <si>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</si>
  <si>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</si>
  <si>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</si>
  <si>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</si>
  <si>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</si>
  <si>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</si>
  <si>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</si>
  <si>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</si>
  <si>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</si>
  <si>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</si>
  <si>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</si>
  <si>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</si>
  <si>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</si>
  <si>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</si>
  <si>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</si>
  <si>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</si>
  <si>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</si>
  <si>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</si>
  <si>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</si>
  <si>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</si>
  <si>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</si>
  <si>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</si>
  <si>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</si>
  <si>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</si>
  <si>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</si>
  <si>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</si>
  <si>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</si>
  <si>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</si>
  <si>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</si>
  <si>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</si>
  <si>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</si>
  <si>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</si>
  <si>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</si>
  <si>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</si>
  <si>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</si>
  <si>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</si>
  <si>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</si>
  <si>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</si>
  <si>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</si>
  <si>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</si>
  <si>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</si>
  <si>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</si>
  <si>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</si>
  <si>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</si>
  <si>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</si>
  <si>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</si>
  <si>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</si>
  <si>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</si>
  <si>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</si>
  <si>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</si>
  <si>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</si>
  <si>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</si>
  <si>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</si>
  <si>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</si>
  <si>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</si>
  <si>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</si>
  <si>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</si>
  <si>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</si>
  <si>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</si>
  <si>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</si>
  <si>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</si>
  <si>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</si>
  <si>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</si>
  <si>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</si>
  <si>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</si>
  <si>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</si>
  <si>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</si>
  <si>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</si>
  <si>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</si>
  <si>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</si>
  <si>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</si>
  <si>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</si>
  <si>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</si>
  <si>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</si>
  <si>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</si>
  <si>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</si>
  <si>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</si>
  <si>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</si>
  <si>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</si>
  <si>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</si>
  <si>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</si>
  <si>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</si>
  <si>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</si>
  <si>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</si>
  <si>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</si>
  <si>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</si>
  <si>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</si>
  <si>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</si>
  <si>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</si>
  <si>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</si>
  <si>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</si>
  <si>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</si>
  <si>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</si>
  <si>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</si>
  <si>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</si>
  <si>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</si>
  <si>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</si>
  <si>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</si>
  <si>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</si>
  <si>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</si>
  <si>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</si>
  <si>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</si>
  <si>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</si>
  <si>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</si>
  <si>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</si>
  <si>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</si>
  <si>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</si>
  <si>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</si>
  <si>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</si>
  <si>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</si>
  <si>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</si>
  <si>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</si>
  <si>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</si>
  <si>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</si>
  <si>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</si>
  <si>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</si>
  <si>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</si>
  <si>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</si>
  <si>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</si>
  <si>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</si>
  <si>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</si>
  <si>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</si>
  <si>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</si>
  <si>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</si>
  <si>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</si>
  <si>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</si>
  <si>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</si>
  <si>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</si>
  <si>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</si>
  <si>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</si>
  <si>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</si>
  <si>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</si>
  <si>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</si>
  <si>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</si>
  <si>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</si>
  <si>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</si>
  <si>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</si>
  <si>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</si>
  <si>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</si>
  <si>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</si>
  <si>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</si>
  <si>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</si>
  <si>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</si>
  <si>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</si>
  <si>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</si>
  <si>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</si>
  <si>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</si>
  <si>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</si>
  <si>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</si>
  <si>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</si>
  <si>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</si>
  <si>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</si>
  <si>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</si>
  <si>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</si>
  <si>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</si>
  <si>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</si>
  <si>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</si>
  <si>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</si>
  <si>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</si>
  <si>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</si>
  <si>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</si>
  <si>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</si>
  <si>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</si>
  <si>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</si>
  <si>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</si>
  <si>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</si>
  <si>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</si>
  <si>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</si>
  <si>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</si>
  <si>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</si>
  <si>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</si>
  <si>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</si>
  <si>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</si>
  <si>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</si>
  <si>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</si>
  <si>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</si>
  <si>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</si>
  <si>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</si>
  <si>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</si>
  <si>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</si>
  <si>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</si>
  <si>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</si>
  <si>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</si>
  <si>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</si>
  <si>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</si>
  <si>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</si>
  <si>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</si>
  <si>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</si>
  <si>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</si>
  <si>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</si>
  <si>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</si>
  <si>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</si>
  <si>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</si>
  <si>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</si>
  <si>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</si>
  <si>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</si>
  <si>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</si>
  <si>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</si>
  <si>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</si>
  <si>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</si>
  <si>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</si>
  <si>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</si>
  <si>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</si>
  <si>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</si>
  <si>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</si>
  <si>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</si>
  <si>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</si>
  <si>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</si>
  <si>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</si>
  <si>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</si>
  <si>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</si>
  <si>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</si>
  <si>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</si>
  <si>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</si>
  <si>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</si>
  <si>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</si>
  <si>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</si>
  <si>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</si>
  <si>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</si>
  <si>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</si>
  <si>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</si>
  <si>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</si>
  <si>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</si>
  <si>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</si>
  <si>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</si>
  <si>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</si>
  <si>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</si>
  <si>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</si>
  <si>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</si>
  <si>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</si>
  <si>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</si>
  <si>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</si>
  <si>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</si>
  <si>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</si>
  <si>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</si>
  <si>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</si>
  <si>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</si>
  <si>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</si>
  <si>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</si>
  <si>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</si>
  <si>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</si>
  <si>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</si>
  <si>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</si>
  <si>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</si>
  <si>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</si>
  <si>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</si>
  <si>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</si>
  <si>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</si>
  <si>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</si>
  <si>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</si>
  <si>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</si>
  <si>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</si>
  <si>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</si>
  <si>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</si>
  <si>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</si>
  <si>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</si>
  <si>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</si>
  <si>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</si>
  <si>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</si>
  <si>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</si>
  <si>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</si>
  <si>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</si>
  <si>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</si>
  <si>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</si>
  <si>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</si>
  <si>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</si>
  <si>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</si>
  <si>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</si>
  <si>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</si>
  <si>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</si>
  <si>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</si>
  <si>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</si>
  <si>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</si>
  <si>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</si>
  <si>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</si>
  <si>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</si>
  <si>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</si>
  <si>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</si>
  <si>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</si>
  <si>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</si>
  <si>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</si>
  <si>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</si>
  <si>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</si>
  <si>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</si>
  <si>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</si>
  <si>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</si>
  <si>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</si>
  <si>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</si>
  <si>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</si>
  <si>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</si>
  <si>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</si>
  <si>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</si>
  <si>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</si>
  <si>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</si>
  <si>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</si>
  <si>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</si>
  <si>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</si>
  <si>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</si>
  <si>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</si>
  <si>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</si>
  <si>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</si>
  <si>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</si>
  <si>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</si>
  <si>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</si>
  <si>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</si>
  <si>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</si>
  <si>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</si>
  <si>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</si>
  <si>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</si>
  <si>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</si>
  <si>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</si>
  <si>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</si>
  <si>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</si>
  <si>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</si>
  <si>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</si>
  <si>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</si>
  <si>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</si>
  <si>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</si>
  <si>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</si>
  <si>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</si>
  <si>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</si>
  <si>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</si>
  <si>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</si>
  <si>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</si>
  <si>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</si>
  <si>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</si>
  <si>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</si>
  <si>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</si>
  <si>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</si>
  <si>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</si>
  <si>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</si>
  <si>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</si>
  <si>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</si>
  <si>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</si>
  <si>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</si>
  <si>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</si>
  <si>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</si>
  <si>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</si>
  <si>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</si>
  <si>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</si>
  <si>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</si>
  <si>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</si>
  <si>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</si>
  <si>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</si>
  <si>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</si>
  <si>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</si>
  <si>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</si>
  <si>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</si>
  <si>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</si>
  <si>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</si>
  <si>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</si>
  <si>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</si>
  <si>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</si>
  <si>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</si>
  <si>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</si>
  <si>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</si>
  <si>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</si>
  <si>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</si>
  <si>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</si>
  <si>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</si>
  <si>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</si>
  <si>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</si>
  <si>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</si>
  <si>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</si>
  <si>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</si>
  <si>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</si>
  <si>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</si>
  <si>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</si>
  <si>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</si>
  <si>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</si>
  <si>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</si>
  <si>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</si>
  <si>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</si>
  <si>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</si>
  <si>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</si>
  <si>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</si>
  <si>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</si>
  <si>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</si>
  <si>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</si>
  <si>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</si>
  <si>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</si>
  <si>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</si>
  <si>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</si>
  <si>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</si>
  <si>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</si>
  <si>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</si>
  <si>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</si>
  <si>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</si>
  <si>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</si>
  <si>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</si>
  <si>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</si>
  <si>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</si>
  <si>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</si>
  <si>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</si>
  <si>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</si>
  <si>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</si>
  <si>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</si>
  <si>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</si>
  <si>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</si>
  <si>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</si>
  <si>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</si>
  <si>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</si>
  <si>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</si>
  <si>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</si>
  <si>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</si>
  <si>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</si>
  <si>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</si>
  <si>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</si>
  <si>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</si>
  <si>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</si>
  <si>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</si>
  <si>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</si>
  <si>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</si>
  <si>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</si>
  <si>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</si>
  <si>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</si>
  <si>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</si>
  <si>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</si>
  <si>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</si>
  <si>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</si>
  <si>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</si>
  <si>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</si>
  <si>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</si>
  <si>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</si>
  <si>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</si>
  <si>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</si>
  <si>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</si>
  <si>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</si>
  <si>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</si>
  <si>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</si>
  <si>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</si>
  <si>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</si>
  <si>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</si>
  <si>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</si>
  <si>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</si>
  <si>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</si>
  <si>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</si>
  <si>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</si>
  <si>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</si>
  <si>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</si>
  <si>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</si>
  <si>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</si>
  <si>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</si>
  <si>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</si>
  <si>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</si>
  <si>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</si>
  <si>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</si>
  <si>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</si>
  <si>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</si>
  <si>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</si>
  <si>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</si>
  <si>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</si>
  <si>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</si>
  <si>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</si>
  <si>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</si>
  <si>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</si>
  <si>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</si>
  <si>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</si>
  <si>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</si>
  <si>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</si>
  <si>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</si>
  <si>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</si>
  <si>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</si>
  <si>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</si>
  <si>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</si>
  <si>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</si>
  <si>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</si>
  <si>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</si>
  <si>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</si>
  <si>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</si>
  <si>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</si>
  <si>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</si>
  <si>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</si>
  <si>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</si>
  <si>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</si>
  <si>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</si>
  <si>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</si>
  <si>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</si>
  <si>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</si>
  <si>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</si>
  <si>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</si>
  <si>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</si>
  <si>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</si>
  <si>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</si>
  <si>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</si>
  <si>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</si>
  <si>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</si>
  <si>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</si>
  <si>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</si>
  <si>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</si>
  <si>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</si>
  <si>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</si>
  <si>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</si>
  <si>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</si>
  <si>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</si>
  <si>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</si>
  <si>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</si>
  <si>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</si>
  <si>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</si>
  <si>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</si>
  <si>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</si>
  <si>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</si>
  <si>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</si>
  <si>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</si>
  <si>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</si>
  <si>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</si>
  <si>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</si>
  <si>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</si>
  <si>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</si>
  <si>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</si>
  <si>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</si>
  <si>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</si>
  <si>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</si>
  <si>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</si>
  <si>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</si>
  <si>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</si>
  <si>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</si>
  <si>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</si>
  <si>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</si>
  <si>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</si>
  <si>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</si>
  <si>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</si>
  <si>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</si>
  <si>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</si>
  <si>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</si>
  <si>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</si>
  <si>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</si>
  <si>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</si>
  <si>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</si>
  <si>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</si>
  <si>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</si>
  <si>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</si>
  <si>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</si>
  <si>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</si>
  <si>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</si>
  <si>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</si>
  <si>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</si>
  <si>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</si>
  <si>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</si>
  <si>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</si>
  <si>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</si>
  <si>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</si>
  <si>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</si>
  <si>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</si>
  <si>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</si>
  <si>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</si>
  <si>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</si>
  <si>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</si>
  <si>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</si>
  <si>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</si>
  <si>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</si>
  <si>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</si>
  <si>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</si>
  <si>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</si>
  <si>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</si>
  <si>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</si>
  <si>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</si>
  <si>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</si>
  <si>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</si>
  <si>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</si>
  <si>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</si>
  <si>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</si>
  <si>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</si>
  <si>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</si>
  <si>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</si>
  <si>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</si>
  <si>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</si>
  <si>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</si>
  <si>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</si>
  <si>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</si>
  <si>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</si>
  <si>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</si>
  <si>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</si>
  <si>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</si>
  <si>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</si>
  <si>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</si>
  <si>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</si>
  <si>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</si>
  <si>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</si>
  <si>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</si>
  <si>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</si>
  <si>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</si>
  <si>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</si>
  <si>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</si>
  <si>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</si>
  <si>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</si>
  <si>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</si>
  <si>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</si>
  <si>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</si>
  <si>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</si>
  <si>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</si>
  <si>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</si>
  <si>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</si>
  <si>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</si>
  <si>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</si>
  <si>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</si>
  <si>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</si>
  <si>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</si>
  <si>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</si>
  <si>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</si>
  <si>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</si>
  <si>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</si>
  <si>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</si>
  <si>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</si>
  <si>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</si>
  <si>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</si>
  <si>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</si>
  <si>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</si>
  <si>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</si>
  <si>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</si>
  <si>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</si>
  <si>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</si>
  <si>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</si>
  <si>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</si>
  <si>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</si>
  <si>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</si>
  <si>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</si>
  <si>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</si>
  <si>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</si>
  <si>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</si>
  <si>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</si>
  <si>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</si>
  <si>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</si>
  <si>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</si>
  <si>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</si>
  <si>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</si>
  <si>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</si>
  <si>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</si>
  <si>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</si>
  <si>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</si>
  <si>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</si>
  <si>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</si>
  <si>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</si>
  <si>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</si>
  <si>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</si>
  <si>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</si>
  <si>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</si>
  <si>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</si>
  <si>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</si>
  <si>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</si>
  <si>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</si>
  <si>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</si>
  <si>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</si>
  <si>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</si>
  <si>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</si>
  <si>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</si>
  <si>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</si>
  <si>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</si>
  <si>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</si>
  <si>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</si>
  <si>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</si>
  <si>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</si>
  <si>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</si>
  <si>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</si>
  <si>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</si>
  <si>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</si>
  <si>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</si>
  <si>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</si>
  <si>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</si>
  <si>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</si>
  <si>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</si>
  <si>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</si>
  <si>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</si>
  <si>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</si>
  <si>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</si>
  <si>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</si>
  <si>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</si>
  <si>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</si>
  <si>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</si>
  <si>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</si>
  <si>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</si>
  <si>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</si>
  <si>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</si>
  <si>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</si>
  <si>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</si>
  <si>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</si>
  <si>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</si>
  <si>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</si>
  <si>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</si>
  <si>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</si>
  <si>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</si>
  <si>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</si>
  <si>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</si>
  <si>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</si>
  <si>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</si>
  <si>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</si>
  <si>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</si>
  <si>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</si>
  <si>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</si>
  <si>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</si>
  <si>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</si>
  <si>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</si>
  <si>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</si>
  <si>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</si>
  <si>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</si>
  <si>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</si>
  <si>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</si>
  <si>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</si>
  <si>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</si>
  <si>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</si>
  <si>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</si>
  <si>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</si>
  <si>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</si>
  <si>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</si>
  <si>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</si>
  <si>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</si>
  <si>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</si>
  <si>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</si>
  <si>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</si>
  <si>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</si>
  <si>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</si>
  <si>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</si>
  <si>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</si>
  <si>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</si>
  <si>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</si>
  <si>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</si>
  <si>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</si>
  <si>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</si>
  <si>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</si>
  <si>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</si>
  <si>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</si>
  <si>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</si>
  <si>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</si>
  <si>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</si>
  <si>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</si>
  <si>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</si>
  <si>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</si>
  <si>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</si>
  <si>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</si>
  <si>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</si>
  <si>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</si>
  <si>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</si>
  <si>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</si>
  <si>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</si>
  <si>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</si>
  <si>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</si>
  <si>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</si>
  <si>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</si>
  <si>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</si>
  <si>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</si>
  <si>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</si>
  <si>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</si>
  <si>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</si>
  <si>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</si>
  <si>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</si>
  <si>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</si>
  <si>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</si>
  <si>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</si>
  <si>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</si>
  <si>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</si>
  <si>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</si>
  <si>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</si>
  <si>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</si>
  <si>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</si>
  <si>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</si>
  <si>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</si>
  <si>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</si>
  <si>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</si>
  <si>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</si>
  <si>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</si>
  <si>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</si>
  <si>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</si>
  <si>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</si>
  <si>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</si>
  <si>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</si>
  <si>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</si>
  <si>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</si>
  <si>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</si>
  <si>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</si>
  <si>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</si>
  <si>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</si>
  <si>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</si>
  <si>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</si>
  <si>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</si>
  <si>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</si>
  <si>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</si>
  <si>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</si>
  <si>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</si>
  <si>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</si>
  <si>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</si>
  <si>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</si>
  <si>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</si>
  <si>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</si>
  <si>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</si>
  <si>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</si>
  <si>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</si>
  <si>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</si>
  <si>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</si>
  <si>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</si>
  <si>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</si>
  <si>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</si>
  <si>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</si>
  <si>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</si>
  <si>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</si>
  <si>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</si>
  <si>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</si>
  <si>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</si>
  <si>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</si>
  <si>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</si>
  <si>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</si>
  <si>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</si>
  <si>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</si>
  <si>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</si>
  <si>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</si>
  <si>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</si>
  <si>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</si>
  <si>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</si>
  <si>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</si>
  <si>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</si>
  <si>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</si>
  <si>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</si>
  <si>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</si>
  <si>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</si>
  <si>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</si>
  <si>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</si>
  <si>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</si>
  <si>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</si>
  <si>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</si>
  <si>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</si>
  <si>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</si>
  <si>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</si>
  <si>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</si>
  <si>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</si>
  <si>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</si>
  <si>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</si>
  <si>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</si>
  <si>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</si>
  <si>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</si>
  <si>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</si>
  <si>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</si>
  <si>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</si>
  <si>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</si>
  <si>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</si>
  <si>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</si>
  <si>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</si>
  <si>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</si>
  <si>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</si>
  <si>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</si>
  <si>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</si>
  <si>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</si>
  <si>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</si>
  <si>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</si>
  <si>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</si>
  <si>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</si>
  <si>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</si>
  <si>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</si>
  <si>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</si>
  <si>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</si>
  <si>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</si>
  <si>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</si>
  <si>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</si>
  <si>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</si>
  <si>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</si>
  <si>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</si>
  <si>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</si>
  <si>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</si>
  <si>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</si>
  <si>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</si>
  <si>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</si>
  <si>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</si>
  <si>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</si>
  <si>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</si>
  <si>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</si>
  <si>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</si>
  <si>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</si>
  <si>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</si>
  <si>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</si>
  <si>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</si>
  <si>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</si>
  <si>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</si>
  <si>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</si>
  <si>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</si>
  <si>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</si>
  <si>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</si>
  <si>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</si>
  <si>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</si>
  <si>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</si>
  <si>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</si>
  <si>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</si>
  <si>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</si>
  <si>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</si>
  <si>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</si>
  <si>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</si>
  <si>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</si>
  <si>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</si>
  <si>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</si>
  <si>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</si>
  <si>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</si>
  <si>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</si>
  <si>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</si>
  <si>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</si>
  <si>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</si>
  <si>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</si>
  <si>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</si>
  <si>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</si>
  <si>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</si>
  <si>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</si>
  <si>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</si>
  <si>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</si>
  <si>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</si>
  <si>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</si>
  <si>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</si>
  <si>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</si>
  <si>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</si>
  <si>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</si>
  <si>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</si>
  <si>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</si>
  <si>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</si>
  <si>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</si>
  <si>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</si>
  <si>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</si>
  <si>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</si>
  <si>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</si>
  <si>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</si>
  <si>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</si>
  <si>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</si>
  <si>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</si>
  <si>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</si>
  <si>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</si>
  <si>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</si>
  <si>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</si>
  <si>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</si>
  <si>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</si>
  <si>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</si>
  <si>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</si>
  <si>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</si>
  <si>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</si>
  <si>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</si>
  <si>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</si>
  <si>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</si>
  <si>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</si>
  <si>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</si>
  <si>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</si>
  <si>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</si>
  <si>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</si>
  <si>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</si>
  <si>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</si>
  <si>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</si>
  <si>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</si>
  <si>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</si>
  <si>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</si>
  <si>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</si>
  <si>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</si>
  <si>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</si>
  <si>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</si>
  <si>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</si>
  <si>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</si>
  <si>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</si>
  <si>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</si>
  <si>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</si>
  <si>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</si>
  <si>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</si>
  <si>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</si>
  <si>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</si>
  <si>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</si>
  <si>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</si>
  <si>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</si>
  <si>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</si>
  <si>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</si>
  <si>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</si>
  <si>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</si>
  <si>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</si>
  <si>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</si>
  <si>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</si>
  <si>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</si>
  <si>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</si>
  <si>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</si>
  <si>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</si>
  <si>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</si>
  <si>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</si>
  <si>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</si>
  <si>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</si>
  <si>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</si>
  <si>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</si>
  <si>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</si>
  <si>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</si>
  <si>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</si>
  <si>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</si>
  <si>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</si>
  <si>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</si>
  <si>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</si>
  <si>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</si>
  <si>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</si>
  <si>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</si>
  <si>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</si>
  <si>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</si>
  <si>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</si>
  <si>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</si>
  <si>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</si>
  <si>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</si>
  <si>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</si>
  <si>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</si>
  <si>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</si>
  <si>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</si>
  <si>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</si>
  <si>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</si>
  <si>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</si>
  <si>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</si>
  <si>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</si>
  <si>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</si>
  <si>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</si>
  <si>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</si>
  <si>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</si>
  <si>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</si>
  <si>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</si>
  <si>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</si>
  <si>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</si>
  <si>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</si>
  <si>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</si>
  <si>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</si>
  <si>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</si>
  <si>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</si>
  <si>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</si>
  <si>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</si>
  <si>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</si>
  <si>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</si>
  <si>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</si>
  <si>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</si>
  <si>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</si>
  <si>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</si>
  <si>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</si>
  <si>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</si>
  <si>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</si>
  <si>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</si>
  <si>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</si>
  <si>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</si>
  <si>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</si>
  <si>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</si>
  <si>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</si>
  <si>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</si>
  <si>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</si>
  <si>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</si>
  <si>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</si>
  <si>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</si>
  <si>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</si>
  <si>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</si>
  <si>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</si>
  <si>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</si>
  <si>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</si>
  <si>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</si>
  <si>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</si>
  <si>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</si>
  <si>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</si>
  <si>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</si>
  <si>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</si>
  <si>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</si>
  <si>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</si>
  <si>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</si>
  <si>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</si>
  <si>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</si>
  <si>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</si>
  <si>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</si>
  <si>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</si>
  <si>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</si>
  <si>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</si>
  <si>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</si>
  <si>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</si>
  <si>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</si>
  <si>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</si>
  <si>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</si>
  <si>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</si>
  <si>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</si>
  <si>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</si>
  <si>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</si>
  <si>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</si>
  <si>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</si>
  <si>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</si>
  <si>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</si>
  <si>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</si>
  <si>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</si>
  <si>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</si>
  <si>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</si>
  <si>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</si>
  <si>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</si>
  <si>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</si>
  <si>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</si>
  <si>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</si>
  <si>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</si>
  <si>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</si>
  <si>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</si>
  <si>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</si>
  <si>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</si>
  <si>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</si>
  <si>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</si>
  <si>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</si>
  <si>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</si>
  <si>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</si>
  <si>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</si>
  <si>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</si>
  <si>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</si>
  <si>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</si>
  <si>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</si>
  <si>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</si>
  <si>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</si>
  <si>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</si>
  <si>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</si>
  <si>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</si>
  <si>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</si>
  <si>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</si>
  <si>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</si>
  <si>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</si>
  <si>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</si>
  <si>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</si>
  <si>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</si>
  <si>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</si>
  <si>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</si>
  <si>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</si>
  <si>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</si>
  <si>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</si>
  <si>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</si>
  <si>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</si>
  <si>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</si>
  <si>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</si>
  <si>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</si>
  <si>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</si>
  <si>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</si>
  <si>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</si>
  <si>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</si>
  <si>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</si>
  <si>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</si>
  <si>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</si>
  <si>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</si>
  <si>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</si>
  <si>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</si>
  <si>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</si>
  <si>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</si>
  <si>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</si>
  <si>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</si>
  <si>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</si>
  <si>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</si>
  <si>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</si>
  <si>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</si>
  <si>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</si>
  <si>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</si>
  <si>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</si>
  <si>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</si>
  <si>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</si>
  <si>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</si>
  <si>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</si>
  <si>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</si>
  <si>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</si>
  <si>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</si>
  <si>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</si>
  <si>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</si>
  <si>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</si>
  <si>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</si>
  <si>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</si>
  <si>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</si>
  <si>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</si>
  <si>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</si>
  <si>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</si>
  <si>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</si>
  <si>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</si>
  <si>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</si>
  <si>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</si>
  <si>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</si>
  <si>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</si>
  <si>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</si>
  <si>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</si>
  <si>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</si>
  <si>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</si>
  <si>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</si>
  <si>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</si>
  <si>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</si>
  <si>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</si>
  <si>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</si>
  <si>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</si>
  <si>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</si>
  <si>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</si>
  <si>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</si>
  <si>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</si>
  <si>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</si>
  <si>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</si>
  <si>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</si>
  <si>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</si>
  <si>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</si>
  <si>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</si>
  <si>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</si>
  <si>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</si>
  <si>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</si>
  <si>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</si>
  <si>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</si>
  <si>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</si>
  <si>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</si>
  <si>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</si>
  <si>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</si>
  <si>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</si>
  <si>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</si>
  <si>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</si>
  <si>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</si>
  <si>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</si>
  <si>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</si>
  <si>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</si>
  <si>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</si>
  <si>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</si>
  <si>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</si>
  <si>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</si>
  <si>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</si>
  <si>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</si>
  <si>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</si>
  <si>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</si>
  <si>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</si>
  <si>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</si>
  <si>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</si>
  <si>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</si>
  <si>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</si>
  <si>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</si>
  <si>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</si>
  <si>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</si>
  <si>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</si>
  <si>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</si>
  <si>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</si>
  <si>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</si>
  <si>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</si>
  <si>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</si>
  <si>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</si>
  <si>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</si>
  <si>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</si>
  <si>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</si>
  <si>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</si>
  <si>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</si>
  <si>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</si>
  <si>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</si>
  <si>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</si>
  <si>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</si>
  <si>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</si>
  <si>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</si>
  <si>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</si>
  <si>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</si>
  <si>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</si>
  <si>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</si>
  <si>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</si>
  <si>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</si>
  <si>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</si>
  <si>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</si>
  <si>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</si>
  <si>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</si>
  <si>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</si>
  <si>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</si>
  <si>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</si>
  <si>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</si>
  <si>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</si>
  <si>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</si>
  <si>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</si>
  <si>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</si>
  <si>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</si>
  <si>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</si>
  <si>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</si>
  <si>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</si>
  <si>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</si>
  <si>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</si>
  <si>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</si>
  <si>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</si>
  <si>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</si>
  <si>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</si>
  <si>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</si>
  <si>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</si>
  <si>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</si>
  <si>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</si>
  <si>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</si>
  <si>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</si>
  <si>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</si>
  <si>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</si>
  <si>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</si>
  <si>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</si>
  <si>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</si>
  <si>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</si>
  <si>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</si>
  <si>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</si>
  <si>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</si>
  <si>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</si>
  <si>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</si>
  <si>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</si>
  <si>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</si>
  <si>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</si>
  <si>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</si>
  <si>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</si>
  <si>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</si>
  <si>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</si>
  <si>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</si>
  <si>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</si>
  <si>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</si>
  <si>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</si>
  <si>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</si>
  <si>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</si>
  <si>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</si>
  <si>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</si>
  <si>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</si>
  <si>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</si>
  <si>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</si>
  <si>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</si>
  <si>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</si>
  <si>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</si>
  <si>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</si>
  <si>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</si>
  <si>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</si>
  <si>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</si>
  <si>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</si>
  <si>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</si>
  <si>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</si>
  <si>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</si>
  <si>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</si>
  <si>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</si>
  <si>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</si>
  <si>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</si>
  <si>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</si>
  <si>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</si>
  <si>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</si>
  <si>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</si>
  <si>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</si>
  <si>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</si>
  <si>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</si>
  <si>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</si>
  <si>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</si>
  <si>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</si>
  <si>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</si>
  <si>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</si>
  <si>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</si>
  <si>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</si>
  <si>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</si>
  <si>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</si>
  <si>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</si>
  <si>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</si>
  <si>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</si>
  <si>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</si>
  <si>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</si>
  <si>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</si>
  <si>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</si>
  <si>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</si>
  <si>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</si>
  <si>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</si>
  <si>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</si>
  <si>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</si>
  <si>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</si>
  <si>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</si>
  <si>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</si>
  <si>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</si>
  <si>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</si>
  <si>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</si>
  <si>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</si>
  <si>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</si>
  <si>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</si>
  <si>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</si>
  <si>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</si>
  <si>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</si>
  <si>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</si>
  <si>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</si>
  <si>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</si>
  <si>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</si>
  <si>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</si>
  <si>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</si>
  <si>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</si>
  <si>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</si>
  <si>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</si>
  <si>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</si>
  <si>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</si>
  <si>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</si>
  <si>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</si>
  <si>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</si>
  <si>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</si>
  <si>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</si>
  <si>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</si>
  <si>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</si>
  <si>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</si>
  <si>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</si>
  <si>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</si>
  <si>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</si>
  <si>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</si>
  <si>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</si>
  <si>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</si>
  <si>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</si>
  <si>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</si>
  <si>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</si>
  <si>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</si>
  <si>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</si>
  <si>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</si>
  <si>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</si>
  <si>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</si>
  <si>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</si>
  <si>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</si>
  <si>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</si>
  <si>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</si>
  <si>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</si>
  <si>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</si>
  <si>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</si>
  <si>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</si>
  <si>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</si>
  <si>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</si>
  <si>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</si>
  <si>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</si>
  <si>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</si>
  <si>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</si>
  <si>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</si>
  <si>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</si>
  <si>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</si>
  <si>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</si>
  <si>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</si>
  <si>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</si>
  <si>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</si>
  <si>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</si>
  <si>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</si>
  <si>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</si>
  <si>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</si>
  <si>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</si>
  <si>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</si>
  <si>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</si>
  <si>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</si>
  <si>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</si>
  <si>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</si>
  <si>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</si>
  <si>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</si>
  <si>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</si>
  <si>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</si>
  <si>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</si>
  <si>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</si>
  <si>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</si>
  <si>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</si>
  <si>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</si>
  <si>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</si>
  <si>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</si>
  <si>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</si>
  <si>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</si>
  <si>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</si>
  <si>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</si>
  <si>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</si>
  <si>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</si>
  <si>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</si>
  <si>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</si>
  <si>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</si>
  <si>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</si>
  <si>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</si>
  <si>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</si>
  <si>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</si>
  <si>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</si>
  <si>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</si>
  <si>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</si>
  <si>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</si>
  <si>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</si>
  <si>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</si>
  <si>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</si>
  <si>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</si>
  <si>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</si>
  <si>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</si>
  <si>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</si>
  <si>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</si>
  <si>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</si>
  <si>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</si>
  <si>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</si>
  <si>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</si>
  <si>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</si>
  <si>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</si>
  <si>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FR8562660</t>
  </si>
  <si>
    <t>FR8563776</t>
  </si>
  <si>
    <t>IT6B12000</t>
  </si>
  <si>
    <t>IT6B12001</t>
  </si>
  <si>
    <t>IT6B12002</t>
  </si>
  <si>
    <t>IT6B12003</t>
  </si>
  <si>
    <t>IT6B12004</t>
  </si>
  <si>
    <t>IT6B12005</t>
  </si>
  <si>
    <t>IT6B12006</t>
  </si>
  <si>
    <t>IT6B12007</t>
  </si>
  <si>
    <t>IT6B13000</t>
  </si>
  <si>
    <t>IT6B13001</t>
  </si>
  <si>
    <t>IT6B13002</t>
  </si>
  <si>
    <t>IT6B13003</t>
  </si>
  <si>
    <t>IT6B13004</t>
  </si>
  <si>
    <t>IT6B13005</t>
  </si>
  <si>
    <t>IT6B13006</t>
  </si>
  <si>
    <t>IT6B14000</t>
  </si>
  <si>
    <t>IT6B14001</t>
  </si>
  <si>
    <t>IT6B14002</t>
  </si>
  <si>
    <t>IT6B14003</t>
  </si>
  <si>
    <t>IT6B14004</t>
  </si>
  <si>
    <t>IT6B14005</t>
  </si>
  <si>
    <t>IT6B14006</t>
  </si>
  <si>
    <t>IT6B14007</t>
  </si>
  <si>
    <t>IT6B14008</t>
  </si>
  <si>
    <t>IT6B15000</t>
  </si>
  <si>
    <t>IT6B15001</t>
  </si>
  <si>
    <t>IT6B15002</t>
  </si>
  <si>
    <t>IT6B15003</t>
  </si>
  <si>
    <t>IT6B15004</t>
  </si>
  <si>
    <t>IT6B15005</t>
  </si>
  <si>
    <t>IT6B15006</t>
  </si>
  <si>
    <t>IT6B15007</t>
  </si>
  <si>
    <t>IT6B15008</t>
  </si>
  <si>
    <t>IT6B16000</t>
  </si>
  <si>
    <t>IT6B16001</t>
  </si>
  <si>
    <t>IT6B16002</t>
  </si>
  <si>
    <t>IT6B16003</t>
  </si>
  <si>
    <t>IT6B16004</t>
  </si>
  <si>
    <t>IT6B16005</t>
  </si>
  <si>
    <t>IT6B17000</t>
  </si>
  <si>
    <t>IT6B17001</t>
  </si>
  <si>
    <t>IT6B17002</t>
  </si>
  <si>
    <t>IT6B17003</t>
  </si>
  <si>
    <t>IT6B17004</t>
  </si>
  <si>
    <t>IT6B17005</t>
  </si>
  <si>
    <t>IT6B18000</t>
  </si>
  <si>
    <t>IT6B18001</t>
  </si>
  <si>
    <t>IT6B18002</t>
  </si>
  <si>
    <t>IT6B18003</t>
  </si>
  <si>
    <t>IT6B18004</t>
  </si>
  <si>
    <t>Rare TA Indirect Costs</t>
  </si>
  <si>
    <t>Rare TA Direct Costs</t>
  </si>
  <si>
    <t>Rare TA Other</t>
  </si>
  <si>
    <t>FR8599961</t>
  </si>
  <si>
    <t>H000005718</t>
  </si>
  <si>
    <t>H000005719</t>
  </si>
  <si>
    <t>H000005720</t>
  </si>
  <si>
    <t>Redo</t>
  </si>
  <si>
    <t>Artwork - CH</t>
  </si>
  <si>
    <t>Artwork - DE</t>
  </si>
  <si>
    <t>GHO SNO_Others - CH</t>
  </si>
  <si>
    <t>GHO SNO_Others - CN</t>
  </si>
  <si>
    <t>Global HCQ - Head - DE</t>
  </si>
  <si>
    <t>Global HCQ - Head - ES</t>
  </si>
  <si>
    <t>Qualtiy - Development sites - CH</t>
  </si>
  <si>
    <t>Qualtiy - Development sites - IT</t>
  </si>
  <si>
    <t>PPV Intersite Shipments - CH</t>
  </si>
  <si>
    <t>PPV Intersite Shipments - DE</t>
  </si>
  <si>
    <t>H000000653</t>
  </si>
  <si>
    <t>FR8611570</t>
  </si>
  <si>
    <t>FR8629049</t>
  </si>
  <si>
    <t>FR8637092</t>
  </si>
  <si>
    <t>H000005721</t>
  </si>
  <si>
    <t>H000005722</t>
  </si>
  <si>
    <t>H000005723</t>
  </si>
  <si>
    <t>H000005724</t>
  </si>
  <si>
    <t>H000005725</t>
  </si>
  <si>
    <t>H000005726</t>
  </si>
  <si>
    <t>H000005727</t>
  </si>
  <si>
    <t>H000005728</t>
  </si>
  <si>
    <t>H000005729</t>
  </si>
  <si>
    <t>H000005730</t>
  </si>
  <si>
    <t>IT6B19000</t>
  </si>
  <si>
    <t>FR8645562</t>
  </si>
  <si>
    <t>ATSA URUGUAY - MONTEVIDEO (CCH)</t>
  </si>
  <si>
    <t>1823MV - OPERATIONS</t>
  </si>
  <si>
    <t>1823MV - OPERATIONS SUPPORT SERVICES</t>
  </si>
  <si>
    <t>1823MV - SITE INFRASTRUCTURE</t>
  </si>
  <si>
    <t>1823MV - QUALITY</t>
  </si>
  <si>
    <t>1823MV - PACKAGING</t>
  </si>
  <si>
    <t>1823MV - SITE SERVICES</t>
  </si>
  <si>
    <t>1823MV - SUPPLY AND PLANNING</t>
  </si>
  <si>
    <t>1823MV - MAINTENANCE AND ENGINEERING</t>
  </si>
  <si>
    <t>1823MV - QA</t>
  </si>
  <si>
    <t>1823MV - OTHER FACILITIES</t>
  </si>
  <si>
    <t>1823MV - PKG BIOTECH</t>
  </si>
  <si>
    <t>1823MV - EQUIPMENTS</t>
  </si>
  <si>
    <t>1823MV - LABOR</t>
  </si>
  <si>
    <t>1823MV - INDIRECT SERVICES</t>
  </si>
  <si>
    <t>1823MV - MCC</t>
  </si>
  <si>
    <t>ATSA URUGUAY - MONTEVIDEO (BEFORE CCH)</t>
  </si>
  <si>
    <t>FR8659814</t>
  </si>
  <si>
    <t>Sven Schulze</t>
  </si>
  <si>
    <t>H000005731</t>
  </si>
  <si>
    <t>H000005732</t>
  </si>
  <si>
    <t>H000005733</t>
  </si>
  <si>
    <t>H000005734</t>
  </si>
  <si>
    <t>H000005735</t>
  </si>
  <si>
    <t>H000005736</t>
  </si>
  <si>
    <t>H000005737</t>
  </si>
  <si>
    <t>H000005738</t>
  </si>
  <si>
    <t>H000005739</t>
  </si>
  <si>
    <t>H000005740</t>
  </si>
  <si>
    <t>H000005741</t>
  </si>
  <si>
    <t>H000005742</t>
  </si>
  <si>
    <t>H000005743</t>
  </si>
  <si>
    <t>H000005744</t>
  </si>
  <si>
    <t>H000005745</t>
  </si>
  <si>
    <t>H000005746</t>
  </si>
  <si>
    <t>H000005747</t>
  </si>
  <si>
    <t>US-Market Access Rare Diseases</t>
  </si>
  <si>
    <t>US-Data, Analytics &amp; Insights Rare Disea</t>
  </si>
  <si>
    <t>FR8667837</t>
  </si>
  <si>
    <t>FR8667916</t>
  </si>
  <si>
    <t>HC HDD Head</t>
  </si>
  <si>
    <t>HC HDD GHO</t>
  </si>
  <si>
    <t>HC HDD GCS</t>
  </si>
  <si>
    <t>HC HDD R&amp;D</t>
  </si>
  <si>
    <t>HC HDD NAM</t>
  </si>
  <si>
    <t>HC HDD BMA &amp; CS</t>
  </si>
  <si>
    <t>HC Digital &amp; Data</t>
  </si>
  <si>
    <t>FR8669197</t>
  </si>
  <si>
    <t xml:space="preserve">CN - Medical Team Ogsiveo </t>
  </si>
  <si>
    <t xml:space="preserve">CN - Medical activities Ogsiveo </t>
  </si>
  <si>
    <t xml:space="preserve">CN - Local studies Ogsiveo </t>
  </si>
  <si>
    <t xml:space="preserve">CN - Medical Team Gomekli/Ezmekly </t>
  </si>
  <si>
    <t>CN - Medical activities Gomekli/Ezmekly</t>
  </si>
  <si>
    <t xml:space="preserve">CN - Local studies Gomekli/Ezmekly </t>
  </si>
  <si>
    <t>H000005748</t>
  </si>
  <si>
    <t>H000005749</t>
  </si>
  <si>
    <t>H000005750</t>
  </si>
  <si>
    <t>H000005751</t>
  </si>
  <si>
    <t>H000005752</t>
  </si>
  <si>
    <t>H000005753</t>
  </si>
  <si>
    <t>H000005754</t>
  </si>
  <si>
    <t>H000005755</t>
  </si>
  <si>
    <t>H000005756</t>
  </si>
  <si>
    <t>H000005757</t>
  </si>
  <si>
    <t>H000005758</t>
  </si>
  <si>
    <t>H000005759</t>
  </si>
  <si>
    <t>H000005760</t>
  </si>
  <si>
    <t>H000005761</t>
  </si>
  <si>
    <t>H000005762</t>
  </si>
  <si>
    <t>H000005763</t>
  </si>
  <si>
    <t>FR8673624</t>
  </si>
  <si>
    <t>US - Rare Diseases - Marketing Ops</t>
  </si>
  <si>
    <t>US - Rare Diseases - Patient Access</t>
  </si>
  <si>
    <t>US - Rare Diseases -  Access Mktg</t>
  </si>
  <si>
    <t>US - Rare Diseases - Data Strat</t>
  </si>
  <si>
    <t>US - Rare - Market Insights &amp; Frcst</t>
  </si>
  <si>
    <t>US - Rare - Cap. Bldg Eng. &amp; Events</t>
  </si>
  <si>
    <t>US - Rare Diseases - Comm Ops</t>
  </si>
  <si>
    <t>US - Rare Diseases - Market Access FF</t>
  </si>
  <si>
    <t>US - Rare - Field Patient Svcs</t>
  </si>
  <si>
    <t>US - Rare Diseases - RMLs</t>
  </si>
  <si>
    <t>FR8673588</t>
  </si>
  <si>
    <t>US - Data, Analytics &amp; Insights RD ISS</t>
  </si>
  <si>
    <t>US - Market Access Rare Diseases ISS</t>
  </si>
  <si>
    <t>US - Market Access Rare Diseases Program</t>
  </si>
  <si>
    <t>US - Data, Analytics &amp; Insights RD Program</t>
  </si>
  <si>
    <t xml:space="preserve">US - Market Access Rare Diseases FF </t>
  </si>
  <si>
    <t>H000005764</t>
  </si>
  <si>
    <t>H000005765</t>
  </si>
  <si>
    <t>H000005766</t>
  </si>
  <si>
    <t>H000005767</t>
  </si>
  <si>
    <t>H000005768</t>
  </si>
  <si>
    <t>H000005769</t>
  </si>
  <si>
    <t>H000005770</t>
  </si>
  <si>
    <t>H000005771</t>
  </si>
  <si>
    <t>wait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</si>
</sst>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7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0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</cellXfs>
  <cellStyles count="17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224.098342129633" createdVersion="7" refreshedVersion="7" minRefreshableVersion="3" recordCount="375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3753"/>
    </cacheField>
    <cacheField name="Forecast?" numFmtId="0">
      <sharedItems/>
    </cacheField>
    <cacheField name="Ticket" numFmtId="0">
      <sharedItems containsBlank="1" count="215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8562660"/>
        <s v="FR8563776"/>
        <s v="FR8599961"/>
        <s v="FR8611570"/>
        <s v="FR8629049"/>
        <s v="FR8637092"/>
        <s v="FR8645562"/>
        <s v="FR8659814"/>
        <s v="FR8667837"/>
        <s v="FR8667916"/>
        <s v="FR8669197"/>
        <s v="FR8673624"/>
        <s v="FR8673588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6">
        <s v="ON TM1"/>
        <s v="RETURNED TO ORIGINAL NODE"/>
        <s v="Cancelled"/>
        <s v="Redo"/>
        <s v="wait"/>
        <n v="0" u="1"/>
      </sharedItems>
    </cacheField>
    <cacheField name="Sector" numFmtId="0">
      <sharedItems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53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m/>
    <m/>
    <s v="Anna Glab"/>
  </r>
  <r>
    <n v="1619"/>
    <s v="F2"/>
    <x v="66"/>
    <s v="H000005110"/>
    <s v="Field Force Fert"/>
    <s v="H000004951"/>
    <s v="New"/>
    <x v="0"/>
    <x v="0"/>
    <s v="HC"/>
    <m/>
    <m/>
    <s v="Anna Glab"/>
  </r>
  <r>
    <n v="1620"/>
    <s v="F2"/>
    <x v="67"/>
    <s v="H000004389"/>
    <s v="CN - RT ISS MKT Pimi"/>
    <s v="H000005100"/>
    <s v="Move"/>
    <x v="0"/>
    <x v="0"/>
    <s v="HC"/>
    <m/>
    <m/>
    <s v="John Poulie Borromeo"/>
  </r>
  <r>
    <n v="1621"/>
    <s v="F2"/>
    <x v="67"/>
    <s v="H000004390"/>
    <s v="CN - RT Sales Promotion Pimi"/>
    <s v="H000005099"/>
    <s v="Move"/>
    <x v="0"/>
    <x v="0"/>
    <s v="HC"/>
    <m/>
    <m/>
    <s v="John Poulie Borromeo"/>
  </r>
  <r>
    <n v="1622"/>
    <s v="F2"/>
    <x v="67"/>
    <s v="H000005107"/>
    <m/>
    <s v="O000000009"/>
    <s v="Remove"/>
    <x v="0"/>
    <x v="0"/>
    <s v="HC"/>
    <m/>
    <m/>
    <s v="John Poulie Borromeo"/>
  </r>
  <r>
    <n v="1623"/>
    <s v="F2"/>
    <x v="67"/>
    <s v="H000005108"/>
    <m/>
    <s v="O000000009"/>
    <s v="Remove"/>
    <x v="0"/>
    <x v="0"/>
    <s v="HC"/>
    <m/>
    <m/>
    <s v="John Poulie Borromeo"/>
  </r>
  <r>
    <n v="1624"/>
    <s v="F2"/>
    <x v="68"/>
    <s v="H000005111"/>
    <s v="Specialty Care"/>
    <s v="H000004956"/>
    <s v="New"/>
    <x v="0"/>
    <x v="0"/>
    <s v="HC"/>
    <m/>
    <m/>
    <s v="Henry Jr Ifurung"/>
  </r>
  <r>
    <n v="1625"/>
    <s v="F2"/>
    <x v="68"/>
    <s v="H000005112"/>
    <s v="Fertility and Endocrinology"/>
    <s v="H000004956"/>
    <s v="New"/>
    <x v="0"/>
    <x v="0"/>
    <s v="HC"/>
    <m/>
    <m/>
    <s v="Henry Jr Ifurung"/>
  </r>
  <r>
    <n v="1626"/>
    <s v="F2"/>
    <x v="68"/>
    <s v="H000005113"/>
    <s v="New Product Planning (NPP)"/>
    <s v="H000004956"/>
    <s v="New"/>
    <x v="0"/>
    <x v="0"/>
    <s v="HC"/>
    <m/>
    <m/>
    <s v="Henry Jr Ifurung"/>
  </r>
  <r>
    <n v="1627"/>
    <s v="F2"/>
    <x v="68"/>
    <s v="H000000175"/>
    <s v="GBF Cardiometabolic"/>
    <m/>
    <s v="Rename"/>
    <x v="0"/>
    <x v="0"/>
    <s v="HC"/>
    <m/>
    <m/>
    <s v="Henry Jr Ifurung"/>
  </r>
  <r>
    <n v="1628"/>
    <s v="F2"/>
    <x v="68"/>
    <s v="H000000454"/>
    <s v="Global Commercial Excellence (GCE)"/>
    <m/>
    <s v="Rename"/>
    <x v="0"/>
    <x v="0"/>
    <s v="HC"/>
    <m/>
    <m/>
    <s v="Henry Jr Ifurung"/>
  </r>
  <r>
    <n v="1629"/>
    <s v="F2"/>
    <x v="68"/>
    <s v="H000000162"/>
    <m/>
    <s v="H000005111"/>
    <s v="Move"/>
    <x v="0"/>
    <x v="0"/>
    <s v="HC"/>
    <m/>
    <m/>
    <s v="Henry Jr Ifurung"/>
  </r>
  <r>
    <n v="1630"/>
    <s v="F2"/>
    <x v="68"/>
    <s v="H000000163"/>
    <m/>
    <s v="H000005111"/>
    <s v="Move"/>
    <x v="0"/>
    <x v="0"/>
    <s v="HC"/>
    <m/>
    <m/>
    <s v="Henry Jr Ifurung"/>
  </r>
  <r>
    <n v="1631"/>
    <s v="F2"/>
    <x v="68"/>
    <s v="H000000176"/>
    <m/>
    <s v="H000005112"/>
    <s v="Move"/>
    <x v="0"/>
    <x v="0"/>
    <s v="HC"/>
    <m/>
    <m/>
    <s v="Henry Jr Ifurung"/>
  </r>
  <r>
    <n v="1632"/>
    <s v="F2"/>
    <x v="68"/>
    <s v="H000002267"/>
    <m/>
    <s v="H000005112"/>
    <s v="Move"/>
    <x v="0"/>
    <x v="0"/>
    <s v="HC"/>
    <m/>
    <m/>
    <s v="Henry Jr Ifurung"/>
  </r>
  <r>
    <n v="1633"/>
    <s v="F2"/>
    <x v="68"/>
    <s v="H000004345"/>
    <m/>
    <s v="H000005113"/>
    <s v="Move"/>
    <x v="0"/>
    <x v="0"/>
    <s v="HC"/>
    <m/>
    <m/>
    <s v="Henry Jr Ifurung"/>
  </r>
  <r>
    <n v="1634"/>
    <s v="F2"/>
    <x v="68"/>
    <s v="H000004385"/>
    <m/>
    <s v="H000004956"/>
    <s v="Move"/>
    <x v="0"/>
    <x v="0"/>
    <s v="HC"/>
    <m/>
    <m/>
    <s v="Henry Jr Ifurung"/>
  </r>
  <r>
    <n v="1635"/>
    <s v="F2"/>
    <x v="68"/>
    <s v="H000000164"/>
    <m/>
    <s v="H000000000"/>
    <s v="Move"/>
    <x v="0"/>
    <x v="0"/>
    <s v="HC"/>
    <m/>
    <m/>
    <s v="Henry Jr Ifurung"/>
  </r>
  <r>
    <n v="1636"/>
    <s v="F2"/>
    <x v="69"/>
    <s v="H000005014"/>
    <s v="RD-O Global Clinical Development"/>
    <s v="H000000975"/>
    <s v="Rename/Move"/>
    <x v="0"/>
    <x v="0"/>
    <s v="MGF"/>
    <m/>
    <m/>
    <s v="Erjo Miguel Tagle"/>
  </r>
  <r>
    <n v="1637"/>
    <s v="F2"/>
    <x v="69"/>
    <s v="H000005015"/>
    <s v="RD-P Program Strategy and Leadership"/>
    <s v="H000000975"/>
    <s v="Rename/Move"/>
    <x v="0"/>
    <x v="0"/>
    <s v="MGF"/>
    <m/>
    <m/>
    <s v="Erjo Miguel Tagle"/>
  </r>
  <r>
    <n v="1638"/>
    <s v="F2"/>
    <x v="70"/>
    <s v="P000001487"/>
    <s v="EL-PS Surface Solutions Sales &amp; COGs"/>
    <s v="P000000024"/>
    <s v="New"/>
    <x v="0"/>
    <x v="0"/>
    <s v="EL"/>
    <m/>
    <m/>
    <s v="Roselle Delos Angeles"/>
  </r>
  <r>
    <n v="1639"/>
    <s v="F2"/>
    <x v="70"/>
    <s v="P000001488"/>
    <s v="EL Group Allocations"/>
    <s v="P000000962"/>
    <s v="New"/>
    <x v="0"/>
    <x v="0"/>
    <s v="EL"/>
    <m/>
    <m/>
    <s v="Roselle Delos Angeles"/>
  </r>
  <r>
    <n v="1640"/>
    <s v="F2"/>
    <x v="70"/>
    <s v="P000001489"/>
    <s v="EL Vacation Accruals"/>
    <s v="P000000962"/>
    <s v="New"/>
    <x v="0"/>
    <x v="0"/>
    <s v="EL"/>
    <m/>
    <m/>
    <s v="Roselle Delos Angeles"/>
  </r>
  <r>
    <n v="1641"/>
    <s v="F2"/>
    <x v="70"/>
    <s v="P000001490"/>
    <s v="EL-ND Technical Objects"/>
    <s v="P000000554"/>
    <s v="New"/>
    <x v="0"/>
    <x v="0"/>
    <s v="EL"/>
    <m/>
    <m/>
    <s v="Roselle Delos Angeles"/>
  </r>
  <r>
    <n v="1642"/>
    <s v="F2"/>
    <x v="70"/>
    <s v="P000001491"/>
    <s v="EL-TF Technical Objects"/>
    <s v="P000000641"/>
    <s v="New"/>
    <x v="0"/>
    <x v="0"/>
    <s v="EL"/>
    <m/>
    <m/>
    <s v="Roselle Delos Angeles"/>
  </r>
  <r>
    <n v="1643"/>
    <s v="F2"/>
    <x v="70"/>
    <s v="P000001492"/>
    <s v="EL-SG Technical Objects"/>
    <s v="P000000644"/>
    <s v="New"/>
    <x v="0"/>
    <x v="0"/>
    <s v="EL"/>
    <m/>
    <m/>
    <s v="Roselle Delos Angeles"/>
  </r>
  <r>
    <n v="1644"/>
    <s v="F2"/>
    <x v="70"/>
    <s v="P000001493"/>
    <s v="EL Technical Objects"/>
    <s v="P000000962"/>
    <s v="New"/>
    <x v="0"/>
    <x v="0"/>
    <s v="EL"/>
    <m/>
    <m/>
    <s v="Roselle Delos Angeles"/>
  </r>
  <r>
    <n v="1645"/>
    <s v="F2"/>
    <x v="70"/>
    <s v="P000001494"/>
    <s v="EL-FO-P Technical Objects"/>
    <s v="P000000642"/>
    <s v="New"/>
    <x v="0"/>
    <x v="0"/>
    <s v="EL"/>
    <m/>
    <m/>
    <s v="Roselle Delos Angeles"/>
  </r>
  <r>
    <n v="1646"/>
    <s v="F2"/>
    <x v="70"/>
    <s v="P000001495"/>
    <s v="EL-FO-A Technical Objects"/>
    <s v="P000000643"/>
    <s v="New"/>
    <x v="0"/>
    <x v="0"/>
    <s v="EL"/>
    <m/>
    <m/>
    <s v="Roselle Delos Angeles"/>
  </r>
  <r>
    <n v="1647"/>
    <s v="F2"/>
    <x v="70"/>
    <s v="P000001496"/>
    <s v="EL-OP Litigations"/>
    <s v="P000000002"/>
    <s v="New"/>
    <x v="0"/>
    <x v="0"/>
    <s v="EL"/>
    <m/>
    <m/>
    <s v="Roselle Delos Angeles"/>
  </r>
  <r>
    <n v="1648"/>
    <s v="F2"/>
    <x v="70"/>
    <s v="P000001497"/>
    <s v="EL-OP Capital Gains &amp; Losses"/>
    <s v="P000000002"/>
    <s v="New"/>
    <x v="0"/>
    <x v="0"/>
    <s v="EL"/>
    <m/>
    <m/>
    <s v="Roselle Delos Angeles"/>
  </r>
  <r>
    <n v="1649"/>
    <s v="F2"/>
    <x v="70"/>
    <s v="P000001498"/>
    <s v="EL-OP OKB9 Cost Center"/>
    <s v="P000000002"/>
    <s v="New"/>
    <x v="0"/>
    <x v="0"/>
    <s v="EL"/>
    <m/>
    <m/>
    <s v="Roselle Delos Angeles"/>
  </r>
  <r>
    <n v="1650"/>
    <s v="F2"/>
    <x v="70"/>
    <s v="P000001499"/>
    <s v="EL-OP Cross-Charges"/>
    <s v="P000000002"/>
    <s v="New"/>
    <x v="0"/>
    <x v="0"/>
    <s v="EL"/>
    <m/>
    <m/>
    <s v="Roselle Delos Angeles"/>
  </r>
  <r>
    <n v="1651"/>
    <s v="F2"/>
    <x v="70"/>
    <s v="P000001500"/>
    <s v="EL-PS Intangibles"/>
    <s v="P000000041"/>
    <s v="New"/>
    <x v="0"/>
    <x v="0"/>
    <s v="EL"/>
    <m/>
    <m/>
    <s v="Roselle Delos Angeles"/>
  </r>
  <r>
    <n v="1652"/>
    <s v="F2"/>
    <x v="70"/>
    <s v="P000001501"/>
    <s v="EL-PS Litigations"/>
    <s v="P000000041"/>
    <s v="New"/>
    <x v="0"/>
    <x v="0"/>
    <s v="EL"/>
    <m/>
    <m/>
    <s v="Roselle Delos Angeles"/>
  </r>
  <r>
    <n v="1653"/>
    <s v="F2"/>
    <x v="70"/>
    <s v="P000001502"/>
    <s v="EL-PS Capital Gains &amp; Losses"/>
    <s v="P000000041"/>
    <s v="New"/>
    <x v="0"/>
    <x v="0"/>
    <s v="EL"/>
    <m/>
    <m/>
    <s v="Roselle Delos Angeles"/>
  </r>
  <r>
    <n v="1654"/>
    <s v="F2"/>
    <x v="70"/>
    <s v="P000001503"/>
    <s v="EL-PS OKB9 Cost Center"/>
    <s v="P000000041"/>
    <s v="New"/>
    <x v="0"/>
    <x v="0"/>
    <s v="EL"/>
    <m/>
    <m/>
    <s v="Roselle Delos Angeles"/>
  </r>
  <r>
    <n v="1655"/>
    <s v="F2"/>
    <x v="70"/>
    <s v="P000001504"/>
    <s v="EL-ND Intangibles"/>
    <s v="P000001490"/>
    <s v="New"/>
    <x v="0"/>
    <x v="0"/>
    <s v="EL"/>
    <m/>
    <m/>
    <s v="Roselle Delos Angeles"/>
  </r>
  <r>
    <n v="1656"/>
    <s v="F2"/>
    <x v="70"/>
    <s v="P000001505"/>
    <s v="EL-ND Litigations"/>
    <s v="P000001490"/>
    <s v="New"/>
    <x v="0"/>
    <x v="0"/>
    <s v="EL"/>
    <m/>
    <m/>
    <s v="Roselle Delos Angeles"/>
  </r>
  <r>
    <n v="1657"/>
    <s v="F2"/>
    <x v="70"/>
    <s v="P000001506"/>
    <s v="EL-ND Capital Gains &amp; Losses"/>
    <s v="P000001490"/>
    <s v="New"/>
    <x v="0"/>
    <x v="0"/>
    <s v="EL"/>
    <m/>
    <m/>
    <s v="Roselle Delos Angeles"/>
  </r>
  <r>
    <n v="1658"/>
    <s v="F2"/>
    <x v="70"/>
    <s v="P000001507"/>
    <s v="EL-ND OKB9 Cost Center"/>
    <s v="P000001490"/>
    <s v="New"/>
    <x v="0"/>
    <x v="0"/>
    <s v="EL"/>
    <m/>
    <m/>
    <s v="Roselle Delos Angeles"/>
  </r>
  <r>
    <n v="1659"/>
    <s v="F2"/>
    <x v="70"/>
    <s v="P000001508"/>
    <s v="EL-ND Cross-Charges"/>
    <s v="P000001490"/>
    <s v="New"/>
    <x v="0"/>
    <x v="0"/>
    <s v="EL"/>
    <m/>
    <m/>
    <s v="Roselle Delos Angeles"/>
  </r>
  <r>
    <n v="1660"/>
    <s v="F2"/>
    <x v="70"/>
    <s v="P000001509"/>
    <s v="EL-TF Intangibles"/>
    <s v="P000001491"/>
    <s v="New"/>
    <x v="0"/>
    <x v="0"/>
    <s v="EL"/>
    <m/>
    <m/>
    <s v="Roselle Delos Angeles"/>
  </r>
  <r>
    <n v="1661"/>
    <s v="F2"/>
    <x v="70"/>
    <s v="P000001510"/>
    <s v="EL-TF Litigations"/>
    <s v="P000001491"/>
    <s v="New"/>
    <x v="0"/>
    <x v="0"/>
    <s v="EL"/>
    <m/>
    <m/>
    <s v="Roselle Delos Angeles"/>
  </r>
  <r>
    <n v="1662"/>
    <s v="F2"/>
    <x v="70"/>
    <s v="P000001511"/>
    <s v="EL-TF Capital Gains &amp; Losses"/>
    <s v="P000001491"/>
    <s v="New"/>
    <x v="0"/>
    <x v="0"/>
    <s v="EL"/>
    <m/>
    <m/>
    <s v="Roselle Delos Angeles"/>
  </r>
  <r>
    <n v="1663"/>
    <s v="F2"/>
    <x v="70"/>
    <s v="P000001512"/>
    <s v="EL-TF OKB9 Cost Center"/>
    <s v="P000001491"/>
    <s v="New"/>
    <x v="0"/>
    <x v="0"/>
    <s v="EL"/>
    <m/>
    <m/>
    <s v="Roselle Delos Angeles"/>
  </r>
  <r>
    <n v="1664"/>
    <s v="F2"/>
    <x v="70"/>
    <s v="P000001513"/>
    <s v="EL-TF Cross-Charges"/>
    <s v="P000001491"/>
    <s v="New"/>
    <x v="0"/>
    <x v="0"/>
    <s v="EL"/>
    <m/>
    <m/>
    <s v="Roselle Delos Angeles"/>
  </r>
  <r>
    <n v="1665"/>
    <s v="F2"/>
    <x v="70"/>
    <s v="P000001514"/>
    <s v="EL-SG Intangibles"/>
    <s v="P000001492"/>
    <s v="New"/>
    <x v="0"/>
    <x v="0"/>
    <s v="EL"/>
    <m/>
    <m/>
    <s v="Roselle Delos Angeles"/>
  </r>
  <r>
    <n v="1666"/>
    <s v="F2"/>
    <x v="70"/>
    <s v="P000001515"/>
    <s v="EL-SG Litigations"/>
    <s v="P000001492"/>
    <s v="New"/>
    <x v="0"/>
    <x v="0"/>
    <s v="EL"/>
    <m/>
    <m/>
    <s v="Roselle Delos Angeles"/>
  </r>
  <r>
    <n v="1667"/>
    <s v="F2"/>
    <x v="70"/>
    <s v="P000001516"/>
    <s v="EL-SG Capital Gains &amp; Losses"/>
    <s v="P000001492"/>
    <s v="New"/>
    <x v="0"/>
    <x v="0"/>
    <s v="EL"/>
    <m/>
    <m/>
    <s v="Roselle Delos Angeles"/>
  </r>
  <r>
    <n v="1668"/>
    <s v="F2"/>
    <x v="70"/>
    <s v="P000001517"/>
    <s v="EL-SG OKB9 Cost Center"/>
    <s v="P000001492"/>
    <s v="New"/>
    <x v="0"/>
    <x v="0"/>
    <s v="EL"/>
    <m/>
    <m/>
    <s v="Roselle Delos Angeles"/>
  </r>
  <r>
    <n v="1669"/>
    <s v="F2"/>
    <x v="70"/>
    <s v="P000001518"/>
    <s v="EL-SG Cross-Charges"/>
    <s v="P000001492"/>
    <s v="New"/>
    <x v="0"/>
    <x v="0"/>
    <s v="EL"/>
    <m/>
    <m/>
    <s v="Roselle Delos Angeles"/>
  </r>
  <r>
    <n v="1670"/>
    <s v="F2"/>
    <x v="70"/>
    <s v="P000001519"/>
    <s v="EL Intangibles"/>
    <s v="P000001493"/>
    <s v="New"/>
    <x v="0"/>
    <x v="0"/>
    <s v="EL"/>
    <m/>
    <m/>
    <s v="Roselle Delos Angeles"/>
  </r>
  <r>
    <n v="1671"/>
    <s v="F2"/>
    <x v="70"/>
    <s v="P000001520"/>
    <s v="EL Technical Other"/>
    <s v="P000001493"/>
    <s v="New"/>
    <x v="0"/>
    <x v="0"/>
    <s v="EL"/>
    <m/>
    <m/>
    <s v="Roselle Delos Angeles"/>
  </r>
  <r>
    <n v="1672"/>
    <s v="F2"/>
    <x v="70"/>
    <s v="P000001521"/>
    <s v="EL Capital Gains &amp; Losses"/>
    <s v="P000001493"/>
    <s v="New"/>
    <x v="0"/>
    <x v="0"/>
    <s v="EL"/>
    <m/>
    <m/>
    <s v="Roselle Delos Angeles"/>
  </r>
  <r>
    <n v="1673"/>
    <s v="F2"/>
    <x v="70"/>
    <s v="P000001522"/>
    <s v="EL OKB9 Cost Center"/>
    <s v="P000001493"/>
    <s v="New"/>
    <x v="0"/>
    <x v="0"/>
    <s v="EL"/>
    <m/>
    <m/>
    <s v="Roselle Delos Angeles"/>
  </r>
  <r>
    <n v="1674"/>
    <s v="F2"/>
    <x v="70"/>
    <s v="P000001523"/>
    <s v="EL Cross-Charges"/>
    <s v="P000001493"/>
    <s v="New"/>
    <x v="0"/>
    <x v="0"/>
    <s v="EL"/>
    <m/>
    <m/>
    <s v="Roselle Delos Angeles"/>
  </r>
  <r>
    <n v="1675"/>
    <s v="F2"/>
    <x v="70"/>
    <s v="P000001524"/>
    <s v="EL-FO-P Intangibles"/>
    <s v="P000001494"/>
    <s v="New"/>
    <x v="0"/>
    <x v="0"/>
    <s v="EL"/>
    <m/>
    <m/>
    <s v="Roselle Delos Angeles"/>
  </r>
  <r>
    <n v="1676"/>
    <s v="F2"/>
    <x v="70"/>
    <s v="P000001525"/>
    <s v="EL-FO-P Litigations"/>
    <s v="P000001494"/>
    <s v="New"/>
    <x v="0"/>
    <x v="0"/>
    <s v="EL"/>
    <m/>
    <m/>
    <s v="Roselle Delos Angeles"/>
  </r>
  <r>
    <n v="1677"/>
    <s v="F2"/>
    <x v="70"/>
    <s v="P000001526"/>
    <s v="EL-FO-P Capital Gains &amp; Losses"/>
    <s v="P000001494"/>
    <s v="New"/>
    <x v="0"/>
    <x v="0"/>
    <s v="EL"/>
    <m/>
    <m/>
    <s v="Roselle Delos Angeles"/>
  </r>
  <r>
    <n v="1678"/>
    <s v="F2"/>
    <x v="70"/>
    <s v="P000001527"/>
    <s v="EL-FO-P OKB9 Cost Center"/>
    <s v="P000001494"/>
    <s v="New"/>
    <x v="0"/>
    <x v="0"/>
    <s v="EL"/>
    <m/>
    <m/>
    <s v="Roselle Delos Angeles"/>
  </r>
  <r>
    <n v="1679"/>
    <s v="F2"/>
    <x v="70"/>
    <s v="P000001528"/>
    <s v="EL-FO-P Cross-Charges"/>
    <s v="P000001494"/>
    <s v="New"/>
    <x v="0"/>
    <x v="0"/>
    <s v="EL"/>
    <m/>
    <m/>
    <s v="Roselle Delos Angeles"/>
  </r>
  <r>
    <n v="1680"/>
    <s v="F2"/>
    <x v="70"/>
    <s v="P000001529"/>
    <s v="EL-FO-A Intangibles"/>
    <s v="P000001495"/>
    <s v="New"/>
    <x v="0"/>
    <x v="0"/>
    <s v="EL"/>
    <m/>
    <m/>
    <s v="Roselle Delos Angeles"/>
  </r>
  <r>
    <n v="1681"/>
    <s v="F2"/>
    <x v="70"/>
    <s v="P000001530"/>
    <s v="EL-FO-A Litigations"/>
    <s v="P000001495"/>
    <s v="New"/>
    <x v="0"/>
    <x v="0"/>
    <s v="EL"/>
    <m/>
    <m/>
    <s v="Roselle Delos Angeles"/>
  </r>
  <r>
    <n v="1682"/>
    <s v="F2"/>
    <x v="70"/>
    <s v="P000001531"/>
    <s v="EL-FO-A Capital Gains &amp; Losses"/>
    <s v="P000001495"/>
    <s v="New"/>
    <x v="0"/>
    <x v="0"/>
    <s v="EL"/>
    <m/>
    <m/>
    <s v="Roselle Delos Angeles"/>
  </r>
  <r>
    <n v="1683"/>
    <s v="F2"/>
    <x v="70"/>
    <s v="P000001532"/>
    <s v="EL-FO-A OKB9 Cost Center"/>
    <s v="P000001495"/>
    <s v="New"/>
    <x v="0"/>
    <x v="0"/>
    <s v="EL"/>
    <m/>
    <m/>
    <s v="Roselle Delos Angeles"/>
  </r>
  <r>
    <n v="1684"/>
    <s v="F2"/>
    <x v="70"/>
    <s v="P000001533"/>
    <s v="EL-FO-A Cross-Charges"/>
    <s v="P000001495"/>
    <s v="New"/>
    <x v="0"/>
    <x v="0"/>
    <s v="EL"/>
    <m/>
    <m/>
    <s v="Roselle Delos Angeles"/>
  </r>
  <r>
    <n v="1685"/>
    <s v="F2"/>
    <x v="70"/>
    <s v="P000001534"/>
    <s v="EL Forecast for HC knots"/>
    <s v="P000000965"/>
    <s v="New"/>
    <x v="0"/>
    <x v="0"/>
    <s v="EL"/>
    <m/>
    <m/>
    <s v="Roselle Delos Angeles"/>
  </r>
  <r>
    <n v="1686"/>
    <s v="F2"/>
    <x v="70"/>
    <s v="P000001535"/>
    <s v="EL Forecast for LS knots"/>
    <s v="P000000965"/>
    <s v="New"/>
    <x v="0"/>
    <x v="0"/>
    <s v="EL"/>
    <m/>
    <m/>
    <s v="Roselle Delos Angeles"/>
  </r>
  <r>
    <n v="1687"/>
    <s v="F2"/>
    <x v="70"/>
    <s v="P000000002"/>
    <s v="EL-OP Technical Objects"/>
    <m/>
    <s v="Rename"/>
    <x v="0"/>
    <x v="0"/>
    <s v="EL"/>
    <m/>
    <m/>
    <s v="Roselle Delos Angeles"/>
  </r>
  <r>
    <n v="1688"/>
    <s v="F2"/>
    <x v="70"/>
    <s v="P000000697"/>
    <s v="EL-OP Intangibles"/>
    <m/>
    <s v="Rename"/>
    <x v="0"/>
    <x v="0"/>
    <s v="EL"/>
    <m/>
    <m/>
    <s v="Roselle Delos Angeles"/>
  </r>
  <r>
    <n v="1689"/>
    <s v="F2"/>
    <x v="70"/>
    <s v="P000000041"/>
    <s v="EL-PS Technical Objects"/>
    <m/>
    <s v="Rename"/>
    <x v="0"/>
    <x v="0"/>
    <s v="EL"/>
    <m/>
    <m/>
    <s v="Roselle Delos Angeles"/>
  </r>
  <r>
    <n v="1690"/>
    <s v="F2"/>
    <x v="70"/>
    <s v="P000000613"/>
    <s v="EL-PS Cross-Charges"/>
    <m/>
    <s v="Rename"/>
    <x v="0"/>
    <x v="0"/>
    <s v="EL"/>
    <m/>
    <m/>
    <s v="Roselle Delos Angeles"/>
  </r>
  <r>
    <n v="1691"/>
    <s v="F2"/>
    <x v="70"/>
    <s v="P000000418"/>
    <m/>
    <s v="P000000962"/>
    <s v="Move"/>
    <x v="0"/>
    <x v="0"/>
    <s v="EL"/>
    <m/>
    <m/>
    <s v="Roselle Delos Angeles"/>
  </r>
  <r>
    <n v="1692"/>
    <s v="F2"/>
    <x v="70"/>
    <s v="P000000706"/>
    <m/>
    <s v="O000000009"/>
    <s v="Remove"/>
    <x v="0"/>
    <x v="0"/>
    <s v="EL"/>
    <m/>
    <m/>
    <s v="Roselle Delos Angeles"/>
  </r>
  <r>
    <n v="1693"/>
    <s v="F2"/>
    <x v="70"/>
    <s v="P000000707"/>
    <m/>
    <s v="O000000009"/>
    <s v="Remove"/>
    <x v="0"/>
    <x v="0"/>
    <s v="EL"/>
    <m/>
    <m/>
    <s v="Roselle Delos Angeles"/>
  </r>
  <r>
    <n v="1694"/>
    <s v="F2"/>
    <x v="70"/>
    <s v="P000001144"/>
    <m/>
    <s v="O000000009"/>
    <s v="Remove"/>
    <x v="0"/>
    <x v="0"/>
    <s v="EL"/>
    <m/>
    <m/>
    <s v="Roselle Delos Angeles"/>
  </r>
  <r>
    <n v="1695"/>
    <s v="F2"/>
    <x v="70"/>
    <s v="P000001145"/>
    <m/>
    <s v="O000000009"/>
    <s v="Remove"/>
    <x v="0"/>
    <x v="0"/>
    <s v="EL"/>
    <m/>
    <m/>
    <s v="Roselle Delos Angeles"/>
  </r>
  <r>
    <n v="1696"/>
    <s v="F2"/>
    <x v="70"/>
    <s v="P000001147"/>
    <m/>
    <s v="O000000009"/>
    <s v="Remove"/>
    <x v="0"/>
    <x v="0"/>
    <s v="EL"/>
    <m/>
    <m/>
    <s v="Roselle Delos Angeles"/>
  </r>
  <r>
    <n v="1697"/>
    <s v="F2"/>
    <x v="70"/>
    <s v="P000000708"/>
    <m/>
    <s v="O000000009"/>
    <s v="Remove"/>
    <x v="0"/>
    <x v="0"/>
    <s v="EL"/>
    <m/>
    <m/>
    <s v="Roselle Delos Angeles"/>
  </r>
  <r>
    <n v="1698"/>
    <s v="F2"/>
    <x v="70"/>
    <s v="P000000712"/>
    <m/>
    <s v="O000000009"/>
    <s v="Remove"/>
    <x v="0"/>
    <x v="0"/>
    <s v="EL"/>
    <m/>
    <m/>
    <s v="Roselle Delos Angeles"/>
  </r>
  <r>
    <n v="1699"/>
    <s v="F2"/>
    <x v="70"/>
    <s v="P000000977"/>
    <m/>
    <s v="O000000009"/>
    <s v="Remove"/>
    <x v="0"/>
    <x v="0"/>
    <s v="EL"/>
    <m/>
    <m/>
    <s v="Roselle Delos Angeles"/>
  </r>
  <r>
    <n v="1700"/>
    <s v="F2"/>
    <x v="70"/>
    <s v="P000000978"/>
    <m/>
    <s v="O000000009"/>
    <s v="Remove"/>
    <x v="0"/>
    <x v="0"/>
    <s v="EL"/>
    <m/>
    <m/>
    <s v="Roselle Delos Angeles"/>
  </r>
  <r>
    <n v="1701"/>
    <s v="F2"/>
    <x v="70"/>
    <s v="P000000979"/>
    <m/>
    <s v="O000000009"/>
    <s v="Remove"/>
    <x v="0"/>
    <x v="0"/>
    <s v="EL"/>
    <m/>
    <m/>
    <s v="Roselle Delos Angeles"/>
  </r>
  <r>
    <n v="1702"/>
    <s v="F2"/>
    <x v="70"/>
    <s v="P000001156"/>
    <m/>
    <s v="O000000009"/>
    <s v="Remove"/>
    <x v="0"/>
    <x v="0"/>
    <s v="EL"/>
    <m/>
    <m/>
    <s v="Roselle Delos Angeles"/>
  </r>
  <r>
    <n v="1703"/>
    <s v="F2"/>
    <x v="70"/>
    <s v="P000001275"/>
    <m/>
    <s v="O000000009"/>
    <s v="Remove"/>
    <x v="0"/>
    <x v="0"/>
    <s v="EL"/>
    <m/>
    <m/>
    <s v="Roselle Delos Angeles"/>
  </r>
  <r>
    <n v="1704"/>
    <s v="F2"/>
    <x v="70"/>
    <s v="P000001279"/>
    <m/>
    <s v="O000000009"/>
    <s v="Remove"/>
    <x v="0"/>
    <x v="0"/>
    <s v="EL"/>
    <m/>
    <m/>
    <s v="Roselle Delos Angeles"/>
  </r>
  <r>
    <n v="1705"/>
    <s v="F2"/>
    <x v="70"/>
    <s v="P000001294"/>
    <m/>
    <s v="O000000009"/>
    <s v="Remove"/>
    <x v="0"/>
    <x v="0"/>
    <s v="EL"/>
    <m/>
    <m/>
    <s v="Roselle Delos Angeles"/>
  </r>
  <r>
    <n v="1706"/>
    <s v="F2"/>
    <x v="70"/>
    <s v="P000001295"/>
    <m/>
    <s v="O000000009"/>
    <s v="Remove"/>
    <x v="0"/>
    <x v="0"/>
    <s v="EL"/>
    <m/>
    <m/>
    <s v="Roselle Delos Angeles"/>
  </r>
  <r>
    <n v="1707"/>
    <s v="F2"/>
    <x v="70"/>
    <s v="P000001296"/>
    <m/>
    <s v="O000000009"/>
    <s v="Remove"/>
    <x v="0"/>
    <x v="0"/>
    <s v="EL"/>
    <m/>
    <m/>
    <s v="Roselle Delos Angeles"/>
  </r>
  <r>
    <n v="1708"/>
    <s v="F2"/>
    <x v="70"/>
    <s v="P000001324"/>
    <m/>
    <s v="O000000009"/>
    <s v="Remove"/>
    <x v="0"/>
    <x v="0"/>
    <s v="EL"/>
    <m/>
    <m/>
    <s v="Roselle Delos Angeles"/>
  </r>
  <r>
    <n v="1709"/>
    <s v="F2"/>
    <x v="71"/>
    <s v="H000005114"/>
    <s v="JP-Business Unit RD"/>
    <s v="H000002442"/>
    <s v="New"/>
    <x v="0"/>
    <x v="0"/>
    <s v="HC"/>
    <m/>
    <m/>
    <s v="Yukiko Kawamata"/>
  </r>
  <r>
    <n v="1710"/>
    <s v="F2"/>
    <x v="72"/>
    <s v="H000005115"/>
    <s v="AR - Market Access RT"/>
    <s v="H000002519"/>
    <s v="New"/>
    <x v="0"/>
    <x v="0"/>
    <s v="HC"/>
    <m/>
    <m/>
    <s v="Maria Barreto"/>
  </r>
  <r>
    <n v="1711"/>
    <s v="F2"/>
    <x v="72"/>
    <s v="H000005116"/>
    <s v="AR - Market Access Ogsiveo&amp;Gomekli"/>
    <s v="H000005115"/>
    <s v="New"/>
    <x v="0"/>
    <x v="0"/>
    <s v="HC"/>
    <m/>
    <m/>
    <s v="Maria Barreto"/>
  </r>
  <r>
    <n v="1712"/>
    <s v="F2"/>
    <x v="72"/>
    <s v="H000005117"/>
    <s v="AR - Market Access Ogsiveo"/>
    <s v="H000005115"/>
    <s v="New"/>
    <x v="0"/>
    <x v="0"/>
    <s v="HC"/>
    <m/>
    <m/>
    <s v="Maria Barreto"/>
  </r>
  <r>
    <n v="1713"/>
    <s v="F2"/>
    <x v="72"/>
    <s v="H000005118"/>
    <s v="AR - Market Access Gomekli"/>
    <s v="H000005115"/>
    <s v="New"/>
    <x v="0"/>
    <x v="0"/>
    <s v="HC"/>
    <m/>
    <m/>
    <s v="Maria Barreto"/>
  </r>
  <r>
    <n v="1714"/>
    <s v="F2"/>
    <x v="73"/>
    <s v="H000005119"/>
    <s v="Global Demand Planning Local_1022"/>
    <s v="H000000650"/>
    <s v="New"/>
    <x v="0"/>
    <x v="0"/>
    <s v="HC"/>
    <m/>
    <m/>
    <s v="Henry Jr Ifurung"/>
  </r>
  <r>
    <n v="1715"/>
    <s v="F2"/>
    <x v="73"/>
    <s v="H000005120"/>
    <s v="Global Demand Planning Local_1023"/>
    <s v="H000000650"/>
    <s v="New"/>
    <x v="0"/>
    <x v="0"/>
    <s v="HC"/>
    <m/>
    <m/>
    <s v="Henry Jr Ifurung"/>
  </r>
  <r>
    <n v="1716"/>
    <s v="F2"/>
    <x v="73"/>
    <s v="H000005121"/>
    <s v="Global Demand Planning Local_1024"/>
    <s v="H000000650"/>
    <s v="New"/>
    <x v="0"/>
    <x v="0"/>
    <s v="HC"/>
    <m/>
    <m/>
    <s v="Henry Jr Ifurung"/>
  </r>
  <r>
    <n v="1717"/>
    <s v="F2"/>
    <x v="73"/>
    <s v="H000005122"/>
    <s v="Global Demand Planning Local_1025"/>
    <s v="H000000650"/>
    <s v="New"/>
    <x v="0"/>
    <x v="0"/>
    <s v="HC"/>
    <m/>
    <m/>
    <s v="Henry Jr Ifurung"/>
  </r>
  <r>
    <n v="1718"/>
    <s v="F2"/>
    <x v="73"/>
    <s v="H000005123"/>
    <s v="Global Demand Planning Local_1028"/>
    <s v="H000000650"/>
    <s v="New"/>
    <x v="0"/>
    <x v="0"/>
    <s v="HC"/>
    <m/>
    <m/>
    <s v="Henry Jr Ifurung"/>
  </r>
  <r>
    <n v="1719"/>
    <s v="F2"/>
    <x v="73"/>
    <s v="H000005124"/>
    <s v="Global Demand Planning Local_1030"/>
    <s v="H000000650"/>
    <s v="New"/>
    <x v="0"/>
    <x v="0"/>
    <s v="HC"/>
    <m/>
    <m/>
    <s v="Henry Jr Ifurung"/>
  </r>
  <r>
    <n v="1720"/>
    <s v="F2"/>
    <x v="73"/>
    <s v="H000005125"/>
    <s v="Global Demand Planning Local_1032"/>
    <s v="H000000650"/>
    <s v="New"/>
    <x v="0"/>
    <x v="0"/>
    <s v="HC"/>
    <m/>
    <m/>
    <s v="Henry Jr Ifurung"/>
  </r>
  <r>
    <n v="1721"/>
    <s v="F2"/>
    <x v="73"/>
    <s v="H000005126"/>
    <s v="Global Demand Planning Local_1034"/>
    <s v="H000000650"/>
    <s v="New"/>
    <x v="0"/>
    <x v="0"/>
    <s v="HC"/>
    <m/>
    <m/>
    <s v="Henry Jr Ifurung"/>
  </r>
  <r>
    <n v="1722"/>
    <s v="F2"/>
    <x v="73"/>
    <s v="H000005127"/>
    <s v="Global Demand Planning Local_1035"/>
    <s v="H000000650"/>
    <s v="New"/>
    <x v="0"/>
    <x v="0"/>
    <s v="HC"/>
    <m/>
    <m/>
    <s v="Henry Jr Ifurung"/>
  </r>
  <r>
    <n v="1723"/>
    <s v="F2"/>
    <x v="73"/>
    <s v="H000005128"/>
    <s v="Global Demand Planning Local_1042"/>
    <s v="H000000650"/>
    <s v="New"/>
    <x v="0"/>
    <x v="0"/>
    <s v="HC"/>
    <m/>
    <m/>
    <s v="Henry Jr Ifurung"/>
  </r>
  <r>
    <n v="1724"/>
    <s v="F2"/>
    <x v="73"/>
    <s v="H000005129"/>
    <s v="Global Demand Planning Local_1044"/>
    <s v="H000000650"/>
    <s v="New"/>
    <x v="0"/>
    <x v="0"/>
    <s v="HC"/>
    <m/>
    <m/>
    <s v="Henry Jr Ifurung"/>
  </r>
  <r>
    <n v="1725"/>
    <s v="F2"/>
    <x v="73"/>
    <s v="H000005130"/>
    <s v="Global Demand Planning Local_1047"/>
    <s v="H000000650"/>
    <s v="New"/>
    <x v="0"/>
    <x v="0"/>
    <s v="HC"/>
    <m/>
    <m/>
    <s v="Henry Jr Ifurung"/>
  </r>
  <r>
    <n v="1726"/>
    <s v="F2"/>
    <x v="73"/>
    <s v="H000005131"/>
    <s v="Global Demand Planning Local_1054"/>
    <s v="H000000650"/>
    <s v="New"/>
    <x v="0"/>
    <x v="0"/>
    <s v="HC"/>
    <m/>
    <m/>
    <s v="Henry Jr Ifurung"/>
  </r>
  <r>
    <n v="1727"/>
    <s v="F2"/>
    <x v="73"/>
    <s v="H000005132"/>
    <s v="Global Demand Planning Local_1055"/>
    <s v="H000000650"/>
    <s v="New"/>
    <x v="0"/>
    <x v="0"/>
    <s v="HC"/>
    <m/>
    <m/>
    <s v="Henry Jr Ifurung"/>
  </r>
  <r>
    <n v="1728"/>
    <s v="F2"/>
    <x v="73"/>
    <s v="H000005133"/>
    <s v="Global Demand Planning Local_1060"/>
    <s v="H000000650"/>
    <s v="New"/>
    <x v="0"/>
    <x v="0"/>
    <s v="HC"/>
    <m/>
    <m/>
    <s v="Henry Jr Ifurung"/>
  </r>
  <r>
    <n v="1729"/>
    <s v="F2"/>
    <x v="73"/>
    <s v="H000005134"/>
    <s v="Global Demand Planning Local_1085"/>
    <s v="H000000650"/>
    <s v="New"/>
    <x v="0"/>
    <x v="0"/>
    <s v="HC"/>
    <m/>
    <m/>
    <s v="Henry Jr Ifurung"/>
  </r>
  <r>
    <n v="1730"/>
    <s v="F2"/>
    <x v="73"/>
    <s v="H000005135"/>
    <s v="Global Demand Planning Local_1092"/>
    <s v="H000000650"/>
    <s v="New"/>
    <x v="0"/>
    <x v="0"/>
    <s v="HC"/>
    <m/>
    <m/>
    <s v="Henry Jr Ifurung"/>
  </r>
  <r>
    <n v="1731"/>
    <s v="F2"/>
    <x v="73"/>
    <s v="H000005136"/>
    <s v="Global Demand Planning Local_1132"/>
    <s v="H000000650"/>
    <s v="New"/>
    <x v="0"/>
    <x v="0"/>
    <s v="HC"/>
    <m/>
    <m/>
    <s v="Henry Jr Ifurung"/>
  </r>
  <r>
    <n v="1732"/>
    <s v="F2"/>
    <x v="73"/>
    <s v="H000005137"/>
    <s v="Global Demand Planning Local_1190"/>
    <s v="H000000650"/>
    <s v="New"/>
    <x v="0"/>
    <x v="0"/>
    <s v="HC"/>
    <m/>
    <m/>
    <s v="Henry Jr Ifurung"/>
  </r>
  <r>
    <n v="1733"/>
    <s v="F2"/>
    <x v="73"/>
    <s v="H000005138"/>
    <s v="Global Demand Planning Local_1201"/>
    <s v="H000000650"/>
    <s v="New"/>
    <x v="0"/>
    <x v="0"/>
    <s v="HC"/>
    <m/>
    <m/>
    <s v="Henry Jr Ifurung"/>
  </r>
  <r>
    <n v="1734"/>
    <s v="F2"/>
    <x v="73"/>
    <s v="H000005139"/>
    <s v="Global Demand Planning Local_1202"/>
    <s v="H000000650"/>
    <s v="New"/>
    <x v="0"/>
    <x v="0"/>
    <s v="HC"/>
    <m/>
    <m/>
    <s v="Henry Jr Ifurung"/>
  </r>
  <r>
    <n v="1735"/>
    <s v="F2"/>
    <x v="73"/>
    <s v="H000005140"/>
    <s v="Global Demand Planning Local_1203"/>
    <s v="H000000650"/>
    <s v="New"/>
    <x v="0"/>
    <x v="0"/>
    <s v="HC"/>
    <m/>
    <m/>
    <s v="Henry Jr Ifurung"/>
  </r>
  <r>
    <n v="1736"/>
    <s v="F2"/>
    <x v="73"/>
    <s v="H000005141"/>
    <s v="Global Demand Planning Local_1206"/>
    <s v="H000000650"/>
    <s v="New"/>
    <x v="0"/>
    <x v="0"/>
    <s v="HC"/>
    <m/>
    <m/>
    <s v="Henry Jr Ifurung"/>
  </r>
  <r>
    <n v="1737"/>
    <s v="F2"/>
    <x v="73"/>
    <s v="H000005142"/>
    <s v="Global Demand Planning Local_1212"/>
    <s v="H000000650"/>
    <s v="New"/>
    <x v="0"/>
    <x v="0"/>
    <s v="HC"/>
    <m/>
    <m/>
    <s v="Henry Jr Ifurung"/>
  </r>
  <r>
    <n v="1738"/>
    <s v="F2"/>
    <x v="73"/>
    <s v="H000005143"/>
    <s v="Global Demand Planning Local_1215"/>
    <s v="H000000650"/>
    <s v="New"/>
    <x v="0"/>
    <x v="0"/>
    <s v="HC"/>
    <m/>
    <m/>
    <s v="Henry Jr Ifurung"/>
  </r>
  <r>
    <n v="1739"/>
    <s v="F2"/>
    <x v="73"/>
    <s v="H000005144"/>
    <s v="Global Demand Planning Local_1217"/>
    <s v="H000000650"/>
    <s v="New"/>
    <x v="0"/>
    <x v="0"/>
    <s v="HC"/>
    <m/>
    <m/>
    <s v="Henry Jr Ifurung"/>
  </r>
  <r>
    <n v="1740"/>
    <s v="F2"/>
    <x v="73"/>
    <s v="H000005145"/>
    <s v="Global Demand Planning Local_1226"/>
    <s v="H000000650"/>
    <s v="New"/>
    <x v="0"/>
    <x v="0"/>
    <s v="HC"/>
    <m/>
    <m/>
    <s v="Henry Jr Ifurung"/>
  </r>
  <r>
    <n v="1741"/>
    <s v="F2"/>
    <x v="73"/>
    <s v="H000005146"/>
    <s v="Global Demand Planning Local_1227"/>
    <s v="H000000650"/>
    <s v="New"/>
    <x v="0"/>
    <x v="0"/>
    <s v="HC"/>
    <m/>
    <m/>
    <s v="Henry Jr Ifurung"/>
  </r>
  <r>
    <n v="1742"/>
    <s v="F2"/>
    <x v="73"/>
    <s v="H000005147"/>
    <s v="Global Demand Planning Local_1233"/>
    <s v="H000000650"/>
    <s v="New"/>
    <x v="0"/>
    <x v="0"/>
    <s v="HC"/>
    <m/>
    <m/>
    <s v="Henry Jr Ifurung"/>
  </r>
  <r>
    <n v="1743"/>
    <s v="F2"/>
    <x v="73"/>
    <s v="H000005148"/>
    <s v="Global Demand Planning Local_1234"/>
    <s v="H000000650"/>
    <s v="New"/>
    <x v="0"/>
    <x v="0"/>
    <s v="HC"/>
    <m/>
    <m/>
    <s v="Henry Jr Ifurung"/>
  </r>
  <r>
    <n v="1744"/>
    <s v="F2"/>
    <x v="73"/>
    <s v="H000005149"/>
    <s v="Global Demand Planning Local_1241"/>
    <s v="H000000650"/>
    <s v="New"/>
    <x v="0"/>
    <x v="0"/>
    <s v="HC"/>
    <m/>
    <m/>
    <s v="Henry Jr Ifurung"/>
  </r>
  <r>
    <n v="1745"/>
    <s v="F2"/>
    <x v="73"/>
    <s v="H000005150"/>
    <s v="Global Demand Planning Local_1242"/>
    <s v="H000000650"/>
    <s v="New"/>
    <x v="0"/>
    <x v="0"/>
    <s v="HC"/>
    <m/>
    <m/>
    <s v="Henry Jr Ifurung"/>
  </r>
  <r>
    <n v="1746"/>
    <s v="F2"/>
    <x v="73"/>
    <s v="H000005151"/>
    <s v="Global Demand Planning Local_1243"/>
    <s v="H000000650"/>
    <s v="New"/>
    <x v="0"/>
    <x v="0"/>
    <s v="HC"/>
    <m/>
    <m/>
    <s v="Henry Jr Ifurung"/>
  </r>
  <r>
    <n v="1747"/>
    <s v="F2"/>
    <x v="73"/>
    <s v="H000005152"/>
    <s v="Global Demand Planning Local_1250"/>
    <s v="H000000650"/>
    <s v="New"/>
    <x v="0"/>
    <x v="0"/>
    <s v="HC"/>
    <m/>
    <m/>
    <s v="Henry Jr Ifurung"/>
  </r>
  <r>
    <n v="1748"/>
    <s v="F2"/>
    <x v="73"/>
    <s v="H000005153"/>
    <s v="Global Demand Planning Local_1266"/>
    <s v="H000000650"/>
    <s v="New"/>
    <x v="0"/>
    <x v="0"/>
    <s v="HC"/>
    <m/>
    <m/>
    <s v="Henry Jr Ifurung"/>
  </r>
  <r>
    <n v="1749"/>
    <s v="F2"/>
    <x v="73"/>
    <s v="H000005154"/>
    <s v="Global Demand Planning Local_1298"/>
    <s v="H000000650"/>
    <s v="New"/>
    <x v="0"/>
    <x v="0"/>
    <s v="HC"/>
    <m/>
    <m/>
    <s v="Henry Jr Ifurung"/>
  </r>
  <r>
    <n v="1750"/>
    <s v="F2"/>
    <x v="73"/>
    <s v="H000005155"/>
    <s v="Global Demand Planning Local_1401"/>
    <s v="H000000650"/>
    <s v="New"/>
    <x v="0"/>
    <x v="0"/>
    <s v="HC"/>
    <m/>
    <m/>
    <s v="Henry Jr Ifurung"/>
  </r>
  <r>
    <n v="1751"/>
    <s v="F2"/>
    <x v="73"/>
    <s v="H000005156"/>
    <s v="Global Demand Planning Local_1402"/>
    <s v="H000000650"/>
    <s v="New"/>
    <x v="0"/>
    <x v="0"/>
    <s v="HC"/>
    <m/>
    <m/>
    <s v="Henry Jr Ifurung"/>
  </r>
  <r>
    <n v="1752"/>
    <s v="F2"/>
    <x v="73"/>
    <s v="H000005157"/>
    <s v="Global Demand Planning Local_1561"/>
    <s v="H000000650"/>
    <s v="New"/>
    <x v="0"/>
    <x v="0"/>
    <s v="HC"/>
    <m/>
    <m/>
    <s v="Henry Jr Ifurung"/>
  </r>
  <r>
    <n v="1753"/>
    <s v="F2"/>
    <x v="73"/>
    <s v="H000005158"/>
    <s v="Global Demand Planning Local_1730"/>
    <s v="H000000650"/>
    <s v="New"/>
    <x v="0"/>
    <x v="0"/>
    <s v="HC"/>
    <m/>
    <m/>
    <s v="Henry Jr Ifurung"/>
  </r>
  <r>
    <n v="1754"/>
    <s v="F2"/>
    <x v="73"/>
    <s v="H000005159"/>
    <s v="Global Demand Planning Local_1758"/>
    <s v="H000000650"/>
    <s v="New"/>
    <x v="0"/>
    <x v="0"/>
    <s v="HC"/>
    <m/>
    <m/>
    <s v="Henry Jr Ifurung"/>
  </r>
  <r>
    <n v="1755"/>
    <s v="F2"/>
    <x v="73"/>
    <s v="H000005160"/>
    <s v="Global Demand Planning Local_1759"/>
    <s v="H000000650"/>
    <s v="New"/>
    <x v="0"/>
    <x v="0"/>
    <s v="HC"/>
    <m/>
    <m/>
    <s v="Henry Jr Ifurung"/>
  </r>
  <r>
    <n v="1756"/>
    <s v="F2"/>
    <x v="73"/>
    <s v="H000005161"/>
    <s v="Global Demand Planning Local_1760"/>
    <s v="H000000650"/>
    <s v="New"/>
    <x v="0"/>
    <x v="0"/>
    <s v="HC"/>
    <m/>
    <m/>
    <s v="Henry Jr Ifurung"/>
  </r>
  <r>
    <n v="1757"/>
    <s v="F2"/>
    <x v="73"/>
    <s v="H000005162"/>
    <s v="Global Demand Planning Local_1771"/>
    <s v="H000000650"/>
    <s v="New"/>
    <x v="0"/>
    <x v="0"/>
    <s v="HC"/>
    <m/>
    <m/>
    <s v="Henry Jr Ifurung"/>
  </r>
  <r>
    <n v="1758"/>
    <s v="F2"/>
    <x v="73"/>
    <s v="H000005163"/>
    <s v="Global Demand Planning Local_1777"/>
    <s v="H000000650"/>
    <s v="New"/>
    <x v="0"/>
    <x v="0"/>
    <s v="HC"/>
    <m/>
    <m/>
    <s v="Henry Jr Ifurung"/>
  </r>
  <r>
    <n v="1759"/>
    <s v="F2"/>
    <x v="73"/>
    <s v="H000005164"/>
    <s v="Global Demand Planning Local_1784"/>
    <s v="H000000650"/>
    <s v="New"/>
    <x v="0"/>
    <x v="0"/>
    <s v="HC"/>
    <m/>
    <m/>
    <s v="Henry Jr Ifurung"/>
  </r>
  <r>
    <n v="1760"/>
    <s v="F2"/>
    <x v="73"/>
    <s v="H000005165"/>
    <s v="Global Demand Planning Local_1785"/>
    <s v="H000000650"/>
    <s v="New"/>
    <x v="0"/>
    <x v="0"/>
    <s v="HC"/>
    <m/>
    <m/>
    <s v="Henry Jr Ifurung"/>
  </r>
  <r>
    <n v="1761"/>
    <s v="F2"/>
    <x v="73"/>
    <s v="H000005166"/>
    <s v="Global Demand Planning Local_1787"/>
    <s v="H000000650"/>
    <s v="New"/>
    <x v="0"/>
    <x v="0"/>
    <s v="HC"/>
    <m/>
    <m/>
    <s v="Henry Jr Ifurung"/>
  </r>
  <r>
    <n v="1762"/>
    <s v="F2"/>
    <x v="73"/>
    <s v="H000005167"/>
    <s v="Global Demand Planning Local_1814"/>
    <s v="H000000650"/>
    <s v="New"/>
    <x v="0"/>
    <x v="0"/>
    <s v="HC"/>
    <m/>
    <m/>
    <s v="Henry Jr Ifurung"/>
  </r>
  <r>
    <n v="1763"/>
    <s v="F2"/>
    <x v="73"/>
    <s v="H000005168"/>
    <s v="Global Demand Planning Local_1820"/>
    <s v="H000000650"/>
    <s v="New"/>
    <x v="0"/>
    <x v="0"/>
    <s v="HC"/>
    <m/>
    <m/>
    <s v="Henry Jr Ifurung"/>
  </r>
  <r>
    <n v="1764"/>
    <s v="F2"/>
    <x v="73"/>
    <s v="H000005169"/>
    <s v="Global Demand Planning Local_1822"/>
    <s v="H000000650"/>
    <s v="New"/>
    <x v="0"/>
    <x v="0"/>
    <s v="HC"/>
    <m/>
    <m/>
    <s v="Henry Jr Ifurung"/>
  </r>
  <r>
    <n v="1765"/>
    <s v="F2"/>
    <x v="73"/>
    <s v="H000005170"/>
    <s v="Global Demand Planning Local_1823"/>
    <s v="H000000650"/>
    <s v="New"/>
    <x v="0"/>
    <x v="0"/>
    <s v="HC"/>
    <m/>
    <m/>
    <s v="Henry Jr Ifurung"/>
  </r>
  <r>
    <n v="1766"/>
    <s v="F2"/>
    <x v="73"/>
    <s v="H000005171"/>
    <s v="Global Demand Planning Local_1872"/>
    <s v="H000000650"/>
    <s v="New"/>
    <x v="0"/>
    <x v="0"/>
    <s v="HC"/>
    <m/>
    <m/>
    <s v="Henry Jr Ifurung"/>
  </r>
  <r>
    <n v="1767"/>
    <s v="F2"/>
    <x v="73"/>
    <s v="H000005172"/>
    <s v="Global Demand Planning Local_1881"/>
    <s v="H000000650"/>
    <s v="New"/>
    <x v="0"/>
    <x v="0"/>
    <s v="HC"/>
    <m/>
    <m/>
    <s v="Henry Jr Ifurung"/>
  </r>
  <r>
    <n v="1768"/>
    <s v="F2"/>
    <x v="73"/>
    <s v="H000005173"/>
    <s v="Global Demand Planning Local_1895"/>
    <s v="H000000650"/>
    <s v="New"/>
    <x v="0"/>
    <x v="0"/>
    <s v="HC"/>
    <m/>
    <m/>
    <s v="Henry Jr Ifurung"/>
  </r>
  <r>
    <n v="1769"/>
    <s v="F2"/>
    <x v="73"/>
    <s v="H000005174"/>
    <s v="Global Demand Planning Local_2156"/>
    <s v="H000000650"/>
    <s v="New"/>
    <x v="0"/>
    <x v="0"/>
    <s v="HC"/>
    <m/>
    <m/>
    <s v="Henry Jr Ifurung"/>
  </r>
  <r>
    <n v="1770"/>
    <s v="F2"/>
    <x v="73"/>
    <s v="H000005175"/>
    <s v="Global Demand Planning Local_2194"/>
    <s v="H000000650"/>
    <s v="New"/>
    <x v="0"/>
    <x v="0"/>
    <s v="HC"/>
    <m/>
    <m/>
    <s v="Henry Jr Ifurung"/>
  </r>
  <r>
    <n v="1771"/>
    <s v="F2"/>
    <x v="73"/>
    <s v="H000005176"/>
    <s v="Global Demand Planning Local_2246"/>
    <s v="H000000650"/>
    <s v="New"/>
    <x v="0"/>
    <x v="0"/>
    <s v="HC"/>
    <m/>
    <m/>
    <s v="Henry Jr Ifurung"/>
  </r>
  <r>
    <n v="1772"/>
    <s v="F2"/>
    <x v="73"/>
    <s v="H000005177"/>
    <s v="Global Demand Planning Local_2276"/>
    <s v="H000000650"/>
    <s v="New"/>
    <x v="0"/>
    <x v="0"/>
    <s v="HC"/>
    <m/>
    <m/>
    <s v="Henry Jr Ifurung"/>
  </r>
  <r>
    <n v="1773"/>
    <s v="F2"/>
    <x v="73"/>
    <s v="H000005178"/>
    <s v="Global Demand Planning Local_2358"/>
    <s v="H000000650"/>
    <s v="New"/>
    <x v="0"/>
    <x v="0"/>
    <s v="HC"/>
    <m/>
    <m/>
    <s v="Henry Jr Ifurung"/>
  </r>
  <r>
    <n v="1774"/>
    <s v="F2"/>
    <x v="73"/>
    <s v="H000005179"/>
    <s v="Global Demand Planning Local_2367"/>
    <s v="H000000650"/>
    <s v="New"/>
    <x v="0"/>
    <x v="0"/>
    <s v="HC"/>
    <m/>
    <m/>
    <s v="Henry Jr Ifurung"/>
  </r>
  <r>
    <n v="1775"/>
    <s v="F2"/>
    <x v="73"/>
    <s v="H000005180"/>
    <s v="Warehousing/distribution_1022"/>
    <s v="H000000651"/>
    <s v="New"/>
    <x v="0"/>
    <x v="0"/>
    <s v="HC"/>
    <m/>
    <m/>
    <s v="Henry Jr Ifurung"/>
  </r>
  <r>
    <n v="1776"/>
    <s v="F2"/>
    <x v="73"/>
    <s v="H000005181"/>
    <s v="Warehousing/distribution_1024"/>
    <s v="H000000651"/>
    <s v="New"/>
    <x v="0"/>
    <x v="0"/>
    <s v="HC"/>
    <m/>
    <m/>
    <s v="Henry Jr Ifurung"/>
  </r>
  <r>
    <n v="1777"/>
    <s v="F2"/>
    <x v="73"/>
    <s v="H000005182"/>
    <s v="Warehousing/distribution_1028"/>
    <s v="H000000651"/>
    <s v="New"/>
    <x v="0"/>
    <x v="0"/>
    <s v="HC"/>
    <m/>
    <m/>
    <s v="Henry Jr Ifurung"/>
  </r>
  <r>
    <n v="1778"/>
    <s v="F2"/>
    <x v="73"/>
    <s v="H000005183"/>
    <s v="Warehousing/distribution_1030"/>
    <s v="H000000651"/>
    <s v="New"/>
    <x v="0"/>
    <x v="0"/>
    <s v="HC"/>
    <m/>
    <m/>
    <s v="Henry Jr Ifurung"/>
  </r>
  <r>
    <n v="1779"/>
    <s v="F2"/>
    <x v="73"/>
    <s v="H000005184"/>
    <s v="Warehousing/distribution_1032"/>
    <s v="H000000651"/>
    <s v="New"/>
    <x v="0"/>
    <x v="0"/>
    <s v="HC"/>
    <m/>
    <m/>
    <s v="Henry Jr Ifurung"/>
  </r>
  <r>
    <n v="1780"/>
    <s v="F2"/>
    <x v="73"/>
    <s v="H000005185"/>
    <s v="Warehousing/distribution_1034"/>
    <s v="H000000651"/>
    <s v="New"/>
    <x v="0"/>
    <x v="0"/>
    <s v="HC"/>
    <m/>
    <m/>
    <s v="Henry Jr Ifurung"/>
  </r>
  <r>
    <n v="1781"/>
    <s v="F2"/>
    <x v="73"/>
    <s v="H000005186"/>
    <s v="Warehousing/distribution_1035"/>
    <s v="H000000651"/>
    <s v="New"/>
    <x v="0"/>
    <x v="0"/>
    <s v="HC"/>
    <m/>
    <m/>
    <s v="Henry Jr Ifurung"/>
  </r>
  <r>
    <n v="1782"/>
    <s v="F2"/>
    <x v="73"/>
    <s v="H000005187"/>
    <s v="Warehousing/distribution_1042"/>
    <s v="H000000651"/>
    <s v="New"/>
    <x v="0"/>
    <x v="0"/>
    <s v="HC"/>
    <m/>
    <m/>
    <s v="Henry Jr Ifurung"/>
  </r>
  <r>
    <n v="1783"/>
    <s v="F2"/>
    <x v="73"/>
    <s v="H000005188"/>
    <s v="Warehousing/distribution_1055"/>
    <s v="H000000651"/>
    <s v="New"/>
    <x v="0"/>
    <x v="0"/>
    <s v="HC"/>
    <m/>
    <m/>
    <s v="Henry Jr Ifurung"/>
  </r>
  <r>
    <n v="1784"/>
    <s v="F2"/>
    <x v="73"/>
    <s v="H000005189"/>
    <s v="Warehousing/distribution_1060"/>
    <s v="H000000651"/>
    <s v="New"/>
    <x v="0"/>
    <x v="0"/>
    <s v="HC"/>
    <m/>
    <m/>
    <s v="Henry Jr Ifurung"/>
  </r>
  <r>
    <n v="1785"/>
    <s v="F2"/>
    <x v="73"/>
    <s v="H000005190"/>
    <s v="Warehousing/distribution_1072"/>
    <s v="H000000651"/>
    <s v="New"/>
    <x v="0"/>
    <x v="0"/>
    <s v="HC"/>
    <m/>
    <m/>
    <s v="Henry Jr Ifurung"/>
  </r>
  <r>
    <n v="1786"/>
    <s v="F2"/>
    <x v="73"/>
    <s v="H000005191"/>
    <s v="Warehousing/distribution_1092"/>
    <s v="H000000651"/>
    <s v="New"/>
    <x v="0"/>
    <x v="0"/>
    <s v="HC"/>
    <m/>
    <m/>
    <s v="Henry Jr Ifurung"/>
  </r>
  <r>
    <n v="1787"/>
    <s v="F2"/>
    <x v="73"/>
    <s v="H000005192"/>
    <s v="Warehousing/distribution_1132"/>
    <s v="H000000651"/>
    <s v="New"/>
    <x v="0"/>
    <x v="0"/>
    <s v="HC"/>
    <m/>
    <m/>
    <s v="Henry Jr Ifurung"/>
  </r>
  <r>
    <n v="1788"/>
    <s v="F2"/>
    <x v="73"/>
    <s v="H000005193"/>
    <s v="Warehousing/distribution_1201"/>
    <s v="H000000651"/>
    <s v="New"/>
    <x v="0"/>
    <x v="0"/>
    <s v="HC"/>
    <m/>
    <m/>
    <s v="Henry Jr Ifurung"/>
  </r>
  <r>
    <n v="1789"/>
    <s v="F2"/>
    <x v="73"/>
    <s v="H000005194"/>
    <s v="Warehousing/distribution_1202"/>
    <s v="H000000651"/>
    <s v="New"/>
    <x v="0"/>
    <x v="0"/>
    <s v="HC"/>
    <m/>
    <m/>
    <s v="Henry Jr Ifurung"/>
  </r>
  <r>
    <n v="1790"/>
    <s v="F2"/>
    <x v="73"/>
    <s v="H000005195"/>
    <s v="Warehousing/distribution_1203"/>
    <s v="H000000651"/>
    <s v="New"/>
    <x v="0"/>
    <x v="0"/>
    <s v="HC"/>
    <m/>
    <m/>
    <s v="Henry Jr Ifurung"/>
  </r>
  <r>
    <n v="1791"/>
    <s v="F2"/>
    <x v="73"/>
    <s v="H000005196"/>
    <s v="Warehousing/distribution_1206"/>
    <s v="H000000651"/>
    <s v="New"/>
    <x v="0"/>
    <x v="0"/>
    <s v="HC"/>
    <m/>
    <m/>
    <s v="Henry Jr Ifurung"/>
  </r>
  <r>
    <n v="1792"/>
    <s v="F2"/>
    <x v="73"/>
    <s v="H000005197"/>
    <s v="Warehousing/distribution_1214"/>
    <s v="H000000651"/>
    <s v="New"/>
    <x v="0"/>
    <x v="0"/>
    <s v="HC"/>
    <m/>
    <m/>
    <s v="Henry Jr Ifurung"/>
  </r>
  <r>
    <n v="1793"/>
    <s v="F2"/>
    <x v="73"/>
    <s v="H000005198"/>
    <s v="Warehousing/distribution_1215"/>
    <s v="H000000651"/>
    <s v="New"/>
    <x v="0"/>
    <x v="0"/>
    <s v="HC"/>
    <m/>
    <m/>
    <s v="Henry Jr Ifurung"/>
  </r>
  <r>
    <n v="1794"/>
    <s v="F2"/>
    <x v="73"/>
    <s v="H000005199"/>
    <s v="Warehousing/distribution_1217"/>
    <s v="H000000651"/>
    <s v="New"/>
    <x v="0"/>
    <x v="0"/>
    <s v="HC"/>
    <m/>
    <m/>
    <s v="Henry Jr Ifurung"/>
  </r>
  <r>
    <n v="1795"/>
    <s v="F2"/>
    <x v="73"/>
    <s v="H000005200"/>
    <s v="Warehousing/distribution_1227"/>
    <s v="H000000651"/>
    <s v="New"/>
    <x v="0"/>
    <x v="0"/>
    <s v="HC"/>
    <m/>
    <m/>
    <s v="Henry Jr Ifurung"/>
  </r>
  <r>
    <n v="1796"/>
    <s v="F2"/>
    <x v="73"/>
    <s v="H000005201"/>
    <s v="Warehousing/distribution_1233"/>
    <s v="H000000651"/>
    <s v="New"/>
    <x v="0"/>
    <x v="0"/>
    <s v="HC"/>
    <m/>
    <m/>
    <s v="Henry Jr Ifurung"/>
  </r>
  <r>
    <n v="1797"/>
    <s v="F2"/>
    <x v="73"/>
    <s v="H000005202"/>
    <s v="Warehousing/distribution_1234"/>
    <s v="H000000651"/>
    <s v="New"/>
    <x v="0"/>
    <x v="0"/>
    <s v="HC"/>
    <m/>
    <m/>
    <s v="Henry Jr Ifurung"/>
  </r>
  <r>
    <n v="1798"/>
    <s v="F2"/>
    <x v="73"/>
    <s v="H000005203"/>
    <s v="Warehousing/distribution_1241"/>
    <s v="H000000651"/>
    <s v="New"/>
    <x v="0"/>
    <x v="0"/>
    <s v="HC"/>
    <m/>
    <m/>
    <s v="Henry Jr Ifurung"/>
  </r>
  <r>
    <n v="1799"/>
    <s v="F2"/>
    <x v="73"/>
    <s v="H000005204"/>
    <s v="Warehousing/distribution_1242"/>
    <s v="H000000651"/>
    <s v="New"/>
    <x v="0"/>
    <x v="0"/>
    <s v="HC"/>
    <m/>
    <m/>
    <s v="Henry Jr Ifurung"/>
  </r>
  <r>
    <n v="1800"/>
    <s v="F2"/>
    <x v="73"/>
    <s v="H000005205"/>
    <s v="Warehousing/distribution_1243"/>
    <s v="H000000651"/>
    <s v="New"/>
    <x v="0"/>
    <x v="0"/>
    <s v="HC"/>
    <m/>
    <m/>
    <s v="Henry Jr Ifurung"/>
  </r>
  <r>
    <n v="1801"/>
    <s v="F2"/>
    <x v="73"/>
    <s v="H000005206"/>
    <s v="Warehousing/distribution_1248"/>
    <s v="H000000651"/>
    <s v="New"/>
    <x v="0"/>
    <x v="0"/>
    <s v="HC"/>
    <m/>
    <m/>
    <s v="Henry Jr Ifurung"/>
  </r>
  <r>
    <n v="1802"/>
    <s v="F2"/>
    <x v="73"/>
    <s v="H000005207"/>
    <s v="Warehousing/distribution_1250"/>
    <s v="H000000651"/>
    <s v="New"/>
    <x v="0"/>
    <x v="0"/>
    <s v="HC"/>
    <m/>
    <m/>
    <s v="Henry Jr Ifurung"/>
  </r>
  <r>
    <n v="1803"/>
    <s v="F2"/>
    <x v="73"/>
    <s v="H000005208"/>
    <s v="Warehousing/distribution_1258"/>
    <s v="H000000651"/>
    <s v="New"/>
    <x v="0"/>
    <x v="0"/>
    <s v="HC"/>
    <m/>
    <m/>
    <s v="Henry Jr Ifurung"/>
  </r>
  <r>
    <n v="1804"/>
    <s v="F2"/>
    <x v="73"/>
    <s v="H000005209"/>
    <s v="Warehousing/distribution_1261"/>
    <s v="H000000651"/>
    <s v="New"/>
    <x v="0"/>
    <x v="0"/>
    <s v="HC"/>
    <m/>
    <m/>
    <s v="Henry Jr Ifurung"/>
  </r>
  <r>
    <n v="1805"/>
    <s v="F2"/>
    <x v="73"/>
    <s v="H000005210"/>
    <s v="Warehousing/distribution_1298"/>
    <s v="H000000651"/>
    <s v="New"/>
    <x v="0"/>
    <x v="0"/>
    <s v="HC"/>
    <m/>
    <m/>
    <s v="Henry Jr Ifurung"/>
  </r>
  <r>
    <n v="1806"/>
    <s v="F2"/>
    <x v="73"/>
    <s v="H000005211"/>
    <s v="Warehousing/distribution_1401"/>
    <s v="H000000651"/>
    <s v="New"/>
    <x v="0"/>
    <x v="0"/>
    <s v="HC"/>
    <m/>
    <m/>
    <s v="Henry Jr Ifurung"/>
  </r>
  <r>
    <n v="1807"/>
    <s v="F2"/>
    <x v="73"/>
    <s v="H000005212"/>
    <s v="Warehousing/distribution_1402"/>
    <s v="H000000651"/>
    <s v="New"/>
    <x v="0"/>
    <x v="0"/>
    <s v="HC"/>
    <m/>
    <m/>
    <s v="Henry Jr Ifurung"/>
  </r>
  <r>
    <n v="1808"/>
    <s v="F2"/>
    <x v="73"/>
    <s v="H000005213"/>
    <s v="Warehousing/distribution_1500"/>
    <s v="H000000651"/>
    <s v="New"/>
    <x v="0"/>
    <x v="0"/>
    <s v="HC"/>
    <m/>
    <m/>
    <s v="Henry Jr Ifurung"/>
  </r>
  <r>
    <n v="1809"/>
    <s v="F2"/>
    <x v="73"/>
    <s v="H000005214"/>
    <s v="Warehousing/distribution_1561"/>
    <s v="H000000651"/>
    <s v="New"/>
    <x v="0"/>
    <x v="0"/>
    <s v="HC"/>
    <m/>
    <m/>
    <s v="Henry Jr Ifurung"/>
  </r>
  <r>
    <n v="1810"/>
    <s v="F2"/>
    <x v="73"/>
    <s v="H000005215"/>
    <s v="Warehousing/distribution_1730"/>
    <s v="H000000651"/>
    <s v="New"/>
    <x v="0"/>
    <x v="0"/>
    <s v="HC"/>
    <m/>
    <m/>
    <s v="Henry Jr Ifurung"/>
  </r>
  <r>
    <n v="1811"/>
    <s v="F2"/>
    <x v="73"/>
    <s v="H000005216"/>
    <s v="Warehousing/distribution_1758"/>
    <s v="H000000651"/>
    <s v="New"/>
    <x v="0"/>
    <x v="0"/>
    <s v="HC"/>
    <m/>
    <m/>
    <s v="Henry Jr Ifurung"/>
  </r>
  <r>
    <n v="1812"/>
    <s v="F2"/>
    <x v="73"/>
    <s v="H000005217"/>
    <s v="Warehousing/distribution_1760"/>
    <s v="H000000651"/>
    <s v="New"/>
    <x v="0"/>
    <x v="0"/>
    <s v="HC"/>
    <m/>
    <m/>
    <s v="Henry Jr Ifurung"/>
  </r>
  <r>
    <n v="1813"/>
    <s v="F2"/>
    <x v="73"/>
    <s v="H000005218"/>
    <s v="Warehousing/distribution_1771"/>
    <s v="H000000651"/>
    <s v="New"/>
    <x v="0"/>
    <x v="0"/>
    <s v="HC"/>
    <m/>
    <m/>
    <s v="Henry Jr Ifurung"/>
  </r>
  <r>
    <n v="1814"/>
    <s v="F2"/>
    <x v="73"/>
    <s v="H000005219"/>
    <s v="Warehousing/distribution_1784"/>
    <s v="H000000651"/>
    <s v="New"/>
    <x v="0"/>
    <x v="0"/>
    <s v="HC"/>
    <m/>
    <m/>
    <s v="Henry Jr Ifurung"/>
  </r>
  <r>
    <n v="1815"/>
    <s v="F2"/>
    <x v="73"/>
    <s v="H000005220"/>
    <s v="Warehousing/distribution_1785"/>
    <s v="H000000651"/>
    <s v="New"/>
    <x v="0"/>
    <x v="0"/>
    <s v="HC"/>
    <m/>
    <m/>
    <s v="Henry Jr Ifurung"/>
  </r>
  <r>
    <n v="1816"/>
    <s v="F2"/>
    <x v="73"/>
    <s v="H000005221"/>
    <s v="Warehousing/distribution_1820"/>
    <s v="H000000651"/>
    <s v="New"/>
    <x v="0"/>
    <x v="0"/>
    <s v="HC"/>
    <m/>
    <m/>
    <s v="Henry Jr Ifurung"/>
  </r>
  <r>
    <n v="1817"/>
    <s v="F2"/>
    <x v="73"/>
    <s v="H000005222"/>
    <s v="Warehousing/distribution_1822"/>
    <s v="H000000651"/>
    <s v="New"/>
    <x v="0"/>
    <x v="0"/>
    <s v="HC"/>
    <m/>
    <m/>
    <s v="Henry Jr Ifurung"/>
  </r>
  <r>
    <n v="1818"/>
    <s v="F2"/>
    <x v="73"/>
    <s v="H000005223"/>
    <s v="Warehousing/distribution_1823"/>
    <s v="H000000651"/>
    <s v="New"/>
    <x v="0"/>
    <x v="0"/>
    <s v="HC"/>
    <m/>
    <m/>
    <s v="Henry Jr Ifurung"/>
  </r>
  <r>
    <n v="1819"/>
    <s v="F2"/>
    <x v="73"/>
    <s v="H000005224"/>
    <s v="Warehousing/distribution_1881"/>
    <s v="H000000651"/>
    <s v="New"/>
    <x v="0"/>
    <x v="0"/>
    <s v="HC"/>
    <m/>
    <m/>
    <s v="Henry Jr Ifurung"/>
  </r>
  <r>
    <n v="1820"/>
    <s v="F2"/>
    <x v="73"/>
    <s v="H000005225"/>
    <s v="Warehousing/distribution_1891"/>
    <s v="H000000651"/>
    <s v="New"/>
    <x v="0"/>
    <x v="0"/>
    <s v="HC"/>
    <m/>
    <m/>
    <s v="Henry Jr Ifurung"/>
  </r>
  <r>
    <n v="1821"/>
    <s v="F2"/>
    <x v="73"/>
    <s v="H000005226"/>
    <s v="Warehousing/distribution_1895"/>
    <s v="H000000651"/>
    <s v="New"/>
    <x v="0"/>
    <x v="0"/>
    <s v="HC"/>
    <m/>
    <m/>
    <s v="Henry Jr Ifurung"/>
  </r>
  <r>
    <n v="1822"/>
    <s v="F2"/>
    <x v="73"/>
    <s v="H000005227"/>
    <s v="Warehousing/distribution_2156"/>
    <s v="H000000651"/>
    <s v="New"/>
    <x v="0"/>
    <x v="0"/>
    <s v="HC"/>
    <m/>
    <m/>
    <s v="Henry Jr Ifurung"/>
  </r>
  <r>
    <n v="1823"/>
    <s v="F2"/>
    <x v="73"/>
    <s v="H000005228"/>
    <s v="Freight and other Transportation_1023"/>
    <s v="H000000652"/>
    <s v="New"/>
    <x v="0"/>
    <x v="0"/>
    <s v="HC"/>
    <m/>
    <m/>
    <s v="Henry Jr Ifurung"/>
  </r>
  <r>
    <n v="1824"/>
    <s v="F2"/>
    <x v="73"/>
    <s v="H000005229"/>
    <s v="Freight and other Transportation_1024"/>
    <s v="H000000652"/>
    <s v="New"/>
    <x v="0"/>
    <x v="0"/>
    <s v="HC"/>
    <m/>
    <m/>
    <s v="Henry Jr Ifurung"/>
  </r>
  <r>
    <n v="1825"/>
    <s v="F2"/>
    <x v="73"/>
    <s v="H000005230"/>
    <s v="Freight and other Transportation_1028"/>
    <s v="H000000652"/>
    <s v="New"/>
    <x v="0"/>
    <x v="0"/>
    <s v="HC"/>
    <m/>
    <m/>
    <s v="Henry Jr Ifurung"/>
  </r>
  <r>
    <n v="1826"/>
    <s v="F2"/>
    <x v="73"/>
    <s v="H000005231"/>
    <s v="Freight and other Transportation_1030"/>
    <s v="H000000652"/>
    <s v="New"/>
    <x v="0"/>
    <x v="0"/>
    <s v="HC"/>
    <m/>
    <m/>
    <s v="Henry Jr Ifurung"/>
  </r>
  <r>
    <n v="1827"/>
    <s v="F2"/>
    <x v="73"/>
    <s v="H000005232"/>
    <s v="Freight and other Transportation_1032"/>
    <s v="H000000652"/>
    <s v="New"/>
    <x v="0"/>
    <x v="0"/>
    <s v="HC"/>
    <m/>
    <m/>
    <s v="Henry Jr Ifurung"/>
  </r>
  <r>
    <n v="1828"/>
    <s v="F2"/>
    <x v="73"/>
    <s v="H000005233"/>
    <s v="Freight and other Transportation_1034"/>
    <s v="H000000652"/>
    <s v="New"/>
    <x v="0"/>
    <x v="0"/>
    <s v="HC"/>
    <m/>
    <m/>
    <s v="Henry Jr Ifurung"/>
  </r>
  <r>
    <n v="1829"/>
    <s v="F2"/>
    <x v="73"/>
    <s v="H000005234"/>
    <s v="Freight and other Transportation_1035"/>
    <s v="H000000652"/>
    <s v="New"/>
    <x v="0"/>
    <x v="0"/>
    <s v="HC"/>
    <m/>
    <m/>
    <s v="Henry Jr Ifurung"/>
  </r>
  <r>
    <n v="1830"/>
    <s v="F2"/>
    <x v="73"/>
    <s v="H000005235"/>
    <s v="Freight and other Transportation_1047"/>
    <s v="H000000652"/>
    <s v="New"/>
    <x v="0"/>
    <x v="0"/>
    <s v="HC"/>
    <m/>
    <m/>
    <s v="Henry Jr Ifurung"/>
  </r>
  <r>
    <n v="1831"/>
    <s v="F2"/>
    <x v="73"/>
    <s v="H000005236"/>
    <s v="Freight and other Transportation_1055"/>
    <s v="H000000652"/>
    <s v="New"/>
    <x v="0"/>
    <x v="0"/>
    <s v="HC"/>
    <m/>
    <m/>
    <s v="Henry Jr Ifurung"/>
  </r>
  <r>
    <n v="1832"/>
    <s v="F2"/>
    <x v="73"/>
    <s v="H000005237"/>
    <s v="Freight and other Transportation_1060"/>
    <s v="H000000652"/>
    <s v="New"/>
    <x v="0"/>
    <x v="0"/>
    <s v="HC"/>
    <m/>
    <m/>
    <s v="Henry Jr Ifurung"/>
  </r>
  <r>
    <n v="1833"/>
    <s v="F2"/>
    <x v="73"/>
    <s v="H000005238"/>
    <s v="Freight and other Transportation_1072"/>
    <s v="H000000652"/>
    <s v="New"/>
    <x v="0"/>
    <x v="0"/>
    <s v="HC"/>
    <m/>
    <m/>
    <s v="Henry Jr Ifurung"/>
  </r>
  <r>
    <n v="1834"/>
    <s v="F2"/>
    <x v="73"/>
    <s v="H000005239"/>
    <s v="Freight and other Transportation_1092"/>
    <s v="H000000652"/>
    <s v="New"/>
    <x v="0"/>
    <x v="0"/>
    <s v="HC"/>
    <m/>
    <m/>
    <s v="Henry Jr Ifurung"/>
  </r>
  <r>
    <n v="1835"/>
    <s v="F2"/>
    <x v="73"/>
    <s v="H000005240"/>
    <s v="Freight and other Transportation_1132"/>
    <s v="H000000652"/>
    <s v="New"/>
    <x v="0"/>
    <x v="0"/>
    <s v="HC"/>
    <m/>
    <m/>
    <s v="Henry Jr Ifurung"/>
  </r>
  <r>
    <n v="1836"/>
    <s v="F2"/>
    <x v="73"/>
    <s v="H000005241"/>
    <s v="Freight and other Transportation_1201"/>
    <s v="H000000652"/>
    <s v="New"/>
    <x v="0"/>
    <x v="0"/>
    <s v="HC"/>
    <m/>
    <m/>
    <s v="Henry Jr Ifurung"/>
  </r>
  <r>
    <n v="1837"/>
    <s v="F2"/>
    <x v="73"/>
    <s v="H000005242"/>
    <s v="Freight and other Transportation_1202"/>
    <s v="H000000652"/>
    <s v="New"/>
    <x v="0"/>
    <x v="0"/>
    <s v="HC"/>
    <m/>
    <m/>
    <s v="Henry Jr Ifurung"/>
  </r>
  <r>
    <n v="1838"/>
    <s v="F2"/>
    <x v="73"/>
    <s v="H000005243"/>
    <s v="Freight and other Transportation_1206"/>
    <s v="H000000652"/>
    <s v="New"/>
    <x v="0"/>
    <x v="0"/>
    <s v="HC"/>
    <m/>
    <m/>
    <s v="Henry Jr Ifurung"/>
  </r>
  <r>
    <n v="1839"/>
    <s v="F2"/>
    <x v="73"/>
    <s v="H000005244"/>
    <s v="Freight and other Transportation_1214"/>
    <s v="H000000652"/>
    <s v="New"/>
    <x v="0"/>
    <x v="0"/>
    <s v="HC"/>
    <m/>
    <m/>
    <s v="Henry Jr Ifurung"/>
  </r>
  <r>
    <n v="1840"/>
    <s v="F2"/>
    <x v="73"/>
    <s v="H000005245"/>
    <s v="Freight and other Transportation_1215"/>
    <s v="H000000652"/>
    <s v="New"/>
    <x v="0"/>
    <x v="0"/>
    <s v="HC"/>
    <m/>
    <m/>
    <s v="Henry Jr Ifurung"/>
  </r>
  <r>
    <n v="1841"/>
    <s v="F2"/>
    <x v="73"/>
    <s v="H000005246"/>
    <s v="Freight and other Transportation_1217"/>
    <s v="H000000652"/>
    <s v="New"/>
    <x v="0"/>
    <x v="0"/>
    <s v="HC"/>
    <m/>
    <m/>
    <s v="Henry Jr Ifurung"/>
  </r>
  <r>
    <n v="1842"/>
    <s v="F2"/>
    <x v="73"/>
    <s v="H000005247"/>
    <s v="Freight and other Transportation_1226"/>
    <s v="H000000652"/>
    <s v="New"/>
    <x v="0"/>
    <x v="0"/>
    <s v="HC"/>
    <m/>
    <m/>
    <s v="Henry Jr Ifurung"/>
  </r>
  <r>
    <n v="1843"/>
    <s v="F2"/>
    <x v="73"/>
    <s v="H000005248"/>
    <s v="Freight and other Transportation_1227"/>
    <s v="H000000652"/>
    <s v="New"/>
    <x v="0"/>
    <x v="0"/>
    <s v="HC"/>
    <m/>
    <m/>
    <s v="Henry Jr Ifurung"/>
  </r>
  <r>
    <n v="1844"/>
    <s v="F2"/>
    <x v="73"/>
    <s v="H000005249"/>
    <s v="Freight and other Transportation_1233"/>
    <s v="H000000652"/>
    <s v="New"/>
    <x v="0"/>
    <x v="0"/>
    <s v="HC"/>
    <m/>
    <m/>
    <s v="Henry Jr Ifurung"/>
  </r>
  <r>
    <n v="1845"/>
    <s v="F2"/>
    <x v="73"/>
    <s v="H000005250"/>
    <s v="Freight and other Transportation_1234"/>
    <s v="H000000652"/>
    <s v="New"/>
    <x v="0"/>
    <x v="0"/>
    <s v="HC"/>
    <m/>
    <m/>
    <s v="Henry Jr Ifurung"/>
  </r>
  <r>
    <n v="1846"/>
    <s v="F2"/>
    <x v="73"/>
    <s v="H000005251"/>
    <s v="Freight and other Transportation_1241"/>
    <s v="H000000652"/>
    <s v="New"/>
    <x v="0"/>
    <x v="0"/>
    <s v="HC"/>
    <m/>
    <m/>
    <s v="Henry Jr Ifurung"/>
  </r>
  <r>
    <n v="1847"/>
    <s v="F2"/>
    <x v="73"/>
    <s v="H000005252"/>
    <s v="Freight and other Transportation_1242"/>
    <s v="H000000652"/>
    <s v="New"/>
    <x v="0"/>
    <x v="0"/>
    <s v="HC"/>
    <m/>
    <m/>
    <s v="Henry Jr Ifurung"/>
  </r>
  <r>
    <n v="1848"/>
    <s v="F2"/>
    <x v="73"/>
    <s v="H000005253"/>
    <s v="Freight and other Transportation_1243"/>
    <s v="H000000652"/>
    <s v="New"/>
    <x v="0"/>
    <x v="0"/>
    <s v="HC"/>
    <m/>
    <m/>
    <s v="Henry Jr Ifurung"/>
  </r>
  <r>
    <n v="1849"/>
    <s v="F2"/>
    <x v="73"/>
    <s v="H000005254"/>
    <s v="Freight and other Transportation_1250"/>
    <s v="H000000652"/>
    <s v="New"/>
    <x v="0"/>
    <x v="0"/>
    <s v="HC"/>
    <m/>
    <m/>
    <s v="Henry Jr Ifurung"/>
  </r>
  <r>
    <n v="1850"/>
    <s v="F2"/>
    <x v="73"/>
    <s v="H000005255"/>
    <s v="Freight and other Transportation_1261"/>
    <s v="H000000652"/>
    <s v="New"/>
    <x v="0"/>
    <x v="0"/>
    <s v="HC"/>
    <m/>
    <m/>
    <s v="Henry Jr Ifurung"/>
  </r>
  <r>
    <n v="1851"/>
    <s v="F2"/>
    <x v="73"/>
    <s v="H000005256"/>
    <s v="Freight and other Transportation_1298"/>
    <s v="H000000652"/>
    <s v="New"/>
    <x v="0"/>
    <x v="0"/>
    <s v="HC"/>
    <m/>
    <m/>
    <s v="Henry Jr Ifurung"/>
  </r>
  <r>
    <n v="1852"/>
    <s v="F2"/>
    <x v="73"/>
    <s v="H000005257"/>
    <s v="Freight and other Transportation_1401"/>
    <s v="H000000652"/>
    <s v="New"/>
    <x v="0"/>
    <x v="0"/>
    <s v="HC"/>
    <m/>
    <m/>
    <s v="Henry Jr Ifurung"/>
  </r>
  <r>
    <n v="1853"/>
    <s v="F2"/>
    <x v="73"/>
    <s v="H000005258"/>
    <s v="Freight and other Transportation_1402"/>
    <s v="H000000652"/>
    <s v="New"/>
    <x v="0"/>
    <x v="0"/>
    <s v="HC"/>
    <m/>
    <m/>
    <s v="Henry Jr Ifurung"/>
  </r>
  <r>
    <n v="1854"/>
    <s v="F2"/>
    <x v="73"/>
    <s v="H000005259"/>
    <s v="Freight and other Transportation_1561"/>
    <s v="H000000652"/>
    <s v="New"/>
    <x v="0"/>
    <x v="0"/>
    <s v="HC"/>
    <m/>
    <m/>
    <s v="Henry Jr Ifurung"/>
  </r>
  <r>
    <n v="1855"/>
    <s v="F2"/>
    <x v="73"/>
    <s v="H000005260"/>
    <s v="Freight and other Transportation_1685"/>
    <s v="H000000652"/>
    <s v="New"/>
    <x v="0"/>
    <x v="0"/>
    <s v="HC"/>
    <m/>
    <m/>
    <s v="Henry Jr Ifurung"/>
  </r>
  <r>
    <n v="1856"/>
    <s v="F2"/>
    <x v="73"/>
    <s v="H000005261"/>
    <s v="Freight and other Transportation_1721"/>
    <s v="H000000652"/>
    <s v="New"/>
    <x v="0"/>
    <x v="0"/>
    <s v="HC"/>
    <m/>
    <m/>
    <s v="Henry Jr Ifurung"/>
  </r>
  <r>
    <n v="1857"/>
    <s v="F2"/>
    <x v="73"/>
    <s v="H000005262"/>
    <s v="Freight and other Transportation_1730"/>
    <s v="H000000652"/>
    <s v="New"/>
    <x v="0"/>
    <x v="0"/>
    <s v="HC"/>
    <m/>
    <m/>
    <s v="Henry Jr Ifurung"/>
  </r>
  <r>
    <n v="1858"/>
    <s v="F2"/>
    <x v="73"/>
    <s v="H000005263"/>
    <s v="Freight and other Transportation_1758"/>
    <s v="H000000652"/>
    <s v="New"/>
    <x v="0"/>
    <x v="0"/>
    <s v="HC"/>
    <m/>
    <m/>
    <s v="Henry Jr Ifurung"/>
  </r>
  <r>
    <n v="1859"/>
    <s v="F2"/>
    <x v="73"/>
    <s v="H000005264"/>
    <s v="Freight and other Transportation_1760"/>
    <s v="H000000652"/>
    <s v="New"/>
    <x v="0"/>
    <x v="0"/>
    <s v="HC"/>
    <m/>
    <m/>
    <s v="Henry Jr Ifurung"/>
  </r>
  <r>
    <n v="1860"/>
    <s v="F2"/>
    <x v="73"/>
    <s v="H000005265"/>
    <s v="Freight and other Transportation_1784"/>
    <s v="H000000652"/>
    <s v="New"/>
    <x v="0"/>
    <x v="0"/>
    <s v="HC"/>
    <m/>
    <m/>
    <s v="Henry Jr Ifurung"/>
  </r>
  <r>
    <n v="1861"/>
    <s v="F2"/>
    <x v="73"/>
    <s v="H000005266"/>
    <s v="Freight and other Transportation_1814"/>
    <s v="H000000652"/>
    <s v="New"/>
    <x v="0"/>
    <x v="0"/>
    <s v="HC"/>
    <m/>
    <m/>
    <s v="Henry Jr Ifurung"/>
  </r>
  <r>
    <n v="1862"/>
    <s v="F2"/>
    <x v="73"/>
    <s v="H000005267"/>
    <s v="Freight and other Transportation_1823"/>
    <s v="H000000652"/>
    <s v="New"/>
    <x v="0"/>
    <x v="0"/>
    <s v="HC"/>
    <m/>
    <m/>
    <s v="Henry Jr Ifurung"/>
  </r>
  <r>
    <n v="1863"/>
    <s v="F2"/>
    <x v="73"/>
    <s v="H000005268"/>
    <s v="Freight and other Transportation_1872"/>
    <s v="H000000652"/>
    <s v="New"/>
    <x v="0"/>
    <x v="0"/>
    <s v="HC"/>
    <m/>
    <m/>
    <s v="Henry Jr Ifurung"/>
  </r>
  <r>
    <n v="1864"/>
    <s v="F2"/>
    <x v="73"/>
    <s v="H000005269"/>
    <s v="Freight and other Transportation_1891"/>
    <s v="H000000652"/>
    <s v="New"/>
    <x v="0"/>
    <x v="0"/>
    <s v="HC"/>
    <m/>
    <m/>
    <s v="Henry Jr Ifurung"/>
  </r>
  <r>
    <n v="1865"/>
    <s v="F2"/>
    <x v="73"/>
    <s v="H000005270"/>
    <s v="Freight and other Transportation_1895"/>
    <s v="H000000652"/>
    <s v="New"/>
    <x v="0"/>
    <x v="0"/>
    <s v="HC"/>
    <m/>
    <m/>
    <s v="Henry Jr Ifurung"/>
  </r>
  <r>
    <n v="1866"/>
    <s v="F2"/>
    <x v="73"/>
    <s v="H000005271"/>
    <s v="Quality - Subsidiaries &amp; Distrib_1132"/>
    <s v="H000000684"/>
    <s v="New"/>
    <x v="0"/>
    <x v="0"/>
    <s v="HC"/>
    <m/>
    <m/>
    <s v="Henry Jr Ifurung"/>
  </r>
  <r>
    <n v="1867"/>
    <s v="F2"/>
    <x v="73"/>
    <s v="H000005272"/>
    <s v="Quality - Subsidiaries &amp; Distrib_1203"/>
    <s v="H000000684"/>
    <s v="New"/>
    <x v="0"/>
    <x v="0"/>
    <s v="HC"/>
    <m/>
    <m/>
    <s v="Henry Jr Ifurung"/>
  </r>
  <r>
    <n v="1868"/>
    <s v="F2"/>
    <x v="73"/>
    <s v="H000005273"/>
    <s v="Quality - Subsidiaries &amp; Distrib_1215"/>
    <s v="H000000684"/>
    <s v="New"/>
    <x v="0"/>
    <x v="0"/>
    <s v="HC"/>
    <m/>
    <m/>
    <s v="Henry Jr Ifurung"/>
  </r>
  <r>
    <n v="1869"/>
    <s v="F2"/>
    <x v="73"/>
    <s v="H000005274"/>
    <s v="Quality - Subsidiaries &amp; Distrib_1242"/>
    <s v="H000000684"/>
    <s v="New"/>
    <x v="0"/>
    <x v="0"/>
    <s v="HC"/>
    <m/>
    <m/>
    <s v="Henry Jr Ifurung"/>
  </r>
  <r>
    <n v="1870"/>
    <s v="F2"/>
    <x v="73"/>
    <s v="H000005275"/>
    <s v="Quality - Subsidiaries_1023"/>
    <s v="H000000685"/>
    <s v="New"/>
    <x v="0"/>
    <x v="0"/>
    <s v="HC"/>
    <m/>
    <m/>
    <s v="Henry Jr Ifurung"/>
  </r>
  <r>
    <n v="1871"/>
    <s v="F2"/>
    <x v="73"/>
    <s v="H000005276"/>
    <s v="Quality - Subsidiaries_1024"/>
    <s v="H000000685"/>
    <s v="New"/>
    <x v="0"/>
    <x v="0"/>
    <s v="HC"/>
    <m/>
    <m/>
    <s v="Henry Jr Ifurung"/>
  </r>
  <r>
    <n v="1872"/>
    <s v="F2"/>
    <x v="73"/>
    <s v="H000005277"/>
    <s v="Quality - Subsidiaries_1028"/>
    <s v="H000000685"/>
    <s v="New"/>
    <x v="0"/>
    <x v="0"/>
    <s v="HC"/>
    <m/>
    <m/>
    <s v="Henry Jr Ifurung"/>
  </r>
  <r>
    <n v="1873"/>
    <s v="F2"/>
    <x v="73"/>
    <s v="H000005278"/>
    <s v="Quality - Subsidiaries_1030"/>
    <s v="H000000685"/>
    <s v="New"/>
    <x v="0"/>
    <x v="0"/>
    <s v="HC"/>
    <m/>
    <m/>
    <s v="Henry Jr Ifurung"/>
  </r>
  <r>
    <n v="1874"/>
    <s v="F2"/>
    <x v="73"/>
    <s v="H000005279"/>
    <s v="Quality - Subsidiaries_1032"/>
    <s v="H000000685"/>
    <s v="New"/>
    <x v="0"/>
    <x v="0"/>
    <s v="HC"/>
    <m/>
    <m/>
    <s v="Henry Jr Ifurung"/>
  </r>
  <r>
    <n v="1875"/>
    <s v="F2"/>
    <x v="73"/>
    <s v="H000005280"/>
    <s v="Quality - Subsidiaries_1034"/>
    <s v="H000000685"/>
    <s v="New"/>
    <x v="0"/>
    <x v="0"/>
    <s v="HC"/>
    <m/>
    <m/>
    <s v="Henry Jr Ifurung"/>
  </r>
  <r>
    <n v="1876"/>
    <s v="F2"/>
    <x v="73"/>
    <s v="H000005281"/>
    <s v="Quality - Subsidiaries_1035"/>
    <s v="H000000685"/>
    <s v="New"/>
    <x v="0"/>
    <x v="0"/>
    <s v="HC"/>
    <m/>
    <m/>
    <s v="Henry Jr Ifurung"/>
  </r>
  <r>
    <n v="1877"/>
    <s v="F2"/>
    <x v="73"/>
    <s v="H000005282"/>
    <s v="Quality - Subsidiaries_1042"/>
    <s v="H000000685"/>
    <s v="New"/>
    <x v="0"/>
    <x v="0"/>
    <s v="HC"/>
    <m/>
    <m/>
    <s v="Henry Jr Ifurung"/>
  </r>
  <r>
    <n v="1878"/>
    <s v="F2"/>
    <x v="73"/>
    <s v="H000005283"/>
    <s v="Quality - Subsidiaries_1044"/>
    <s v="H000000685"/>
    <s v="New"/>
    <x v="0"/>
    <x v="0"/>
    <s v="HC"/>
    <m/>
    <m/>
    <s v="Henry Jr Ifurung"/>
  </r>
  <r>
    <n v="1879"/>
    <s v="F2"/>
    <x v="73"/>
    <s v="H000005284"/>
    <s v="Quality - Subsidiaries_1054"/>
    <s v="H000000685"/>
    <s v="New"/>
    <x v="0"/>
    <x v="0"/>
    <s v="HC"/>
    <m/>
    <m/>
    <s v="Henry Jr Ifurung"/>
  </r>
  <r>
    <n v="1880"/>
    <s v="F2"/>
    <x v="73"/>
    <s v="H000005285"/>
    <s v="Quality - Subsidiaries_1060"/>
    <s v="H000000685"/>
    <s v="New"/>
    <x v="0"/>
    <x v="0"/>
    <s v="HC"/>
    <m/>
    <m/>
    <s v="Henry Jr Ifurung"/>
  </r>
  <r>
    <n v="1881"/>
    <s v="F2"/>
    <x v="73"/>
    <s v="H000005286"/>
    <s v="Quality - Subsidiaries_1072"/>
    <s v="H000000685"/>
    <s v="New"/>
    <x v="0"/>
    <x v="0"/>
    <s v="HC"/>
    <m/>
    <m/>
    <s v="Henry Jr Ifurung"/>
  </r>
  <r>
    <n v="1882"/>
    <s v="F2"/>
    <x v="73"/>
    <s v="H000005287"/>
    <s v="Quality - Subsidiaries_1085"/>
    <s v="H000000685"/>
    <s v="New"/>
    <x v="0"/>
    <x v="0"/>
    <s v="HC"/>
    <m/>
    <m/>
    <s v="Henry Jr Ifurung"/>
  </r>
  <r>
    <n v="1883"/>
    <s v="F2"/>
    <x v="73"/>
    <s v="H000005288"/>
    <s v="Quality - Subsidiaries_1092"/>
    <s v="H000000685"/>
    <s v="New"/>
    <x v="0"/>
    <x v="0"/>
    <s v="HC"/>
    <m/>
    <m/>
    <s v="Henry Jr Ifurung"/>
  </r>
  <r>
    <n v="1884"/>
    <s v="F2"/>
    <x v="73"/>
    <s v="H000005289"/>
    <s v="Quality - Subsidiaries_1201"/>
    <s v="H000000685"/>
    <s v="New"/>
    <x v="0"/>
    <x v="0"/>
    <s v="HC"/>
    <m/>
    <m/>
    <s v="Henry Jr Ifurung"/>
  </r>
  <r>
    <n v="1885"/>
    <s v="F2"/>
    <x v="73"/>
    <s v="H000005290"/>
    <s v="Quality - Subsidiaries_1202"/>
    <s v="H000000685"/>
    <s v="New"/>
    <x v="0"/>
    <x v="0"/>
    <s v="HC"/>
    <m/>
    <m/>
    <s v="Henry Jr Ifurung"/>
  </r>
  <r>
    <n v="1886"/>
    <s v="F2"/>
    <x v="73"/>
    <s v="H000005291"/>
    <s v="Quality - Subsidiaries_1214"/>
    <s v="H000000685"/>
    <s v="New"/>
    <x v="0"/>
    <x v="0"/>
    <s v="HC"/>
    <m/>
    <m/>
    <s v="Henry Jr Ifurung"/>
  </r>
  <r>
    <n v="1887"/>
    <s v="F2"/>
    <x v="73"/>
    <s v="H000005292"/>
    <s v="Quality - Subsidiaries_1217"/>
    <s v="H000000685"/>
    <s v="New"/>
    <x v="0"/>
    <x v="0"/>
    <s v="HC"/>
    <m/>
    <m/>
    <s v="Henry Jr Ifurung"/>
  </r>
  <r>
    <n v="1888"/>
    <s v="F2"/>
    <x v="73"/>
    <s v="H000005293"/>
    <s v="Quality - Subsidiaries_1226"/>
    <s v="H000000685"/>
    <s v="New"/>
    <x v="0"/>
    <x v="0"/>
    <s v="HC"/>
    <m/>
    <m/>
    <s v="Henry Jr Ifurung"/>
  </r>
  <r>
    <n v="1889"/>
    <s v="F2"/>
    <x v="73"/>
    <s v="H000005294"/>
    <s v="Quality - Subsidiaries_1233"/>
    <s v="H000000685"/>
    <s v="New"/>
    <x v="0"/>
    <x v="0"/>
    <s v="HC"/>
    <m/>
    <m/>
    <s v="Henry Jr Ifurung"/>
  </r>
  <r>
    <n v="1890"/>
    <s v="F2"/>
    <x v="73"/>
    <s v="H000005295"/>
    <s v="Quality - Subsidiaries_1250"/>
    <s v="H000000685"/>
    <s v="New"/>
    <x v="0"/>
    <x v="0"/>
    <s v="HC"/>
    <m/>
    <m/>
    <s v="Henry Jr Ifurung"/>
  </r>
  <r>
    <n v="1891"/>
    <s v="F2"/>
    <x v="73"/>
    <s v="H000005296"/>
    <s v="Quality - Subsidiaries_1258"/>
    <s v="H000000685"/>
    <s v="New"/>
    <x v="0"/>
    <x v="0"/>
    <s v="HC"/>
    <m/>
    <m/>
    <s v="Henry Jr Ifurung"/>
  </r>
  <r>
    <n v="1892"/>
    <s v="F2"/>
    <x v="73"/>
    <s v="H000005297"/>
    <s v="Quality - Subsidiaries_1266"/>
    <s v="H000000685"/>
    <s v="New"/>
    <x v="0"/>
    <x v="0"/>
    <s v="HC"/>
    <m/>
    <m/>
    <s v="Henry Jr Ifurung"/>
  </r>
  <r>
    <n v="1893"/>
    <s v="F2"/>
    <x v="73"/>
    <s v="H000005298"/>
    <s v="Quality - Subsidiaries_1730"/>
    <s v="H000000685"/>
    <s v="New"/>
    <x v="0"/>
    <x v="0"/>
    <s v="HC"/>
    <m/>
    <m/>
    <s v="Henry Jr Ifurung"/>
  </r>
  <r>
    <n v="1894"/>
    <s v="F2"/>
    <x v="73"/>
    <s v="H000005299"/>
    <s v="Quality - Subsidiaries_1784"/>
    <s v="H000000685"/>
    <s v="New"/>
    <x v="0"/>
    <x v="0"/>
    <s v="HC"/>
    <m/>
    <m/>
    <s v="Henry Jr Ifurung"/>
  </r>
  <r>
    <n v="1895"/>
    <s v="F2"/>
    <x v="73"/>
    <s v="H000005300"/>
    <s v="Quality - Subsidiaries_1787"/>
    <s v="H000000685"/>
    <s v="New"/>
    <x v="0"/>
    <x v="0"/>
    <s v="HC"/>
    <m/>
    <m/>
    <s v="Henry Jr Ifurung"/>
  </r>
  <r>
    <n v="1896"/>
    <s v="F2"/>
    <x v="73"/>
    <s v="H000005301"/>
    <s v="Quality - Subsidiaries_1822"/>
    <s v="H000000685"/>
    <s v="New"/>
    <x v="0"/>
    <x v="0"/>
    <s v="HC"/>
    <m/>
    <m/>
    <s v="Henry Jr Ifurung"/>
  </r>
  <r>
    <n v="1897"/>
    <s v="F2"/>
    <x v="73"/>
    <s v="H000005302"/>
    <s v="Quality - Subsidiaries_1872"/>
    <s v="H000000685"/>
    <s v="New"/>
    <x v="0"/>
    <x v="0"/>
    <s v="HC"/>
    <m/>
    <m/>
    <s v="Henry Jr Ifurung"/>
  </r>
  <r>
    <n v="1898"/>
    <s v="F2"/>
    <x v="73"/>
    <s v="H000005303"/>
    <s v="Quality - Subsidiaries_1881"/>
    <s v="H000000685"/>
    <s v="New"/>
    <x v="0"/>
    <x v="0"/>
    <s v="HC"/>
    <m/>
    <m/>
    <s v="Henry Jr Ifurung"/>
  </r>
  <r>
    <n v="1899"/>
    <s v="F2"/>
    <x v="73"/>
    <s v="H000005304"/>
    <s v="Quality - Subsidiaries_1895"/>
    <s v="H000000685"/>
    <s v="New"/>
    <x v="0"/>
    <x v="0"/>
    <s v="HC"/>
    <m/>
    <m/>
    <s v="Henry Jr Ifurung"/>
  </r>
  <r>
    <n v="1900"/>
    <s v="F2"/>
    <x v="73"/>
    <s v="H000005305"/>
    <s v="Quality - Subsidiaries_2246"/>
    <s v="H000000685"/>
    <s v="New"/>
    <x v="0"/>
    <x v="0"/>
    <s v="HC"/>
    <m/>
    <m/>
    <s v="Henry Jr Ifurung"/>
  </r>
  <r>
    <n v="1901"/>
    <s v="F2"/>
    <x v="73"/>
    <s v="H000005306"/>
    <s v="Quality - Subsidiaries_2358"/>
    <s v="H000000685"/>
    <s v="New"/>
    <x v="0"/>
    <x v="0"/>
    <s v="HC"/>
    <m/>
    <m/>
    <s v="Henry Jr Ifurung"/>
  </r>
  <r>
    <n v="1902"/>
    <s v="F2"/>
    <x v="73"/>
    <s v="H000005307"/>
    <s v="Quality - Distribution_1025"/>
    <s v="H000000686"/>
    <s v="New"/>
    <x v="0"/>
    <x v="0"/>
    <s v="HC"/>
    <m/>
    <m/>
    <s v="Henry Jr Ifurung"/>
  </r>
  <r>
    <n v="1903"/>
    <s v="F2"/>
    <x v="73"/>
    <s v="H000005308"/>
    <s v="Quality - Distribution_1028"/>
    <s v="H000000686"/>
    <s v="New"/>
    <x v="0"/>
    <x v="0"/>
    <s v="HC"/>
    <m/>
    <m/>
    <s v="Henry Jr Ifurung"/>
  </r>
  <r>
    <n v="1904"/>
    <s v="F2"/>
    <x v="73"/>
    <s v="H000005309"/>
    <s v="Quality - Distribution_1032"/>
    <s v="H000000686"/>
    <s v="New"/>
    <x v="0"/>
    <x v="0"/>
    <s v="HC"/>
    <m/>
    <m/>
    <s v="Henry Jr Ifurung"/>
  </r>
  <r>
    <n v="1905"/>
    <s v="F2"/>
    <x v="73"/>
    <s v="H000005310"/>
    <s v="Quality - Distribution_1042"/>
    <s v="H000000686"/>
    <s v="New"/>
    <x v="0"/>
    <x v="0"/>
    <s v="HC"/>
    <m/>
    <m/>
    <s v="Henry Jr Ifurung"/>
  </r>
  <r>
    <n v="1906"/>
    <s v="F2"/>
    <x v="73"/>
    <s v="H000005311"/>
    <s v="Quality - Distribution_1234"/>
    <s v="H000000686"/>
    <s v="New"/>
    <x v="0"/>
    <x v="0"/>
    <s v="HC"/>
    <m/>
    <m/>
    <s v="Henry Jr Ifurung"/>
  </r>
  <r>
    <n v="1907"/>
    <s v="F2"/>
    <x v="73"/>
    <s v="H000005312"/>
    <s v="Quality - Distribution_1243"/>
    <s v="H000000686"/>
    <s v="New"/>
    <x v="0"/>
    <x v="0"/>
    <s v="HC"/>
    <m/>
    <m/>
    <s v="Henry Jr Ifurung"/>
  </r>
  <r>
    <n v="1908"/>
    <s v="F2"/>
    <x v="73"/>
    <s v="H000005313"/>
    <s v="Quality - Distribution_1248"/>
    <s v="H000000686"/>
    <s v="New"/>
    <x v="0"/>
    <x v="0"/>
    <s v="HC"/>
    <m/>
    <m/>
    <s v="Henry Jr Ifurung"/>
  </r>
  <r>
    <n v="1909"/>
    <s v="F2"/>
    <x v="73"/>
    <s v="H000005314"/>
    <s v="Quality - Distribution_1261"/>
    <s v="H000000686"/>
    <s v="New"/>
    <x v="0"/>
    <x v="0"/>
    <s v="HC"/>
    <m/>
    <m/>
    <s v="Henry Jr Ifurung"/>
  </r>
  <r>
    <n v="1910"/>
    <s v="F2"/>
    <x v="73"/>
    <s v="H000005315"/>
    <s v="Quality - Distribution_1401"/>
    <s v="H000000686"/>
    <s v="New"/>
    <x v="0"/>
    <x v="0"/>
    <s v="HC"/>
    <m/>
    <m/>
    <s v="Henry Jr Ifurung"/>
  </r>
  <r>
    <n v="1911"/>
    <s v="F2"/>
    <x v="73"/>
    <s v="H000005316"/>
    <s v="Quality - Distribution_1402"/>
    <s v="H000000686"/>
    <s v="New"/>
    <x v="0"/>
    <x v="0"/>
    <s v="HC"/>
    <m/>
    <m/>
    <s v="Henry Jr Ifurung"/>
  </r>
  <r>
    <n v="1912"/>
    <s v="F2"/>
    <x v="73"/>
    <s v="H000005317"/>
    <s v="Quality - Distribution_1561"/>
    <s v="H000000686"/>
    <s v="New"/>
    <x v="0"/>
    <x v="0"/>
    <s v="HC"/>
    <m/>
    <m/>
    <s v="Henry Jr Ifurung"/>
  </r>
  <r>
    <n v="1913"/>
    <s v="F2"/>
    <x v="73"/>
    <s v="H000005318"/>
    <s v="Quality - Distribution_1685"/>
    <s v="H000000686"/>
    <s v="New"/>
    <x v="0"/>
    <x v="0"/>
    <s v="HC"/>
    <m/>
    <m/>
    <s v="Henry Jr Ifurung"/>
  </r>
  <r>
    <n v="1914"/>
    <s v="F2"/>
    <x v="73"/>
    <s v="H000005319"/>
    <s v="Quality - Distribution_1758"/>
    <s v="H000000686"/>
    <s v="New"/>
    <x v="0"/>
    <x v="0"/>
    <s v="HC"/>
    <m/>
    <m/>
    <s v="Henry Jr Ifurung"/>
  </r>
  <r>
    <n v="1915"/>
    <s v="F2"/>
    <x v="73"/>
    <s v="H000005320"/>
    <s v="Quality - Distribution_1759"/>
    <s v="H000000686"/>
    <s v="New"/>
    <x v="0"/>
    <x v="0"/>
    <s v="HC"/>
    <m/>
    <m/>
    <s v="Henry Jr Ifurung"/>
  </r>
  <r>
    <n v="1916"/>
    <s v="F2"/>
    <x v="73"/>
    <s v="H000005321"/>
    <s v="Quality - Distribution_1760"/>
    <s v="H000000686"/>
    <s v="New"/>
    <x v="0"/>
    <x v="0"/>
    <s v="HC"/>
    <m/>
    <m/>
    <s v="Henry Jr Ifurung"/>
  </r>
  <r>
    <n v="1917"/>
    <s v="F2"/>
    <x v="73"/>
    <s v="H000005322"/>
    <s v="Quality - Distribution_1785"/>
    <s v="H000000686"/>
    <s v="New"/>
    <x v="0"/>
    <x v="0"/>
    <s v="HC"/>
    <m/>
    <m/>
    <s v="Henry Jr Ifurung"/>
  </r>
  <r>
    <n v="1918"/>
    <s v="F2"/>
    <x v="73"/>
    <s v="H000005323"/>
    <s v="Quality - Distribution_1820"/>
    <s v="H000000686"/>
    <s v="New"/>
    <x v="0"/>
    <x v="0"/>
    <s v="HC"/>
    <m/>
    <m/>
    <s v="Henry Jr Ifurung"/>
  </r>
  <r>
    <n v="1919"/>
    <s v="F2"/>
    <x v="73"/>
    <s v="H000005324"/>
    <s v="Quality - Distribution_1826"/>
    <s v="H000000686"/>
    <s v="New"/>
    <x v="0"/>
    <x v="0"/>
    <s v="HC"/>
    <m/>
    <m/>
    <s v="Henry Jr Ifurung"/>
  </r>
  <r>
    <n v="1920"/>
    <s v="F2"/>
    <x v="73"/>
    <s v="H000005325"/>
    <s v="Quality - Distribution_1891"/>
    <s v="H000000686"/>
    <s v="New"/>
    <x v="0"/>
    <x v="0"/>
    <s v="HC"/>
    <m/>
    <m/>
    <s v="Henry Jr Ifurung"/>
  </r>
  <r>
    <n v="1921"/>
    <s v="F2"/>
    <x v="73"/>
    <s v="H000005326"/>
    <s v="Quality - Distribution_2367"/>
    <s v="H000000686"/>
    <s v="New"/>
    <x v="0"/>
    <x v="0"/>
    <s v="HC"/>
    <m/>
    <m/>
    <s v="Henry Jr Ifurung"/>
  </r>
  <r>
    <n v="1922"/>
    <s v="F2"/>
    <x v="73"/>
    <s v="H000005327"/>
    <s v="Quality - Pharma sites_1261"/>
    <s v="H000004261"/>
    <s v="New"/>
    <x v="0"/>
    <x v="0"/>
    <s v="HC"/>
    <m/>
    <m/>
    <s v="Henry Jr Ifurung"/>
  </r>
  <r>
    <n v="1923"/>
    <s v="F2"/>
    <x v="73"/>
    <s v="H000005328"/>
    <s v="Quality - Pharma sites_1401"/>
    <s v="H000004261"/>
    <s v="New"/>
    <x v="0"/>
    <x v="0"/>
    <s v="HC"/>
    <m/>
    <m/>
    <s v="Henry Jr Ifurung"/>
  </r>
  <r>
    <n v="1924"/>
    <s v="F2"/>
    <x v="73"/>
    <s v="H000005329"/>
    <s v="Quality - Pharma sites_1891"/>
    <s v="H000004261"/>
    <s v="New"/>
    <x v="0"/>
    <x v="0"/>
    <s v="HC"/>
    <m/>
    <m/>
    <s v="Henry Jr Ifurung"/>
  </r>
  <r>
    <n v="1925"/>
    <s v="F2"/>
    <x v="73"/>
    <s v="H000005330"/>
    <s v="Quality - Global QC_1227"/>
    <s v="H000004263"/>
    <s v="New"/>
    <x v="0"/>
    <x v="0"/>
    <s v="HC"/>
    <m/>
    <m/>
    <s v="Henry Jr Ifurung"/>
  </r>
  <r>
    <n v="1926"/>
    <s v="F2"/>
    <x v="73"/>
    <s v="H000005331"/>
    <s v="Quality - Global QC_1250"/>
    <s v="H000004263"/>
    <s v="New"/>
    <x v="0"/>
    <x v="0"/>
    <s v="HC"/>
    <m/>
    <m/>
    <s v="Henry Jr Ifurung"/>
  </r>
  <r>
    <n v="1927"/>
    <s v="F2"/>
    <x v="73"/>
    <s v="H000005332"/>
    <s v="Quality - Global QC_1261"/>
    <s v="H000004263"/>
    <s v="New"/>
    <x v="0"/>
    <x v="0"/>
    <s v="HC"/>
    <m/>
    <m/>
    <s v="Henry Jr Ifurung"/>
  </r>
  <r>
    <n v="1928"/>
    <s v="F2"/>
    <x v="73"/>
    <s v="H000005333"/>
    <s v="Quality - Global QC_1401"/>
    <s v="H000004263"/>
    <s v="New"/>
    <x v="0"/>
    <x v="0"/>
    <s v="HC"/>
    <m/>
    <m/>
    <s v="Henry Jr Ifurung"/>
  </r>
  <r>
    <n v="1929"/>
    <s v="F2"/>
    <x v="73"/>
    <s v="H000005334"/>
    <s v="Quality - Global QC_1891"/>
    <s v="H000004263"/>
    <s v="New"/>
    <x v="0"/>
    <x v="0"/>
    <s v="HC"/>
    <m/>
    <m/>
    <s v="Henry Jr Ifurung"/>
  </r>
  <r>
    <n v="1930"/>
    <s v="F2"/>
    <x v="73"/>
    <s v="H000005335"/>
    <s v="Quality - Local subsidiaries_1022"/>
    <s v="H000004266"/>
    <s v="New"/>
    <x v="0"/>
    <x v="0"/>
    <s v="HC"/>
    <m/>
    <m/>
    <s v="Henry Jr Ifurung"/>
  </r>
  <r>
    <n v="1931"/>
    <s v="F2"/>
    <x v="73"/>
    <s v="H000005336"/>
    <s v="Quality - Local subsidiaries_1025"/>
    <s v="H000004266"/>
    <s v="New"/>
    <x v="0"/>
    <x v="0"/>
    <s v="HC"/>
    <m/>
    <m/>
    <s v="Henry Jr Ifurung"/>
  </r>
  <r>
    <n v="1932"/>
    <s v="F2"/>
    <x v="73"/>
    <s v="H000005337"/>
    <s v="Quality - Local subsidiaries_1212"/>
    <s v="H000004266"/>
    <s v="New"/>
    <x v="0"/>
    <x v="0"/>
    <s v="HC"/>
    <m/>
    <m/>
    <s v="Henry Jr Ifurung"/>
  </r>
  <r>
    <n v="1933"/>
    <s v="F2"/>
    <x v="73"/>
    <s v="H000005338"/>
    <s v="Quality - Local subsidiaries_1820"/>
    <s v="H000004266"/>
    <s v="New"/>
    <x v="0"/>
    <x v="0"/>
    <s v="HC"/>
    <m/>
    <m/>
    <s v="Henry Jr Ifurung"/>
  </r>
  <r>
    <n v="1934"/>
    <s v="F2"/>
    <x v="73"/>
    <s v="H000005339"/>
    <s v="Quality - Local subsidiaries_1826"/>
    <s v="H000004266"/>
    <s v="New"/>
    <x v="0"/>
    <x v="0"/>
    <s v="HC"/>
    <m/>
    <m/>
    <s v="Henry Jr Ifurung"/>
  </r>
  <r>
    <n v="1935"/>
    <s v="F2"/>
    <x v="73"/>
    <s v="H000005340"/>
    <s v="Quality - Local subsidiaries_2276"/>
    <s v="H000004266"/>
    <s v="New"/>
    <x v="0"/>
    <x v="0"/>
    <s v="HC"/>
    <m/>
    <m/>
    <s v="Henry Jr Ifurung"/>
  </r>
  <r>
    <n v="1936"/>
    <s v="F2"/>
    <x v="73"/>
    <s v="H000005341"/>
    <s v="Quality - Local subsidiaries_2367"/>
    <s v="H000004266"/>
    <s v="New"/>
    <x v="0"/>
    <x v="0"/>
    <s v="HC"/>
    <m/>
    <m/>
    <s v="Henry Jr Ifurung"/>
  </r>
  <r>
    <n v="1937"/>
    <s v="F2"/>
    <x v="74"/>
    <s v="H000005342"/>
    <s v="SA - BU Rare Diseases"/>
    <s v="H000003342"/>
    <s v="New"/>
    <x v="0"/>
    <x v="0"/>
    <s v="HC"/>
    <m/>
    <m/>
    <s v="Henry Jr Ifurung"/>
  </r>
  <r>
    <n v="1938"/>
    <s v="F2"/>
    <x v="74"/>
    <s v="H000005343"/>
    <s v="SA - Field Force Rare Diseases"/>
    <s v="H000005342"/>
    <s v="New"/>
    <x v="0"/>
    <x v="0"/>
    <s v="HC"/>
    <m/>
    <m/>
    <s v="Henry Jr Ifurung"/>
  </r>
  <r>
    <n v="1939"/>
    <s v="F2"/>
    <x v="74"/>
    <s v="H000005344"/>
    <s v="SA - Marketing Rare Diseases"/>
    <s v="H000005342"/>
    <s v="New"/>
    <x v="0"/>
    <x v="0"/>
    <s v="HC"/>
    <m/>
    <m/>
    <s v="Henry Jr Ifurung"/>
  </r>
  <r>
    <n v="1940"/>
    <s v="F2"/>
    <x v="74"/>
    <s v="H000005345"/>
    <s v="SA - Sales Promotion Rare Diseases"/>
    <s v="H000005342"/>
    <s v="New"/>
    <x v="0"/>
    <x v="0"/>
    <s v="HC"/>
    <m/>
    <m/>
    <s v="Henry Jr Ifurung"/>
  </r>
  <r>
    <n v="1941"/>
    <s v="F2"/>
    <x v="74"/>
    <s v="H000005346"/>
    <s v="SA - Medical Rare Diseases"/>
    <s v="H000003362"/>
    <s v="New"/>
    <x v="0"/>
    <x v="0"/>
    <s v="HC"/>
    <m/>
    <m/>
    <s v="Henry Jr Ifurung"/>
  </r>
  <r>
    <n v="1942"/>
    <s v="F2"/>
    <x v="74"/>
    <s v="H000005347"/>
    <s v="SA - Medical Team"/>
    <s v="H000005346"/>
    <s v="New"/>
    <x v="0"/>
    <x v="0"/>
    <s v="HC"/>
    <m/>
    <m/>
    <s v="Henry Jr Ifurung"/>
  </r>
  <r>
    <n v="1943"/>
    <s v="F2"/>
    <x v="74"/>
    <s v="H000005348"/>
    <s v="SA - Medical Activities Non R&amp;D RD"/>
    <s v="H000005346"/>
    <s v="New"/>
    <x v="0"/>
    <x v="0"/>
    <s v="HC"/>
    <m/>
    <m/>
    <s v="Henry Jr Ifurung"/>
  </r>
  <r>
    <n v="1944"/>
    <s v="F2"/>
    <x v="74"/>
    <s v="H000005349"/>
    <s v="AE - BU Rare Diseases"/>
    <s v="H000003513"/>
    <s v="New"/>
    <x v="0"/>
    <x v="0"/>
    <s v="HC"/>
    <m/>
    <m/>
    <s v="Henry Jr Ifurung"/>
  </r>
  <r>
    <n v="1945"/>
    <s v="F2"/>
    <x v="74"/>
    <s v="H000005350"/>
    <s v="AE - Field Force Rare Diseases"/>
    <s v="H000005349"/>
    <s v="New"/>
    <x v="0"/>
    <x v="0"/>
    <s v="HC"/>
    <m/>
    <m/>
    <s v="Henry Jr Ifurung"/>
  </r>
  <r>
    <n v="1946"/>
    <s v="F2"/>
    <x v="74"/>
    <s v="H000005351"/>
    <s v="AE - Marketing Rare Diseases"/>
    <s v="H000005349"/>
    <s v="New"/>
    <x v="0"/>
    <x v="0"/>
    <s v="HC"/>
    <m/>
    <m/>
    <s v="Henry Jr Ifurung"/>
  </r>
  <r>
    <n v="1947"/>
    <s v="F2"/>
    <x v="74"/>
    <s v="H000005352"/>
    <s v="AE - Sales Promotion Rare Diseases"/>
    <s v="H000005349"/>
    <s v="New"/>
    <x v="0"/>
    <x v="0"/>
    <s v="HC"/>
    <m/>
    <m/>
    <s v="Henry Jr Ifurung"/>
  </r>
  <r>
    <n v="1948"/>
    <s v="F2"/>
    <x v="74"/>
    <s v="H000005353"/>
    <s v="AE - Medical Rare Diseases"/>
    <s v="H000003523"/>
    <s v="New"/>
    <x v="0"/>
    <x v="0"/>
    <s v="HC"/>
    <m/>
    <m/>
    <s v="Henry Jr Ifurung"/>
  </r>
  <r>
    <n v="1949"/>
    <s v="F2"/>
    <x v="74"/>
    <s v="H000005354"/>
    <s v="AE - Medical Team"/>
    <s v="H000005353"/>
    <s v="New"/>
    <x v="0"/>
    <x v="0"/>
    <s v="HC"/>
    <m/>
    <m/>
    <s v="Henry Jr Ifurung"/>
  </r>
  <r>
    <n v="1950"/>
    <s v="F2"/>
    <x v="74"/>
    <s v="H000005355"/>
    <s v="AE - Medical Activities Non R&amp;D RD"/>
    <s v="H000005353"/>
    <s v="New"/>
    <x v="0"/>
    <x v="0"/>
    <s v="HC"/>
    <m/>
    <m/>
    <s v="Henry Jr Ifurung"/>
  </r>
  <r>
    <n v="1951"/>
    <s v="F2"/>
    <x v="74"/>
    <s v="H000005356"/>
    <s v="Gu - BU Rare Diseases"/>
    <s v="H000002953"/>
    <s v="New"/>
    <x v="0"/>
    <x v="0"/>
    <s v="HC"/>
    <m/>
    <m/>
    <s v="Henry Jr Ifurung"/>
  </r>
  <r>
    <n v="1952"/>
    <s v="F2"/>
    <x v="74"/>
    <s v="H000005357"/>
    <s v="Gu - Field Force Rare Diseases"/>
    <s v="H000005356"/>
    <s v="New"/>
    <x v="0"/>
    <x v="0"/>
    <s v="HC"/>
    <m/>
    <m/>
    <s v="Henry Jr Ifurung"/>
  </r>
  <r>
    <n v="1953"/>
    <s v="F2"/>
    <x v="74"/>
    <s v="H000005358"/>
    <s v="Gu - Marketing Rare Diseases"/>
    <s v="H000005356"/>
    <s v="New"/>
    <x v="0"/>
    <x v="0"/>
    <s v="HC"/>
    <m/>
    <m/>
    <s v="Henry Jr Ifurung"/>
  </r>
  <r>
    <n v="1954"/>
    <s v="F2"/>
    <x v="74"/>
    <s v="H000005359"/>
    <s v="Gu - Sales Promotion Rare Diseases"/>
    <s v="H000005356"/>
    <s v="New"/>
    <x v="0"/>
    <x v="0"/>
    <s v="HC"/>
    <m/>
    <m/>
    <s v="Henry Jr Ifurung"/>
  </r>
  <r>
    <n v="1955"/>
    <s v="F2"/>
    <x v="74"/>
    <s v="H000005360"/>
    <s v="Gu - Medical Rare Diseases"/>
    <s v="H000002970"/>
    <s v="New"/>
    <x v="0"/>
    <x v="0"/>
    <s v="HC"/>
    <m/>
    <m/>
    <s v="Henry Jr Ifurung"/>
  </r>
  <r>
    <n v="1956"/>
    <s v="F2"/>
    <x v="74"/>
    <s v="H000005361"/>
    <s v="Gu - Medical Team"/>
    <s v="H000005360"/>
    <s v="New"/>
    <x v="0"/>
    <x v="0"/>
    <s v="HC"/>
    <m/>
    <m/>
    <s v="Henry Jr Ifurung"/>
  </r>
  <r>
    <n v="1957"/>
    <s v="F2"/>
    <x v="74"/>
    <s v="H000005362"/>
    <s v="Gu - Medical Activities Non R&amp;D RD"/>
    <s v="H000005360"/>
    <s v="New"/>
    <x v="0"/>
    <x v="0"/>
    <s v="HC"/>
    <m/>
    <m/>
    <s v="Henry Jr Ifurung"/>
  </r>
  <r>
    <n v="1958"/>
    <s v="F2"/>
    <x v="74"/>
    <s v="H000005363"/>
    <s v="RU - BU Rare Diseases"/>
    <s v="H000003301"/>
    <s v="New"/>
    <x v="0"/>
    <x v="0"/>
    <s v="HC"/>
    <m/>
    <m/>
    <s v="Henry Jr Ifurung"/>
  </r>
  <r>
    <n v="1959"/>
    <s v="F2"/>
    <x v="74"/>
    <s v="H000005364"/>
    <s v="RU - Field Force Rare Diseases"/>
    <s v="H000005363"/>
    <s v="New"/>
    <x v="0"/>
    <x v="0"/>
    <s v="HC"/>
    <m/>
    <m/>
    <s v="Henry Jr Ifurung"/>
  </r>
  <r>
    <n v="1960"/>
    <s v="F2"/>
    <x v="74"/>
    <s v="H000005365"/>
    <s v="RU - Marketing Rare Diseases"/>
    <s v="H000005363"/>
    <s v="New"/>
    <x v="0"/>
    <x v="0"/>
    <s v="HC"/>
    <m/>
    <m/>
    <s v="Henry Jr Ifurung"/>
  </r>
  <r>
    <n v="1961"/>
    <s v="F2"/>
    <x v="74"/>
    <s v="H000005366"/>
    <s v="RU - Sales Promotion Rare Diseases"/>
    <s v="H000005363"/>
    <s v="New"/>
    <x v="0"/>
    <x v="0"/>
    <s v="HC"/>
    <m/>
    <m/>
    <s v="Henry Jr Ifurung"/>
  </r>
  <r>
    <n v="1962"/>
    <s v="F2"/>
    <x v="74"/>
    <s v="H000005367"/>
    <s v="RU - Medical Rare Diseases"/>
    <s v="H000003320"/>
    <s v="New"/>
    <x v="0"/>
    <x v="0"/>
    <s v="HC"/>
    <m/>
    <m/>
    <s v="Henry Jr Ifurung"/>
  </r>
  <r>
    <n v="1963"/>
    <s v="F2"/>
    <x v="74"/>
    <s v="H000005368"/>
    <s v="RU - Medical Team"/>
    <s v="H000005367"/>
    <s v="New"/>
    <x v="0"/>
    <x v="0"/>
    <s v="HC"/>
    <m/>
    <m/>
    <s v="Henry Jr Ifurung"/>
  </r>
  <r>
    <n v="1964"/>
    <s v="F2"/>
    <x v="74"/>
    <s v="H000005369"/>
    <s v="RU - Medical Activities Non R&amp;D RD"/>
    <s v="H000005367"/>
    <s v="New"/>
    <x v="0"/>
    <x v="0"/>
    <s v="HC"/>
    <m/>
    <m/>
    <s v="Henry Jr Ifurung"/>
  </r>
  <r>
    <n v="1965"/>
    <s v="F2"/>
    <x v="74"/>
    <s v="H000005370"/>
    <s v="EG - BU Rare Diseases"/>
    <s v="H000002933"/>
    <s v="New"/>
    <x v="0"/>
    <x v="0"/>
    <s v="HC"/>
    <m/>
    <m/>
    <s v="Henry Jr Ifurung"/>
  </r>
  <r>
    <n v="1966"/>
    <s v="F2"/>
    <x v="74"/>
    <s v="H000005371"/>
    <s v="EG - Field Force Rare Diseases"/>
    <s v="H000005370"/>
    <s v="New"/>
    <x v="0"/>
    <x v="0"/>
    <s v="HC"/>
    <m/>
    <m/>
    <s v="Henry Jr Ifurung"/>
  </r>
  <r>
    <n v="1967"/>
    <s v="F2"/>
    <x v="74"/>
    <s v="H000005372"/>
    <s v="EG - Marketing Rare Diseases"/>
    <s v="H000005370"/>
    <s v="New"/>
    <x v="0"/>
    <x v="0"/>
    <s v="HC"/>
    <m/>
    <m/>
    <s v="Henry Jr Ifurung"/>
  </r>
  <r>
    <n v="1968"/>
    <s v="F2"/>
    <x v="74"/>
    <s v="H000005373"/>
    <s v="EG - Sales Promotion Rare Diseases"/>
    <s v="H000005370"/>
    <s v="New"/>
    <x v="0"/>
    <x v="0"/>
    <s v="HC"/>
    <m/>
    <m/>
    <s v="Henry Jr Ifurung"/>
  </r>
  <r>
    <n v="1969"/>
    <s v="F2"/>
    <x v="74"/>
    <s v="H000005374"/>
    <s v="EG - Medical Rare Diseases"/>
    <s v="H000002946"/>
    <s v="New"/>
    <x v="0"/>
    <x v="0"/>
    <s v="HC"/>
    <m/>
    <m/>
    <s v="Henry Jr Ifurung"/>
  </r>
  <r>
    <n v="1970"/>
    <s v="F2"/>
    <x v="74"/>
    <s v="H000005375"/>
    <s v="EG - Medical Team"/>
    <s v="H000005374"/>
    <s v="New"/>
    <x v="0"/>
    <x v="0"/>
    <s v="HC"/>
    <m/>
    <m/>
    <s v="Henry Jr Ifurung"/>
  </r>
  <r>
    <n v="1971"/>
    <s v="F2"/>
    <x v="74"/>
    <s v="H000005376"/>
    <s v="EG - Medical Activities Non R&amp;D RD"/>
    <s v="H000005374"/>
    <s v="New"/>
    <x v="0"/>
    <x v="0"/>
    <s v="HC"/>
    <m/>
    <m/>
    <s v="Henry Jr Ifurung"/>
  </r>
  <r>
    <n v="1972"/>
    <s v="F2"/>
    <x v="74"/>
    <s v="H000005377"/>
    <s v="ZA - BU Rare Diseases"/>
    <s v="H000003383"/>
    <s v="New"/>
    <x v="0"/>
    <x v="0"/>
    <s v="HC"/>
    <m/>
    <m/>
    <s v="Henry Jr Ifurung"/>
  </r>
  <r>
    <n v="1973"/>
    <s v="F2"/>
    <x v="74"/>
    <s v="H000005378"/>
    <s v="ZA - Field Force Rare Diseases"/>
    <s v="H000005377"/>
    <s v="New"/>
    <x v="0"/>
    <x v="0"/>
    <s v="HC"/>
    <m/>
    <m/>
    <s v="Henry Jr Ifurung"/>
  </r>
  <r>
    <n v="1974"/>
    <s v="F2"/>
    <x v="74"/>
    <s v="H000005379"/>
    <s v="ZA - Marketing Rare Diseases"/>
    <s v="H000005377"/>
    <s v="New"/>
    <x v="0"/>
    <x v="0"/>
    <s v="HC"/>
    <m/>
    <m/>
    <s v="Henry Jr Ifurung"/>
  </r>
  <r>
    <n v="1975"/>
    <s v="F2"/>
    <x v="74"/>
    <s v="H000005380"/>
    <s v="ZA - Sales Promotion Rare Diseases"/>
    <s v="H000005377"/>
    <s v="New"/>
    <x v="0"/>
    <x v="0"/>
    <s v="HC"/>
    <m/>
    <m/>
    <s v="Henry Jr Ifurung"/>
  </r>
  <r>
    <n v="1976"/>
    <s v="F2"/>
    <x v="74"/>
    <s v="H000005381"/>
    <s v="ZA - Medical Rare Diseases"/>
    <s v="H000003396"/>
    <s v="New"/>
    <x v="0"/>
    <x v="0"/>
    <s v="HC"/>
    <m/>
    <m/>
    <s v="Henry Jr Ifurung"/>
  </r>
  <r>
    <n v="1977"/>
    <s v="F2"/>
    <x v="74"/>
    <s v="H000005382"/>
    <s v="ZA - Medical Team"/>
    <s v="H000005381"/>
    <s v="New"/>
    <x v="0"/>
    <x v="0"/>
    <s v="HC"/>
    <m/>
    <m/>
    <s v="Henry Jr Ifurung"/>
  </r>
  <r>
    <n v="1978"/>
    <s v="F2"/>
    <x v="74"/>
    <s v="H000005383"/>
    <s v="ZA - Medical Activities Non R&amp;D RD"/>
    <s v="H000005381"/>
    <s v="New"/>
    <x v="0"/>
    <x v="0"/>
    <s v="HC"/>
    <m/>
    <m/>
    <s v="Henry Jr Ifurung"/>
  </r>
  <r>
    <n v="1979"/>
    <s v="F2"/>
    <x v="74"/>
    <s v="H000005384"/>
    <s v="IQ - BU Rare Diseases"/>
    <s v="H000003021"/>
    <s v="New"/>
    <x v="0"/>
    <x v="0"/>
    <s v="HC"/>
    <m/>
    <m/>
    <s v="Henry Jr Ifurung"/>
  </r>
  <r>
    <n v="1980"/>
    <s v="F2"/>
    <x v="74"/>
    <s v="H000005385"/>
    <s v="IQ - Field Force Rare Diseases"/>
    <s v="H000005384"/>
    <s v="New"/>
    <x v="0"/>
    <x v="0"/>
    <s v="HC"/>
    <m/>
    <m/>
    <s v="Henry Jr Ifurung"/>
  </r>
  <r>
    <n v="1981"/>
    <s v="F2"/>
    <x v="74"/>
    <s v="H000005386"/>
    <s v="IQ - Marketing Rare Diseases"/>
    <s v="H000005384"/>
    <s v="New"/>
    <x v="0"/>
    <x v="0"/>
    <s v="HC"/>
    <m/>
    <m/>
    <s v="Henry Jr Ifurung"/>
  </r>
  <r>
    <n v="1982"/>
    <s v="F2"/>
    <x v="74"/>
    <s v="H000005387"/>
    <s v="IQ - Sales Promotion Rare Diseases"/>
    <s v="H000005384"/>
    <s v="New"/>
    <x v="0"/>
    <x v="0"/>
    <s v="HC"/>
    <m/>
    <m/>
    <s v="Henry Jr Ifurung"/>
  </r>
  <r>
    <n v="1983"/>
    <s v="F2"/>
    <x v="74"/>
    <s v="H000005388"/>
    <s v="IQ - Medical Rare Diseases"/>
    <s v="H000003036"/>
    <s v="New"/>
    <x v="0"/>
    <x v="0"/>
    <s v="HC"/>
    <m/>
    <m/>
    <s v="Henry Jr Ifurung"/>
  </r>
  <r>
    <n v="1984"/>
    <s v="F2"/>
    <x v="74"/>
    <s v="H000005389"/>
    <s v="IQ - Medical Team"/>
    <s v="H000005388"/>
    <s v="New"/>
    <x v="0"/>
    <x v="0"/>
    <s v="HC"/>
    <m/>
    <m/>
    <s v="Henry Jr Ifurung"/>
  </r>
  <r>
    <n v="1985"/>
    <s v="F2"/>
    <x v="74"/>
    <s v="H000005390"/>
    <s v="IQ - Medical Activities Non R&amp;D RD"/>
    <s v="H000005388"/>
    <s v="New"/>
    <x v="0"/>
    <x v="0"/>
    <s v="HC"/>
    <m/>
    <m/>
    <s v="Henry Jr Ifurung"/>
  </r>
  <r>
    <n v="1986"/>
    <s v="F2"/>
    <x v="74"/>
    <s v="H000005391"/>
    <s v="IR - BU Rare Diseases"/>
    <s v="H000002982"/>
    <s v="New"/>
    <x v="0"/>
    <x v="0"/>
    <s v="HC"/>
    <m/>
    <m/>
    <s v="Henry Jr Ifurung"/>
  </r>
  <r>
    <n v="1987"/>
    <s v="F2"/>
    <x v="74"/>
    <s v="H000005392"/>
    <s v="IR - Field Force Rare Diseases"/>
    <s v="H000005391"/>
    <s v="New"/>
    <x v="0"/>
    <x v="0"/>
    <s v="HC"/>
    <m/>
    <m/>
    <s v="Henry Jr Ifurung"/>
  </r>
  <r>
    <n v="1988"/>
    <s v="F2"/>
    <x v="74"/>
    <s v="H000005393"/>
    <s v="IR - Marketing Rare Diseases"/>
    <s v="H000005391"/>
    <s v="New"/>
    <x v="0"/>
    <x v="0"/>
    <s v="HC"/>
    <m/>
    <m/>
    <s v="Henry Jr Ifurung"/>
  </r>
  <r>
    <n v="1989"/>
    <s v="F2"/>
    <x v="74"/>
    <s v="H000005394"/>
    <s v="IR - Sales Promotion Rare Diseases"/>
    <s v="H000005391"/>
    <s v="New"/>
    <x v="0"/>
    <x v="0"/>
    <s v="HC"/>
    <m/>
    <m/>
    <s v="Henry Jr Ifurung"/>
  </r>
  <r>
    <n v="1990"/>
    <s v="F2"/>
    <x v="74"/>
    <s v="H000005395"/>
    <s v="IR - Medical Rare Diseases"/>
    <s v="H000002999"/>
    <s v="New"/>
    <x v="0"/>
    <x v="0"/>
    <s v="HC"/>
    <m/>
    <m/>
    <s v="Henry Jr Ifurung"/>
  </r>
  <r>
    <n v="1991"/>
    <s v="F2"/>
    <x v="74"/>
    <s v="H000005396"/>
    <s v="IR - Medical Team"/>
    <s v="H000005395"/>
    <s v="New"/>
    <x v="0"/>
    <x v="0"/>
    <s v="HC"/>
    <m/>
    <m/>
    <s v="Henry Jr Ifurung"/>
  </r>
  <r>
    <n v="1992"/>
    <s v="F2"/>
    <x v="74"/>
    <s v="H000005397"/>
    <s v="IR - Medical Activities Non R&amp;D RD"/>
    <s v="H000005395"/>
    <s v="New"/>
    <x v="0"/>
    <x v="0"/>
    <s v="HC"/>
    <m/>
    <m/>
    <s v="Henry Jr Ifurung"/>
  </r>
  <r>
    <n v="1993"/>
    <s v="F2"/>
    <x v="74"/>
    <s v="H000005398"/>
    <s v="JO - BU Rare Diseases"/>
    <s v="H000003076"/>
    <s v="New"/>
    <x v="0"/>
    <x v="0"/>
    <s v="HC"/>
    <m/>
    <m/>
    <s v="Henry Jr Ifurung"/>
  </r>
  <r>
    <n v="1994"/>
    <s v="F2"/>
    <x v="74"/>
    <s v="H000005399"/>
    <s v="JO - Field Force Rare Diseases"/>
    <s v="H000005398"/>
    <s v="New"/>
    <x v="0"/>
    <x v="0"/>
    <s v="HC"/>
    <m/>
    <m/>
    <s v="Henry Jr Ifurung"/>
  </r>
  <r>
    <n v="1995"/>
    <s v="F2"/>
    <x v="74"/>
    <s v="H000005400"/>
    <s v="JO - Marketing Rare Diseases"/>
    <s v="H000005398"/>
    <s v="New"/>
    <x v="0"/>
    <x v="0"/>
    <s v="HC"/>
    <m/>
    <m/>
    <s v="Henry Jr Ifurung"/>
  </r>
  <r>
    <n v="1996"/>
    <s v="F2"/>
    <x v="74"/>
    <s v="H000005401"/>
    <s v="JO - Sales Promotion Rare Diseases"/>
    <s v="H000005398"/>
    <s v="New"/>
    <x v="0"/>
    <x v="0"/>
    <s v="HC"/>
    <m/>
    <m/>
    <s v="Henry Jr Ifurung"/>
  </r>
  <r>
    <n v="1997"/>
    <s v="F2"/>
    <x v="74"/>
    <s v="H000005402"/>
    <s v="JO - Medical Rare Diseases"/>
    <s v="H000003090"/>
    <s v="New"/>
    <x v="0"/>
    <x v="0"/>
    <s v="HC"/>
    <m/>
    <m/>
    <s v="Henry Jr Ifurung"/>
  </r>
  <r>
    <n v="1998"/>
    <s v="F2"/>
    <x v="74"/>
    <s v="H000005403"/>
    <s v="JO - Medical Team"/>
    <s v="H000005402"/>
    <s v="New"/>
    <x v="0"/>
    <x v="0"/>
    <s v="HC"/>
    <m/>
    <m/>
    <s v="Henry Jr Ifurung"/>
  </r>
  <r>
    <n v="1999"/>
    <s v="F2"/>
    <x v="74"/>
    <s v="H000005404"/>
    <s v="JO - Medical Activities Non R&amp;D RD"/>
    <s v="H000005402"/>
    <s v="New"/>
    <x v="0"/>
    <x v="0"/>
    <s v="HC"/>
    <m/>
    <m/>
    <s v="Henry Jr Ifurung"/>
  </r>
  <r>
    <n v="2000"/>
    <s v="F2"/>
    <x v="74"/>
    <s v="H000005405"/>
    <s v="LB - BU Rare Diseases"/>
    <s v="H000003134"/>
    <s v="New"/>
    <x v="0"/>
    <x v="0"/>
    <s v="HC"/>
    <m/>
    <m/>
    <s v="Henry Jr Ifurung"/>
  </r>
  <r>
    <n v="2001"/>
    <s v="F2"/>
    <x v="74"/>
    <s v="H000005406"/>
    <s v="LB - Field Force Rare Diseases"/>
    <s v="H000005405"/>
    <s v="New"/>
    <x v="0"/>
    <x v="0"/>
    <s v="HC"/>
    <m/>
    <m/>
    <s v="Henry Jr Ifurung"/>
  </r>
  <r>
    <n v="2002"/>
    <s v="F2"/>
    <x v="74"/>
    <s v="H000005407"/>
    <s v="LB - Marketing Rare Diseases"/>
    <s v="H000005405"/>
    <s v="New"/>
    <x v="0"/>
    <x v="0"/>
    <s v="HC"/>
    <m/>
    <m/>
    <s v="Henry Jr Ifurung"/>
  </r>
  <r>
    <n v="2003"/>
    <s v="F2"/>
    <x v="74"/>
    <s v="H000005408"/>
    <s v="LB - Sales Promotion Rare Diseases"/>
    <s v="H000005405"/>
    <s v="New"/>
    <x v="0"/>
    <x v="0"/>
    <s v="HC"/>
    <m/>
    <m/>
    <s v="Henry Jr Ifurung"/>
  </r>
  <r>
    <n v="2004"/>
    <s v="F2"/>
    <x v="74"/>
    <s v="H000005409"/>
    <s v="LB - Medical Rare Diseases"/>
    <s v="H000003147"/>
    <s v="New"/>
    <x v="0"/>
    <x v="0"/>
    <s v="HC"/>
    <m/>
    <m/>
    <s v="Henry Jr Ifurung"/>
  </r>
  <r>
    <n v="2005"/>
    <s v="F2"/>
    <x v="74"/>
    <s v="H000005410"/>
    <s v="LB - Medical Team"/>
    <s v="H000005409"/>
    <s v="New"/>
    <x v="0"/>
    <x v="0"/>
    <s v="HC"/>
    <m/>
    <m/>
    <s v="Henry Jr Ifurung"/>
  </r>
  <r>
    <n v="2006"/>
    <s v="F2"/>
    <x v="74"/>
    <s v="H000005411"/>
    <s v="LB - Medical Activities Non R&amp;D RD"/>
    <s v="H000005409"/>
    <s v="New"/>
    <x v="0"/>
    <x v="0"/>
    <s v="HC"/>
    <m/>
    <m/>
    <s v="Henry Jr Ifurung"/>
  </r>
  <r>
    <n v="2007"/>
    <s v="F2"/>
    <x v="74"/>
    <s v="H000005412"/>
    <s v="LY - BU Rare Diseases"/>
    <s v="H000003169"/>
    <s v="New"/>
    <x v="0"/>
    <x v="0"/>
    <s v="HC"/>
    <m/>
    <m/>
    <s v="Henry Jr Ifurung"/>
  </r>
  <r>
    <n v="2008"/>
    <s v="F2"/>
    <x v="74"/>
    <s v="H000005413"/>
    <s v="LY - Field Force Rare Diseases"/>
    <s v="H000005412"/>
    <s v="New"/>
    <x v="0"/>
    <x v="0"/>
    <s v="HC"/>
    <m/>
    <m/>
    <s v="Henry Jr Ifurung"/>
  </r>
  <r>
    <n v="2009"/>
    <s v="F2"/>
    <x v="74"/>
    <s v="H000005414"/>
    <s v="LY - Marketing Rare Diseases"/>
    <s v="H000005412"/>
    <s v="New"/>
    <x v="0"/>
    <x v="0"/>
    <s v="HC"/>
    <m/>
    <m/>
    <s v="Henry Jr Ifurung"/>
  </r>
  <r>
    <n v="2010"/>
    <s v="F2"/>
    <x v="74"/>
    <s v="H000005415"/>
    <s v="LY - Sales Promotion Rare Diseases"/>
    <s v="H000005412"/>
    <s v="New"/>
    <x v="0"/>
    <x v="0"/>
    <s v="HC"/>
    <m/>
    <m/>
    <s v="Henry Jr Ifurung"/>
  </r>
  <r>
    <n v="2011"/>
    <s v="F2"/>
    <x v="74"/>
    <s v="H000005416"/>
    <s v="LY - Medical Rare Diseases"/>
    <s v="H000003179"/>
    <s v="New"/>
    <x v="0"/>
    <x v="0"/>
    <s v="HC"/>
    <m/>
    <m/>
    <s v="Henry Jr Ifurung"/>
  </r>
  <r>
    <n v="2012"/>
    <s v="F2"/>
    <x v="74"/>
    <s v="H000005417"/>
    <s v="LY - Medical Team"/>
    <s v="H000005416"/>
    <s v="New"/>
    <x v="0"/>
    <x v="0"/>
    <s v="HC"/>
    <m/>
    <m/>
    <s v="Henry Jr Ifurung"/>
  </r>
  <r>
    <n v="2013"/>
    <s v="F2"/>
    <x v="74"/>
    <s v="H000005418"/>
    <s v="LY - Medical Activities Non R&amp;D RD"/>
    <s v="H000005416"/>
    <s v="New"/>
    <x v="0"/>
    <x v="0"/>
    <s v="HC"/>
    <m/>
    <m/>
    <s v="Henry Jr Ifurung"/>
  </r>
  <r>
    <n v="2014"/>
    <s v="F2"/>
    <x v="74"/>
    <s v="H000005419"/>
    <s v="PS - BU Rare Diseases"/>
    <s v="H000003254"/>
    <s v="New"/>
    <x v="0"/>
    <x v="0"/>
    <s v="HC"/>
    <m/>
    <m/>
    <s v="Henry Jr Ifurung"/>
  </r>
  <r>
    <n v="2015"/>
    <s v="F2"/>
    <x v="74"/>
    <s v="H000005420"/>
    <s v="PS - Field Force Rare Diseases"/>
    <s v="H000005419"/>
    <s v="New"/>
    <x v="0"/>
    <x v="0"/>
    <s v="HC"/>
    <m/>
    <m/>
    <s v="Henry Jr Ifurung"/>
  </r>
  <r>
    <n v="2016"/>
    <s v="F2"/>
    <x v="74"/>
    <s v="H000005421"/>
    <s v="PS - Marketing Rare Diseases"/>
    <s v="H000005419"/>
    <s v="New"/>
    <x v="0"/>
    <x v="0"/>
    <s v="HC"/>
    <m/>
    <m/>
    <s v="Henry Jr Ifurung"/>
  </r>
  <r>
    <n v="2017"/>
    <s v="F2"/>
    <x v="74"/>
    <s v="H000005422"/>
    <s v="PS - Sales Promotion Rare Diseases"/>
    <s v="H000005419"/>
    <s v="New"/>
    <x v="0"/>
    <x v="0"/>
    <s v="HC"/>
    <m/>
    <m/>
    <s v="Henry Jr Ifurung"/>
  </r>
  <r>
    <n v="2018"/>
    <s v="F2"/>
    <x v="74"/>
    <s v="H000005423"/>
    <s v="PS - Medical Rare Diseases"/>
    <s v="H000003267"/>
    <s v="New"/>
    <x v="0"/>
    <x v="0"/>
    <s v="HC"/>
    <m/>
    <m/>
    <s v="Henry Jr Ifurung"/>
  </r>
  <r>
    <n v="2019"/>
    <s v="F2"/>
    <x v="74"/>
    <s v="H000005424"/>
    <s v="PS - Medical Team"/>
    <s v="H000005423"/>
    <s v="New"/>
    <x v="0"/>
    <x v="0"/>
    <s v="HC"/>
    <m/>
    <m/>
    <s v="Henry Jr Ifurung"/>
  </r>
  <r>
    <n v="2020"/>
    <s v="F2"/>
    <x v="74"/>
    <s v="H000005425"/>
    <s v="PS - Medical Activities Non R&amp;D RD"/>
    <s v="H000005423"/>
    <s v="New"/>
    <x v="0"/>
    <x v="0"/>
    <s v="HC"/>
    <m/>
    <m/>
    <s v="Henry Jr Ifurung"/>
  </r>
  <r>
    <n v="2021"/>
    <s v="F2"/>
    <x v="74"/>
    <s v="H000005426"/>
    <s v="SY - BU Rare Diseases"/>
    <s v="H000003404"/>
    <s v="New"/>
    <x v="0"/>
    <x v="0"/>
    <s v="HC"/>
    <m/>
    <m/>
    <s v="Henry Jr Ifurung"/>
  </r>
  <r>
    <n v="2022"/>
    <s v="F2"/>
    <x v="74"/>
    <s v="H000005427"/>
    <s v="SY - Field Force Rare Diseases"/>
    <s v="H000005426"/>
    <s v="New"/>
    <x v="0"/>
    <x v="0"/>
    <s v="HC"/>
    <m/>
    <m/>
    <s v="Henry Jr Ifurung"/>
  </r>
  <r>
    <n v="2023"/>
    <s v="F2"/>
    <x v="74"/>
    <s v="H000005428"/>
    <s v="SY - Marketing Rare Diseases"/>
    <s v="H000005426"/>
    <s v="New"/>
    <x v="0"/>
    <x v="0"/>
    <s v="HC"/>
    <m/>
    <m/>
    <s v="Henry Jr Ifurung"/>
  </r>
  <r>
    <n v="2024"/>
    <s v="F2"/>
    <x v="74"/>
    <s v="H000005429"/>
    <s v="SY - Sales Promotion Rare Diseases"/>
    <s v="H000005426"/>
    <s v="New"/>
    <x v="0"/>
    <x v="0"/>
    <s v="HC"/>
    <m/>
    <m/>
    <s v="Henry Jr Ifurung"/>
  </r>
  <r>
    <n v="2025"/>
    <s v="F2"/>
    <x v="74"/>
    <s v="H000005430"/>
    <s v="SY - Medical Rare Diseases"/>
    <s v="H000003419"/>
    <s v="New"/>
    <x v="0"/>
    <x v="0"/>
    <s v="HC"/>
    <m/>
    <m/>
    <s v="Henry Jr Ifurung"/>
  </r>
  <r>
    <n v="2026"/>
    <s v="F2"/>
    <x v="74"/>
    <s v="H000005431"/>
    <s v="SY - Medical Team"/>
    <s v="H000005430"/>
    <s v="New"/>
    <x v="0"/>
    <x v="0"/>
    <s v="HC"/>
    <m/>
    <m/>
    <s v="Henry Jr Ifurung"/>
  </r>
  <r>
    <n v="2027"/>
    <s v="F2"/>
    <x v="74"/>
    <s v="H000005432"/>
    <s v="SY - Medical Activities Non R&amp;D RD"/>
    <s v="H000005430"/>
    <s v="New"/>
    <x v="0"/>
    <x v="0"/>
    <s v="HC"/>
    <m/>
    <m/>
    <s v="Henry Jr Ifurung"/>
  </r>
  <r>
    <n v="2028"/>
    <s v="F2"/>
    <x v="74"/>
    <s v="H000005433"/>
    <s v="NE - BU Rare Diseases"/>
    <s v="H000003209"/>
    <s v="New"/>
    <x v="0"/>
    <x v="0"/>
    <s v="HC"/>
    <m/>
    <m/>
    <s v="Henry Jr Ifurung"/>
  </r>
  <r>
    <n v="2029"/>
    <s v="F2"/>
    <x v="74"/>
    <s v="H000005434"/>
    <s v="NE - Field Force Rare Diseases"/>
    <s v="H000005433"/>
    <s v="New"/>
    <x v="0"/>
    <x v="0"/>
    <s v="HC"/>
    <m/>
    <m/>
    <s v="Henry Jr Ifurung"/>
  </r>
  <r>
    <n v="2030"/>
    <s v="F2"/>
    <x v="74"/>
    <s v="H000005435"/>
    <s v="NE - Marketing Rare Diseases"/>
    <s v="H000005433"/>
    <s v="New"/>
    <x v="0"/>
    <x v="0"/>
    <s v="HC"/>
    <m/>
    <m/>
    <s v="Henry Jr Ifurung"/>
  </r>
  <r>
    <n v="2031"/>
    <s v="F2"/>
    <x v="74"/>
    <s v="H000005436"/>
    <s v="NE - Sales Promotion Rare Diseases"/>
    <s v="H000005433"/>
    <s v="New"/>
    <x v="0"/>
    <x v="0"/>
    <s v="HC"/>
    <m/>
    <m/>
    <s v="Henry Jr Ifurung"/>
  </r>
  <r>
    <n v="2032"/>
    <s v="F2"/>
    <x v="74"/>
    <s v="H000005437"/>
    <s v="NE - Medical Rare Diseases"/>
    <s v="H000003216"/>
    <s v="New"/>
    <x v="0"/>
    <x v="0"/>
    <s v="HC"/>
    <m/>
    <m/>
    <s v="Henry Jr Ifurung"/>
  </r>
  <r>
    <n v="2033"/>
    <s v="F2"/>
    <x v="74"/>
    <s v="H000005438"/>
    <s v="NE - Medical Team"/>
    <s v="H000005437"/>
    <s v="New"/>
    <x v="0"/>
    <x v="0"/>
    <s v="HC"/>
    <m/>
    <m/>
    <s v="Henry Jr Ifurung"/>
  </r>
  <r>
    <n v="2034"/>
    <s v="F2"/>
    <x v="74"/>
    <s v="H000005439"/>
    <s v="NE - Medical Activities Non R&amp;D RD"/>
    <s v="H000005437"/>
    <s v="New"/>
    <x v="0"/>
    <x v="0"/>
    <s v="HC"/>
    <m/>
    <m/>
    <s v="Henry Jr Ifurung"/>
  </r>
  <r>
    <n v="2035"/>
    <s v="F2"/>
    <x v="74"/>
    <s v="H000005440"/>
    <s v="DZ - BU Rare Diseases"/>
    <s v="H000002887"/>
    <s v="New"/>
    <x v="0"/>
    <x v="0"/>
    <s v="HC"/>
    <m/>
    <m/>
    <s v="Henry Jr Ifurung"/>
  </r>
  <r>
    <n v="2036"/>
    <s v="F2"/>
    <x v="74"/>
    <s v="H000005441"/>
    <s v="DZ - Field Force Rare Diseases"/>
    <s v="H000005440"/>
    <s v="New"/>
    <x v="0"/>
    <x v="0"/>
    <s v="HC"/>
    <m/>
    <m/>
    <s v="Henry Jr Ifurung"/>
  </r>
  <r>
    <n v="2037"/>
    <s v="F2"/>
    <x v="74"/>
    <s v="H000005442"/>
    <s v="DZ - Marketing Rare Diseases"/>
    <s v="H000005440"/>
    <s v="New"/>
    <x v="0"/>
    <x v="0"/>
    <s v="HC"/>
    <m/>
    <m/>
    <s v="Henry Jr Ifurung"/>
  </r>
  <r>
    <n v="2038"/>
    <s v="F2"/>
    <x v="74"/>
    <s v="H000005443"/>
    <s v="DZ - Sales Promotion Rare Diseases"/>
    <s v="H000005440"/>
    <s v="New"/>
    <x v="0"/>
    <x v="0"/>
    <s v="HC"/>
    <m/>
    <m/>
    <s v="Henry Jr Ifurung"/>
  </r>
  <r>
    <n v="2039"/>
    <s v="F2"/>
    <x v="74"/>
    <s v="H000005444"/>
    <s v="DZ - Medical Rare Diseases"/>
    <s v="H000002902"/>
    <s v="New"/>
    <x v="0"/>
    <x v="0"/>
    <s v="HC"/>
    <m/>
    <m/>
    <s v="Henry Jr Ifurung"/>
  </r>
  <r>
    <n v="2040"/>
    <s v="F2"/>
    <x v="74"/>
    <s v="H000005445"/>
    <s v="DZ - Medical Team"/>
    <s v="H000005444"/>
    <s v="New"/>
    <x v="0"/>
    <x v="0"/>
    <s v="HC"/>
    <m/>
    <m/>
    <s v="Henry Jr Ifurung"/>
  </r>
  <r>
    <n v="2041"/>
    <s v="F2"/>
    <x v="74"/>
    <s v="H000005446"/>
    <s v="DZ - Medical Activities Non R&amp;D RD"/>
    <s v="H000005444"/>
    <s v="New"/>
    <x v="0"/>
    <x v="0"/>
    <s v="HC"/>
    <m/>
    <m/>
    <s v="Henry Jr Ifurung"/>
  </r>
  <r>
    <n v="2042"/>
    <s v="F2"/>
    <x v="74"/>
    <s v="H000005447"/>
    <s v="MA - BU Rare Diseases"/>
    <s v="H000003183"/>
    <s v="New"/>
    <x v="0"/>
    <x v="0"/>
    <s v="HC"/>
    <m/>
    <m/>
    <s v="Henry Jr Ifurung"/>
  </r>
  <r>
    <n v="2043"/>
    <s v="F2"/>
    <x v="74"/>
    <s v="H000005448"/>
    <s v="MA - Field Force Rare Diseases"/>
    <s v="H000005447"/>
    <s v="New"/>
    <x v="0"/>
    <x v="0"/>
    <s v="HC"/>
    <m/>
    <m/>
    <s v="Henry Jr Ifurung"/>
  </r>
  <r>
    <n v="2044"/>
    <s v="F2"/>
    <x v="74"/>
    <s v="H000005449"/>
    <s v="MA - Marketing Rare Diseases"/>
    <s v="H000005447"/>
    <s v="New"/>
    <x v="0"/>
    <x v="0"/>
    <s v="HC"/>
    <m/>
    <m/>
    <s v="Henry Jr Ifurung"/>
  </r>
  <r>
    <n v="2045"/>
    <s v="F2"/>
    <x v="74"/>
    <s v="H000005450"/>
    <s v="MA - Sales Promotion Rare Diseases"/>
    <s v="H000005447"/>
    <s v="New"/>
    <x v="0"/>
    <x v="0"/>
    <s v="HC"/>
    <m/>
    <m/>
    <s v="Henry Jr Ifurung"/>
  </r>
  <r>
    <n v="2046"/>
    <s v="F2"/>
    <x v="74"/>
    <s v="H000005451"/>
    <s v="MA - Medical Rare Diseases"/>
    <s v="H000003197"/>
    <s v="New"/>
    <x v="0"/>
    <x v="0"/>
    <s v="HC"/>
    <m/>
    <m/>
    <s v="Henry Jr Ifurung"/>
  </r>
  <r>
    <n v="2047"/>
    <s v="F2"/>
    <x v="74"/>
    <s v="H000005452"/>
    <s v="MA - Medical Team"/>
    <s v="H000005451"/>
    <s v="New"/>
    <x v="0"/>
    <x v="0"/>
    <s v="HC"/>
    <m/>
    <m/>
    <s v="Henry Jr Ifurung"/>
  </r>
  <r>
    <n v="2048"/>
    <s v="F2"/>
    <x v="74"/>
    <s v="H000005453"/>
    <s v="MA - Medical Activities Non R&amp;D RD"/>
    <s v="H000005451"/>
    <s v="New"/>
    <x v="0"/>
    <x v="0"/>
    <s v="HC"/>
    <m/>
    <m/>
    <s v="Henry Jr Ifurung"/>
  </r>
  <r>
    <n v="2049"/>
    <s v="F2"/>
    <x v="74"/>
    <s v="H000005454"/>
    <s v="TN - BU Rare Diseases"/>
    <s v="H000003441"/>
    <s v="New"/>
    <x v="0"/>
    <x v="0"/>
    <s v="HC"/>
    <m/>
    <m/>
    <s v="Henry Jr Ifurung"/>
  </r>
  <r>
    <n v="2050"/>
    <s v="F2"/>
    <x v="74"/>
    <s v="H000005455"/>
    <s v="TN - Field Force Rare Diseases"/>
    <s v="H000005454"/>
    <s v="New"/>
    <x v="0"/>
    <x v="0"/>
    <s v="HC"/>
    <m/>
    <m/>
    <s v="Henry Jr Ifurung"/>
  </r>
  <r>
    <n v="2051"/>
    <s v="F2"/>
    <x v="74"/>
    <s v="H000005456"/>
    <s v="TN - Marketing Rare Diseases"/>
    <s v="H000005454"/>
    <s v="New"/>
    <x v="0"/>
    <x v="0"/>
    <s v="HC"/>
    <m/>
    <m/>
    <s v="Henry Jr Ifurung"/>
  </r>
  <r>
    <n v="2052"/>
    <s v="F2"/>
    <x v="74"/>
    <s v="H000005457"/>
    <s v="TN - Sales Promotion Rare Diseases"/>
    <s v="H000005454"/>
    <s v="New"/>
    <x v="0"/>
    <x v="0"/>
    <s v="HC"/>
    <m/>
    <m/>
    <s v="Henry Jr Ifurung"/>
  </r>
  <r>
    <n v="2053"/>
    <s v="F2"/>
    <x v="74"/>
    <s v="H000005458"/>
    <s v="TN - Medical Rare Diseases"/>
    <s v="H000003454"/>
    <s v="New"/>
    <x v="0"/>
    <x v="0"/>
    <s v="HC"/>
    <m/>
    <m/>
    <s v="Henry Jr Ifurung"/>
  </r>
  <r>
    <n v="2054"/>
    <s v="F2"/>
    <x v="74"/>
    <s v="H000005459"/>
    <s v="TN - Medical Team"/>
    <s v="H000005458"/>
    <s v="New"/>
    <x v="0"/>
    <x v="0"/>
    <s v="HC"/>
    <m/>
    <m/>
    <s v="Henry Jr Ifurung"/>
  </r>
  <r>
    <n v="2055"/>
    <s v="F2"/>
    <x v="74"/>
    <s v="H000005460"/>
    <s v="TN - Medical Activities Non R&amp;D RD"/>
    <s v="H000005458"/>
    <s v="New"/>
    <x v="0"/>
    <x v="0"/>
    <s v="HC"/>
    <m/>
    <m/>
    <s v="Henry Jr Ifurung"/>
  </r>
  <r>
    <n v="2056"/>
    <s v="F2"/>
    <x v="74"/>
    <s v="H000005461"/>
    <s v="NA - BU Rare Diseases"/>
    <s v="H000004022"/>
    <s v="New"/>
    <x v="0"/>
    <x v="0"/>
    <s v="HC"/>
    <m/>
    <m/>
    <s v="Henry Jr Ifurung"/>
  </r>
  <r>
    <n v="2057"/>
    <s v="F2"/>
    <x v="74"/>
    <s v="H000005462"/>
    <s v="NA - Field Force Rare Diseases"/>
    <s v="H000005461"/>
    <s v="New"/>
    <x v="0"/>
    <x v="0"/>
    <s v="HC"/>
    <m/>
    <m/>
    <s v="Henry Jr Ifurung"/>
  </r>
  <r>
    <n v="2058"/>
    <s v="F2"/>
    <x v="74"/>
    <s v="H000005463"/>
    <s v="NA - Marketing Rare Diseases"/>
    <s v="H000005461"/>
    <s v="New"/>
    <x v="0"/>
    <x v="0"/>
    <s v="HC"/>
    <m/>
    <m/>
    <s v="Henry Jr Ifurung"/>
  </r>
  <r>
    <n v="2059"/>
    <s v="F2"/>
    <x v="74"/>
    <s v="H000005464"/>
    <s v="NA - Sales Promotion Rare Diseases"/>
    <s v="H000005461"/>
    <s v="New"/>
    <x v="0"/>
    <x v="0"/>
    <s v="HC"/>
    <m/>
    <m/>
    <s v="Henry Jr Ifurung"/>
  </r>
  <r>
    <n v="2060"/>
    <s v="F2"/>
    <x v="74"/>
    <s v="H000005465"/>
    <s v="NA - Medical Rare Diseases"/>
    <s v="H000004027"/>
    <s v="New"/>
    <x v="0"/>
    <x v="0"/>
    <s v="HC"/>
    <m/>
    <m/>
    <s v="Henry Jr Ifurung"/>
  </r>
  <r>
    <n v="2061"/>
    <s v="F2"/>
    <x v="74"/>
    <s v="H000005466"/>
    <s v="NA - Medical Team"/>
    <s v="H000005465"/>
    <s v="New"/>
    <x v="0"/>
    <x v="0"/>
    <s v="HC"/>
    <m/>
    <m/>
    <s v="Henry Jr Ifurung"/>
  </r>
  <r>
    <n v="2062"/>
    <s v="F2"/>
    <x v="74"/>
    <s v="H000005467"/>
    <s v="NA - Medical Activities Non R&amp;D RD"/>
    <s v="H000005465"/>
    <s v="New"/>
    <x v="0"/>
    <x v="0"/>
    <s v="HC"/>
    <m/>
    <m/>
    <s v="Henry Jr Ifurung"/>
  </r>
  <r>
    <n v="2063"/>
    <s v="F2"/>
    <x v="74"/>
    <s v="H000005468"/>
    <s v="NG - BU Rare Diseases"/>
    <s v="H000003225"/>
    <s v="New"/>
    <x v="0"/>
    <x v="0"/>
    <s v="HC"/>
    <m/>
    <m/>
    <s v="Henry Jr Ifurung"/>
  </r>
  <r>
    <n v="2064"/>
    <s v="F2"/>
    <x v="74"/>
    <s v="H000005469"/>
    <s v="NG - Field Force Rare Diseases"/>
    <s v="H000005468"/>
    <s v="New"/>
    <x v="0"/>
    <x v="0"/>
    <s v="HC"/>
    <m/>
    <m/>
    <s v="Henry Jr Ifurung"/>
  </r>
  <r>
    <n v="2065"/>
    <s v="F2"/>
    <x v="74"/>
    <s v="H000005470"/>
    <s v="NG - Marketing Rare Diseases"/>
    <s v="H000005468"/>
    <s v="New"/>
    <x v="0"/>
    <x v="0"/>
    <s v="HC"/>
    <m/>
    <m/>
    <s v="Henry Jr Ifurung"/>
  </r>
  <r>
    <n v="2066"/>
    <s v="F2"/>
    <x v="74"/>
    <s v="H000005471"/>
    <s v="NG - Sales Promotion Rare Diseases"/>
    <s v="H000005468"/>
    <s v="New"/>
    <x v="0"/>
    <x v="0"/>
    <s v="HC"/>
    <m/>
    <m/>
    <s v="Henry Jr Ifurung"/>
  </r>
  <r>
    <n v="2067"/>
    <s v="F2"/>
    <x v="74"/>
    <s v="H000005472"/>
    <s v="NG - Medical Rare Diseases"/>
    <s v="H000003234"/>
    <s v="New"/>
    <x v="0"/>
    <x v="0"/>
    <s v="HC"/>
    <m/>
    <m/>
    <s v="Henry Jr Ifurung"/>
  </r>
  <r>
    <n v="2068"/>
    <s v="F2"/>
    <x v="74"/>
    <s v="H000005473"/>
    <s v="NG - Medical Team"/>
    <s v="H000005472"/>
    <s v="New"/>
    <x v="0"/>
    <x v="0"/>
    <s v="HC"/>
    <m/>
    <m/>
    <s v="Henry Jr Ifurung"/>
  </r>
  <r>
    <n v="2069"/>
    <s v="F2"/>
    <x v="74"/>
    <s v="H000005474"/>
    <s v="NG - Medical Activities Non R&amp;D RD"/>
    <s v="H000005472"/>
    <s v="New"/>
    <x v="0"/>
    <x v="0"/>
    <s v="HC"/>
    <m/>
    <m/>
    <s v="Henry Jr Ifurung"/>
  </r>
  <r>
    <n v="2070"/>
    <s v="F2"/>
    <x v="74"/>
    <s v="H000005475"/>
    <s v="KE - BU Rare Diseases"/>
    <s v="H000003112"/>
    <s v="New"/>
    <x v="0"/>
    <x v="0"/>
    <s v="HC"/>
    <m/>
    <m/>
    <s v="Henry Jr Ifurung"/>
  </r>
  <r>
    <n v="2071"/>
    <s v="F2"/>
    <x v="74"/>
    <s v="H000005476"/>
    <s v="KE - Field Force Rare Diseases"/>
    <s v="H000005475"/>
    <s v="New"/>
    <x v="0"/>
    <x v="0"/>
    <s v="HC"/>
    <m/>
    <m/>
    <s v="Henry Jr Ifurung"/>
  </r>
  <r>
    <n v="2072"/>
    <s v="F2"/>
    <x v="74"/>
    <s v="H000005477"/>
    <s v="KE - Marketing Rare Diseases"/>
    <s v="H000005475"/>
    <s v="New"/>
    <x v="0"/>
    <x v="0"/>
    <s v="HC"/>
    <m/>
    <m/>
    <s v="Henry Jr Ifurung"/>
  </r>
  <r>
    <n v="2073"/>
    <s v="F2"/>
    <x v="74"/>
    <s v="H000005478"/>
    <s v="KE - Sales Promotion Rare Diseases"/>
    <s v="H000005475"/>
    <s v="New"/>
    <x v="0"/>
    <x v="0"/>
    <s v="HC"/>
    <m/>
    <m/>
    <s v="Henry Jr Ifurung"/>
  </r>
  <r>
    <n v="2074"/>
    <s v="F2"/>
    <x v="74"/>
    <s v="H000005479"/>
    <s v="KE - Medical Rare Diseases"/>
    <s v="H000003117"/>
    <s v="New"/>
    <x v="0"/>
    <x v="0"/>
    <s v="HC"/>
    <m/>
    <m/>
    <s v="Henry Jr Ifurung"/>
  </r>
  <r>
    <n v="2075"/>
    <s v="F2"/>
    <x v="74"/>
    <s v="H000005480"/>
    <s v="KE - Medical Team"/>
    <s v="H000005479"/>
    <s v="New"/>
    <x v="0"/>
    <x v="0"/>
    <s v="HC"/>
    <m/>
    <m/>
    <s v="Henry Jr Ifurung"/>
  </r>
  <r>
    <n v="2076"/>
    <s v="F2"/>
    <x v="74"/>
    <s v="H000005481"/>
    <s v="KE - Medical Activities Non R&amp;D RD"/>
    <s v="H000005479"/>
    <s v="New"/>
    <x v="0"/>
    <x v="0"/>
    <s v="HC"/>
    <m/>
    <m/>
    <s v="Henry Jr Ifurung"/>
  </r>
  <r>
    <n v="2077"/>
    <s v="F2"/>
    <x v="74"/>
    <s v="H000005482"/>
    <s v="AO - BU Rare Diseases"/>
    <s v="H000002911"/>
    <s v="New"/>
    <x v="0"/>
    <x v="0"/>
    <s v="HC"/>
    <m/>
    <m/>
    <s v="Henry Jr Ifurung"/>
  </r>
  <r>
    <n v="2078"/>
    <s v="F2"/>
    <x v="74"/>
    <s v="H000005483"/>
    <s v="AO - Field Force Rare Diseases"/>
    <s v="H000005482"/>
    <s v="New"/>
    <x v="0"/>
    <x v="0"/>
    <s v="HC"/>
    <m/>
    <m/>
    <s v="Henry Jr Ifurung"/>
  </r>
  <r>
    <n v="2079"/>
    <s v="F2"/>
    <x v="74"/>
    <s v="H000005484"/>
    <s v="AO - Marketing Rare Diseases"/>
    <s v="H000005482"/>
    <s v="New"/>
    <x v="0"/>
    <x v="0"/>
    <s v="HC"/>
    <m/>
    <m/>
    <s v="Henry Jr Ifurung"/>
  </r>
  <r>
    <n v="2080"/>
    <s v="F2"/>
    <x v="74"/>
    <s v="H000005485"/>
    <s v="AO - Sales Promotion Rare Diseases"/>
    <s v="H000005482"/>
    <s v="New"/>
    <x v="0"/>
    <x v="0"/>
    <s v="HC"/>
    <m/>
    <m/>
    <s v="Henry Jr Ifurung"/>
  </r>
  <r>
    <n v="2081"/>
    <s v="F2"/>
    <x v="74"/>
    <s v="H000005486"/>
    <s v="AO - Medical Rare Diseases"/>
    <s v="H000002919"/>
    <s v="New"/>
    <x v="0"/>
    <x v="0"/>
    <s v="HC"/>
    <m/>
    <m/>
    <s v="Henry Jr Ifurung"/>
  </r>
  <r>
    <n v="2082"/>
    <s v="F2"/>
    <x v="74"/>
    <s v="H000005487"/>
    <s v="AO - Medical Team"/>
    <s v="H000005486"/>
    <s v="New"/>
    <x v="0"/>
    <x v="0"/>
    <s v="HC"/>
    <m/>
    <m/>
    <s v="Henry Jr Ifurung"/>
  </r>
  <r>
    <n v="2083"/>
    <s v="F2"/>
    <x v="74"/>
    <s v="H000005488"/>
    <s v="AO - Medical Activities Non R&amp;D RD"/>
    <s v="H000005486"/>
    <s v="New"/>
    <x v="0"/>
    <x v="0"/>
    <s v="HC"/>
    <m/>
    <m/>
    <s v="Henry Jr Ifurung"/>
  </r>
  <r>
    <n v="2084"/>
    <s v="F2"/>
    <x v="74"/>
    <s v="H000005489"/>
    <s v="DM - BU Rare Diseases"/>
    <s v="H000004036"/>
    <s v="New"/>
    <x v="0"/>
    <x v="0"/>
    <s v="HC"/>
    <m/>
    <m/>
    <s v="Henry Jr Ifurung"/>
  </r>
  <r>
    <n v="2085"/>
    <s v="F2"/>
    <x v="74"/>
    <s v="H000005490"/>
    <s v="DM - Field Force Rare Diseases"/>
    <s v="H000005489"/>
    <s v="New"/>
    <x v="0"/>
    <x v="0"/>
    <s v="HC"/>
    <m/>
    <m/>
    <s v="Henry Jr Ifurung"/>
  </r>
  <r>
    <n v="2086"/>
    <s v="F2"/>
    <x v="74"/>
    <s v="H000005491"/>
    <s v="DM - Marketing Rare Diseases"/>
    <s v="H000005489"/>
    <s v="New"/>
    <x v="0"/>
    <x v="0"/>
    <s v="HC"/>
    <m/>
    <m/>
    <s v="Henry Jr Ifurung"/>
  </r>
  <r>
    <n v="2087"/>
    <s v="F2"/>
    <x v="74"/>
    <s v="H000005492"/>
    <s v="DM - Sales Promotion Rare Diseases"/>
    <s v="H000005489"/>
    <s v="New"/>
    <x v="0"/>
    <x v="0"/>
    <s v="HC"/>
    <m/>
    <m/>
    <s v="Henry Jr Ifurung"/>
  </r>
  <r>
    <n v="2088"/>
    <s v="F2"/>
    <x v="74"/>
    <s v="H000005493"/>
    <s v="DM - Medical Rare Diseases"/>
    <s v="H000004040"/>
    <s v="New"/>
    <x v="0"/>
    <x v="0"/>
    <s v="HC"/>
    <m/>
    <m/>
    <s v="Henry Jr Ifurung"/>
  </r>
  <r>
    <n v="2089"/>
    <s v="F2"/>
    <x v="74"/>
    <s v="H000005494"/>
    <s v="DM - Medical Team"/>
    <s v="H000005493"/>
    <s v="New"/>
    <x v="0"/>
    <x v="0"/>
    <s v="HC"/>
    <m/>
    <m/>
    <s v="Henry Jr Ifurung"/>
  </r>
  <r>
    <n v="2090"/>
    <s v="F2"/>
    <x v="74"/>
    <s v="H000005495"/>
    <s v="DM - Medical Activities Non R&amp;D RD"/>
    <s v="H000005493"/>
    <s v="New"/>
    <x v="0"/>
    <x v="0"/>
    <s v="HC"/>
    <m/>
    <m/>
    <s v="Henry Jr Ifurung"/>
  </r>
  <r>
    <n v="2091"/>
    <s v="F2"/>
    <x v="75"/>
    <s v="H000005496"/>
    <s v="AR - BU RT"/>
    <s v="H000002480"/>
    <s v="New"/>
    <x v="0"/>
    <x v="0"/>
    <s v="HC"/>
    <m/>
    <m/>
    <s v="Maria Barreto"/>
  </r>
  <r>
    <n v="2092"/>
    <s v="F2"/>
    <x v="75"/>
    <s v="H000005497"/>
    <s v="AR - Field Force RT"/>
    <s v="H000005496"/>
    <s v="New"/>
    <x v="0"/>
    <x v="0"/>
    <s v="HC"/>
    <m/>
    <m/>
    <s v="Maria Barreto"/>
  </r>
  <r>
    <n v="2093"/>
    <s v="F2"/>
    <x v="75"/>
    <s v="H000005498"/>
    <s v="AR - Internal Sales Services RT"/>
    <s v="H000005496"/>
    <s v="New"/>
    <x v="0"/>
    <x v="0"/>
    <s v="HC"/>
    <m/>
    <m/>
    <s v="Maria Barreto"/>
  </r>
  <r>
    <n v="2094"/>
    <s v="F2"/>
    <x v="75"/>
    <s v="H000005499"/>
    <s v="AR - Sales Promotion RT"/>
    <s v="H000005496"/>
    <s v="New"/>
    <x v="0"/>
    <x v="0"/>
    <s v="HC"/>
    <m/>
    <m/>
    <s v="Maria Barreto"/>
  </r>
  <r>
    <n v="2095"/>
    <s v="F2"/>
    <x v="75"/>
    <s v="H000005500"/>
    <s v="AR - Sales Promotion Ogsiveo"/>
    <s v="H000005496"/>
    <s v="New"/>
    <x v="0"/>
    <x v="0"/>
    <s v="HC"/>
    <m/>
    <m/>
    <s v="Maria Barreto"/>
  </r>
  <r>
    <n v="2096"/>
    <s v="F2"/>
    <x v="75"/>
    <s v="H000005501"/>
    <s v="AR - Sales Promotion Gomekli"/>
    <s v="H000005496"/>
    <s v="New"/>
    <x v="0"/>
    <x v="0"/>
    <s v="HC"/>
    <m/>
    <m/>
    <s v="Maria Barreto"/>
  </r>
  <r>
    <n v="2097"/>
    <s v="F2"/>
    <x v="75"/>
    <s v="H000005502"/>
    <s v="AR - Medical Activities RT"/>
    <s v="H000002505"/>
    <s v="New"/>
    <x v="0"/>
    <x v="0"/>
    <s v="HC"/>
    <m/>
    <m/>
    <s v="Maria Barreto"/>
  </r>
  <r>
    <n v="2098"/>
    <s v="F2"/>
    <x v="75"/>
    <s v="H000005503"/>
    <s v="AR - Medical Activities Ogsiveo&amp;Gomekli"/>
    <s v="H000005502"/>
    <s v="New"/>
    <x v="0"/>
    <x v="0"/>
    <s v="HC"/>
    <m/>
    <m/>
    <s v="Maria Barreto"/>
  </r>
  <r>
    <n v="2099"/>
    <s v="F2"/>
    <x v="75"/>
    <s v="H000005504"/>
    <s v="AR - Medical Activities Ogsiveo"/>
    <s v="H000005502"/>
    <s v="New"/>
    <x v="0"/>
    <x v="0"/>
    <s v="HC"/>
    <m/>
    <m/>
    <s v="Maria Barreto"/>
  </r>
  <r>
    <n v="2100"/>
    <s v="F2"/>
    <x v="75"/>
    <s v="H000005505"/>
    <s v="AR - Medical Activities Gomekli"/>
    <s v="H000005502"/>
    <s v="New"/>
    <x v="0"/>
    <x v="0"/>
    <s v="HC"/>
    <m/>
    <m/>
    <s v="Maria Barreto"/>
  </r>
  <r>
    <n v="2101"/>
    <s v="F2"/>
    <x v="76"/>
    <s v="IT01000000"/>
    <m/>
    <s v="G000001562"/>
    <s v="Move"/>
    <x v="0"/>
    <x v="0"/>
    <s v="HC"/>
    <m/>
    <m/>
    <s v="Trixie Antonino"/>
  </r>
  <r>
    <n v="2102"/>
    <s v="F2"/>
    <x v="76"/>
    <s v="G000001495"/>
    <s v="EF-DS-TB Business Domain Solutions"/>
    <s v="G000000244"/>
    <s v="New"/>
    <x v="0"/>
    <x v="0"/>
    <s v="HC"/>
    <m/>
    <m/>
    <s v="Trixie Antonino"/>
  </r>
  <r>
    <n v="2103"/>
    <s v="F2"/>
    <x v="76"/>
    <s v="G000001496"/>
    <s v="EF-DS-TB Business Domain Solutions_I"/>
    <s v="G000001495"/>
    <s v="New"/>
    <x v="0"/>
    <x v="0"/>
    <s v="HC"/>
    <m/>
    <m/>
    <s v="Trixie Antonino"/>
  </r>
  <r>
    <n v="2104"/>
    <s v="F2"/>
    <x v="76"/>
    <s v="G000001497"/>
    <s v="EF-DS-TBC Supply Chain"/>
    <s v="G000001495"/>
    <s v="New"/>
    <x v="0"/>
    <x v="0"/>
    <s v="HC"/>
    <m/>
    <m/>
    <s v="Trixie Antonino"/>
  </r>
  <r>
    <n v="2105"/>
    <s v="F2"/>
    <x v="76"/>
    <s v="G000001498"/>
    <s v="EF-DS-TBD Cross-Domain Capabilities"/>
    <s v="G000001495"/>
    <s v="New"/>
    <x v="0"/>
    <x v="0"/>
    <s v="HC"/>
    <m/>
    <m/>
    <s v="Trixie Antonino"/>
  </r>
  <r>
    <n v="2106"/>
    <s v="F2"/>
    <x v="76"/>
    <s v="G000001499"/>
    <s v="EF-DS-TBL Lab Technologies"/>
    <s v="G000001495"/>
    <s v="New"/>
    <x v="0"/>
    <x v="0"/>
    <s v="HC"/>
    <m/>
    <m/>
    <s v="Trixie Antonino"/>
  </r>
  <r>
    <n v="2107"/>
    <s v="F2"/>
    <x v="76"/>
    <s v="G000001500"/>
    <s v="EF-DS-TBM Manufacturing"/>
    <s v="G000001495"/>
    <s v="New"/>
    <x v="0"/>
    <x v="0"/>
    <s v="HC"/>
    <m/>
    <m/>
    <s v="Trixie Antonino"/>
  </r>
  <r>
    <n v="2108"/>
    <s v="F2"/>
    <x v="76"/>
    <s v="G000001501"/>
    <s v="EF-DS-TBQ Quality &amp; Compliance"/>
    <s v="G000001495"/>
    <s v="New"/>
    <x v="0"/>
    <x v="0"/>
    <s v="HC"/>
    <m/>
    <m/>
    <s v="Trixie Antonino"/>
  </r>
  <r>
    <n v="2109"/>
    <s v="F2"/>
    <x v="76"/>
    <s v="G000001502"/>
    <s v="EF-DS-TBS Marketing &amp; Sales"/>
    <s v="G000001495"/>
    <s v="New"/>
    <x v="0"/>
    <x v="0"/>
    <s v="HC"/>
    <m/>
    <m/>
    <s v="Trixie Antonino"/>
  </r>
  <r>
    <n v="2110"/>
    <s v="F2"/>
    <x v="76"/>
    <s v="G000001503"/>
    <s v="EF-DS-TBW Web Capabilities"/>
    <s v="G000001495"/>
    <s v="New"/>
    <x v="0"/>
    <x v="0"/>
    <s v="HC"/>
    <m/>
    <m/>
    <s v="Trixie Antonino"/>
  </r>
  <r>
    <n v="2111"/>
    <s v="F2"/>
    <x v="76"/>
    <s v="G000001504"/>
    <s v="EF-DS-TI Integrated Entp Solutions"/>
    <s v="G000000244"/>
    <s v="New"/>
    <x v="0"/>
    <x v="0"/>
    <s v="HC"/>
    <m/>
    <m/>
    <s v="Trixie Antonino"/>
  </r>
  <r>
    <n v="2112"/>
    <s v="F2"/>
    <x v="76"/>
    <s v="G000001505"/>
    <s v="EF-DS-TI Integrated Entp Solutions_I"/>
    <s v="G000001504"/>
    <s v="New"/>
    <x v="0"/>
    <x v="0"/>
    <s v="HC"/>
    <m/>
    <m/>
    <s v="Trixie Antonino"/>
  </r>
  <r>
    <n v="2113"/>
    <s v="F2"/>
    <x v="76"/>
    <s v="G000001506"/>
    <s v="EF-DS-TIA ERP Architec &amp; Cross Services"/>
    <s v="G000001504"/>
    <s v="New"/>
    <x v="0"/>
    <x v="0"/>
    <s v="HC"/>
    <m/>
    <m/>
    <s v="Trixie Antonino"/>
  </r>
  <r>
    <n v="2114"/>
    <s v="F2"/>
    <x v="76"/>
    <s v="G000001507"/>
    <s v="EF-DS-TIC SAP Center of Competence"/>
    <s v="G000001504"/>
    <s v="New"/>
    <x v="0"/>
    <x v="0"/>
    <s v="HC"/>
    <m/>
    <m/>
    <s v="Trixie Antonino"/>
  </r>
  <r>
    <n v="2115"/>
    <s v="F2"/>
    <x v="76"/>
    <s v="G000001508"/>
    <s v="EF-DS-TID Data Migration &amp; Integration "/>
    <s v="G000001504"/>
    <s v="New"/>
    <x v="0"/>
    <x v="0"/>
    <s v="HC"/>
    <m/>
    <m/>
    <s v="Trixie Antonino"/>
  </r>
  <r>
    <n v="2116"/>
    <s v="F2"/>
    <x v="76"/>
    <s v="G000001509"/>
    <s v="EF-DS-TIE Enterprise Value Chain Apps"/>
    <s v="G000001504"/>
    <s v="New"/>
    <x v="0"/>
    <x v="0"/>
    <s v="HC"/>
    <m/>
    <m/>
    <s v="Trixie Antonino"/>
  </r>
  <r>
    <n v="2117"/>
    <s v="F2"/>
    <x v="76"/>
    <s v="G000001510"/>
    <s v="EF-DS-TIG Group Solutions"/>
    <s v="G000001504"/>
    <s v="New"/>
    <x v="0"/>
    <x v="0"/>
    <s v="HC"/>
    <m/>
    <m/>
    <s v="Trixie Antonino"/>
  </r>
  <r>
    <n v="2118"/>
    <s v="F2"/>
    <x v="76"/>
    <s v="G000001511"/>
    <s v="EF-DS-TIS Strategy Realization &amp; BTP"/>
    <s v="G000001504"/>
    <s v="New"/>
    <x v="0"/>
    <x v="0"/>
    <s v="HC"/>
    <m/>
    <m/>
    <s v="Trixie Antonino"/>
  </r>
  <r>
    <n v="2119"/>
    <s v="F2"/>
    <x v="76"/>
    <s v="G000001512"/>
    <s v="EF-DS-TE Entp Technology Platforms"/>
    <s v="G000000244"/>
    <s v="New"/>
    <x v="0"/>
    <x v="0"/>
    <s v="HC"/>
    <m/>
    <m/>
    <s v="Trixie Antonino"/>
  </r>
  <r>
    <n v="2120"/>
    <s v="F2"/>
    <x v="76"/>
    <s v="G000001513"/>
    <s v="EF-DS-TE Entp Technology Platforms_I"/>
    <s v="G000001512"/>
    <s v="New"/>
    <x v="0"/>
    <x v="0"/>
    <s v="HC"/>
    <m/>
    <m/>
    <s v="Trixie Antonino"/>
  </r>
  <r>
    <n v="2121"/>
    <s v="F2"/>
    <x v="76"/>
    <s v="G000001514"/>
    <s v="EF-DS-TEA Platform Archi &amp; Automation"/>
    <s v="G000001512"/>
    <s v="New"/>
    <x v="0"/>
    <x v="0"/>
    <s v="HC"/>
    <m/>
    <m/>
    <s v="Trixie Antonino"/>
  </r>
  <r>
    <n v="2122"/>
    <s v="F2"/>
    <x v="76"/>
    <s v="G000001515"/>
    <s v="EF-DS-TEC Cloud Platforms"/>
    <s v="G000001512"/>
    <s v="New"/>
    <x v="0"/>
    <x v="0"/>
    <s v="HC"/>
    <m/>
    <m/>
    <s v="Trixie Antonino"/>
  </r>
  <r>
    <n v="2123"/>
    <s v="F2"/>
    <x v="76"/>
    <s v="G000001516"/>
    <s v="EF-DS-TED Database, Citrix &amp; Datacenter"/>
    <s v="G000001512"/>
    <s v="New"/>
    <x v="0"/>
    <x v="0"/>
    <s v="HC"/>
    <m/>
    <m/>
    <s v="Trixie Antonino"/>
  </r>
  <r>
    <n v="2124"/>
    <s v="F2"/>
    <x v="76"/>
    <s v="G000001517"/>
    <s v="EF-DS-TEE Edge Strategy"/>
    <s v="G000001512"/>
    <s v="New"/>
    <x v="0"/>
    <x v="0"/>
    <s v="HC"/>
    <m/>
    <m/>
    <s v="Trixie Antonino"/>
  </r>
  <r>
    <n v="2125"/>
    <s v="F2"/>
    <x v="76"/>
    <s v="G000001518"/>
    <s v="EF-DS-TEL Storage Backup &amp; Linux Unix"/>
    <s v="G000001512"/>
    <s v="New"/>
    <x v="0"/>
    <x v="0"/>
    <s v="HC"/>
    <m/>
    <m/>
    <s v="Trixie Antonino"/>
  </r>
  <r>
    <n v="2126"/>
    <s v="F2"/>
    <x v="76"/>
    <s v="G000001519"/>
    <s v="EF-DS-TEP Performance Management"/>
    <s v="G000001512"/>
    <s v="New"/>
    <x v="0"/>
    <x v="0"/>
    <s v="HC"/>
    <m/>
    <m/>
    <s v="Trixie Antonino"/>
  </r>
  <r>
    <n v="2127"/>
    <s v="F2"/>
    <x v="76"/>
    <s v="G000001520"/>
    <s v="EF-DS-TES Strategy Realization Office"/>
    <s v="G000001512"/>
    <s v="New"/>
    <x v="0"/>
    <x v="0"/>
    <s v="HC"/>
    <m/>
    <m/>
    <s v="Trixie Antonino"/>
  </r>
  <r>
    <n v="2128"/>
    <s v="F2"/>
    <x v="76"/>
    <s v="G000001521"/>
    <s v="EF-DS-TEW Windows &amp; Virtualization Plat"/>
    <s v="G000001512"/>
    <s v="New"/>
    <x v="0"/>
    <x v="0"/>
    <s v="HC"/>
    <m/>
    <m/>
    <s v="Trixie Antonino"/>
  </r>
  <r>
    <n v="2129"/>
    <s v="F2"/>
    <x v="76"/>
    <s v="G000001522"/>
    <s v="EF-DS-TN Entp Network &amp; Telecom Pl"/>
    <s v="G000000244"/>
    <s v="New"/>
    <x v="0"/>
    <x v="0"/>
    <s v="HC"/>
    <m/>
    <m/>
    <s v="Trixie Antonino"/>
  </r>
  <r>
    <n v="2130"/>
    <s v="F2"/>
    <x v="76"/>
    <s v="G000001523"/>
    <s v="EF-DS-TN Entp Network &amp; Telecom Pl_I"/>
    <s v="G000001522"/>
    <s v="New"/>
    <x v="0"/>
    <x v="0"/>
    <s v="HC"/>
    <m/>
    <m/>
    <s v="Trixie Antonino"/>
  </r>
  <r>
    <n v="2131"/>
    <s v="F2"/>
    <x v="76"/>
    <s v="G000001524"/>
    <s v="EF-DS-TNA Network APAC"/>
    <s v="G000001522"/>
    <s v="New"/>
    <x v="0"/>
    <x v="0"/>
    <s v="HC"/>
    <m/>
    <m/>
    <s v="Trixie Antonino"/>
  </r>
  <r>
    <n v="2132"/>
    <s v="F2"/>
    <x v="76"/>
    <s v="G000001525"/>
    <s v="EF-DS-TND Global DC Network"/>
    <s v="G000001522"/>
    <s v="New"/>
    <x v="0"/>
    <x v="0"/>
    <s v="HC"/>
    <m/>
    <m/>
    <s v="Trixie Antonino"/>
  </r>
  <r>
    <n v="2133"/>
    <s v="F2"/>
    <x v="76"/>
    <s v="G000001526"/>
    <s v="EF-DS-TNE Network EMEA"/>
    <s v="G000001522"/>
    <s v="New"/>
    <x v="0"/>
    <x v="0"/>
    <s v="HC"/>
    <m/>
    <m/>
    <s v="Trixie Antonino"/>
  </r>
  <r>
    <n v="2134"/>
    <s v="F2"/>
    <x v="76"/>
    <s v="G000001527"/>
    <s v="EF-DS-TNG Network Germany"/>
    <s v="G000001522"/>
    <s v="New"/>
    <x v="0"/>
    <x v="0"/>
    <s v="HC"/>
    <m/>
    <m/>
    <s v="Trixie Antonino"/>
  </r>
  <r>
    <n v="2135"/>
    <s v="F2"/>
    <x v="76"/>
    <s v="G000001528"/>
    <s v="EF-DS-TNL LATAM NOC"/>
    <s v="G000001522"/>
    <s v="New"/>
    <x v="0"/>
    <x v="0"/>
    <s v="HC"/>
    <m/>
    <m/>
    <s v="Trixie Antonino"/>
  </r>
  <r>
    <n v="2136"/>
    <s v="F2"/>
    <x v="76"/>
    <s v="G000001529"/>
    <s v="EF-DS-TNN Network NASA"/>
    <s v="G000001522"/>
    <s v="New"/>
    <x v="0"/>
    <x v="0"/>
    <s v="HC"/>
    <m/>
    <m/>
    <s v="Trixie Antonino"/>
  </r>
  <r>
    <n v="2137"/>
    <s v="F2"/>
    <x v="76"/>
    <s v="G000001530"/>
    <s v="EF-DS-TNO Network Operations Center"/>
    <s v="G000001522"/>
    <s v="New"/>
    <x v="0"/>
    <x v="0"/>
    <s v="HC"/>
    <m/>
    <m/>
    <s v="Trixie Antonino"/>
  </r>
  <r>
    <n v="2138"/>
    <s v="F2"/>
    <x v="76"/>
    <s v="G000001531"/>
    <s v="EF-DS-TNT Telecommunications Platforms"/>
    <s v="G000001522"/>
    <s v="New"/>
    <x v="0"/>
    <x v="0"/>
    <s v="HC"/>
    <m/>
    <m/>
    <s v="Trixie Antonino"/>
  </r>
  <r>
    <n v="2139"/>
    <s v="F2"/>
    <x v="76"/>
    <s v="G000001532"/>
    <s v="EF-DS-TP Process, Portfolio &amp; Perform"/>
    <s v="G000000244"/>
    <s v="New"/>
    <x v="0"/>
    <x v="0"/>
    <s v="HC"/>
    <m/>
    <m/>
    <s v="Trixie Antonino"/>
  </r>
  <r>
    <n v="2140"/>
    <s v="F2"/>
    <x v="76"/>
    <s v="G000001533"/>
    <s v="EF-DS-TP Process, Portfolio &amp; Perform_I"/>
    <s v="G000001532"/>
    <s v="New"/>
    <x v="0"/>
    <x v="0"/>
    <s v="HC"/>
    <m/>
    <m/>
    <s v="Trixie Antonino"/>
  </r>
  <r>
    <n v="2141"/>
    <s v="F2"/>
    <x v="76"/>
    <s v="G000001534"/>
    <s v="EF-DS-TPC IT Compliance, Process &amp; Perf"/>
    <s v="G000001532"/>
    <s v="New"/>
    <x v="0"/>
    <x v="0"/>
    <s v="HC"/>
    <m/>
    <m/>
    <s v="Trixie Antonino"/>
  </r>
  <r>
    <n v="2142"/>
    <s v="F2"/>
    <x v="76"/>
    <s v="G000001535"/>
    <s v="EF-DS-TPD IT Demand Mgmt &amp; Solution Des"/>
    <s v="G000001532"/>
    <s v="New"/>
    <x v="0"/>
    <x v="0"/>
    <s v="HC"/>
    <m/>
    <m/>
    <s v="Trixie Antonino"/>
  </r>
  <r>
    <n v="2143"/>
    <s v="F2"/>
    <x v="76"/>
    <s v="G000001536"/>
    <s v="EF-DS-TPF IT Finance"/>
    <s v="G000001532"/>
    <s v="New"/>
    <x v="0"/>
    <x v="0"/>
    <s v="HC"/>
    <m/>
    <m/>
    <s v="Trixie Antonino"/>
  </r>
  <r>
    <n v="2144"/>
    <s v="F2"/>
    <x v="76"/>
    <s v="G000001537"/>
    <s v="EF-DS-TPP IT Project Delivery"/>
    <s v="G000001532"/>
    <s v="New"/>
    <x v="0"/>
    <x v="0"/>
    <s v="HC"/>
    <m/>
    <m/>
    <s v="Trixie Antonino"/>
  </r>
  <r>
    <n v="2145"/>
    <s v="F2"/>
    <x v="76"/>
    <s v="G000001538"/>
    <s v="EF-DS-TPR IT-I RUN"/>
    <s v="G000001532"/>
    <s v="New"/>
    <x v="0"/>
    <x v="0"/>
    <s v="HC"/>
    <m/>
    <m/>
    <s v="Trixie Antonino"/>
  </r>
  <r>
    <n v="2146"/>
    <s v="F2"/>
    <x v="76"/>
    <s v="G000001539"/>
    <s v="EF-DS-TT Technology Office"/>
    <s v="G000000244"/>
    <s v="New"/>
    <x v="0"/>
    <x v="0"/>
    <s v="HC"/>
    <m/>
    <m/>
    <s v="Trixie Antonino"/>
  </r>
  <r>
    <n v="2147"/>
    <s v="F2"/>
    <x v="76"/>
    <s v="G000001540"/>
    <s v="EF-DS-TT Technology Office_I"/>
    <s v="G000001539"/>
    <s v="New"/>
    <x v="0"/>
    <x v="0"/>
    <s v="HC"/>
    <m/>
    <m/>
    <s v="Trixie Antonino"/>
  </r>
  <r>
    <n v="2148"/>
    <s v="F2"/>
    <x v="76"/>
    <s v="G000001541"/>
    <s v="EF-DS-TTC Cyber Build"/>
    <s v="G000001539"/>
    <s v="New"/>
    <x v="0"/>
    <x v="0"/>
    <s v="HC"/>
    <m/>
    <m/>
    <s v="Trixie Antonino"/>
  </r>
  <r>
    <n v="2149"/>
    <s v="F2"/>
    <x v="76"/>
    <s v="G000001542"/>
    <s v="EF-DS-TTD DevOps"/>
    <s v="G000001539"/>
    <s v="New"/>
    <x v="0"/>
    <x v="0"/>
    <s v="HC"/>
    <m/>
    <m/>
    <s v="Trixie Antonino"/>
  </r>
  <r>
    <n v="2150"/>
    <s v="F2"/>
    <x v="76"/>
    <s v="G000001543"/>
    <s v="EF-DS-TTG GIAM"/>
    <s v="G000001539"/>
    <s v="New"/>
    <x v="0"/>
    <x v="0"/>
    <s v="HC"/>
    <m/>
    <m/>
    <s v="Trixie Antonino"/>
  </r>
  <r>
    <n v="2151"/>
    <s v="F2"/>
    <x v="76"/>
    <s v="G000001544"/>
    <s v="EF-DS-TTI InfoSec"/>
    <s v="G000001539"/>
    <s v="New"/>
    <x v="0"/>
    <x v="0"/>
    <s v="HC"/>
    <m/>
    <m/>
    <s v="Trixie Antonino"/>
  </r>
  <r>
    <n v="2152"/>
    <s v="F2"/>
    <x v="76"/>
    <s v="G000001545"/>
    <s v="EF-DS-TTS Directory Services"/>
    <s v="G000001539"/>
    <s v="New"/>
    <x v="0"/>
    <x v="0"/>
    <s v="HC"/>
    <m/>
    <m/>
    <s v="Trixie Antonino"/>
  </r>
  <r>
    <n v="2153"/>
    <s v="F2"/>
    <x v="76"/>
    <s v="G000001546"/>
    <s v="EF-DS-TW Digital Workplace"/>
    <s v="G000000244"/>
    <s v="New"/>
    <x v="0"/>
    <x v="0"/>
    <s v="HC"/>
    <m/>
    <m/>
    <s v="Trixie Antonino"/>
  </r>
  <r>
    <n v="2154"/>
    <s v="F2"/>
    <x v="76"/>
    <s v="G000001547"/>
    <s v="EF-DS-TW Digital Workplace_I"/>
    <s v="G000001546"/>
    <s v="New"/>
    <x v="0"/>
    <x v="0"/>
    <s v="HC"/>
    <m/>
    <m/>
    <s v="Trixie Antonino"/>
  </r>
  <r>
    <n v="2155"/>
    <s v="F2"/>
    <x v="76"/>
    <s v="G000001548"/>
    <s v="EF-DS-TWC Messaging &amp; Collaboration"/>
    <s v="G000001546"/>
    <s v="New"/>
    <x v="0"/>
    <x v="0"/>
    <s v="HC"/>
    <m/>
    <m/>
    <s v="Trixie Antonino"/>
  </r>
  <r>
    <n v="2156"/>
    <s v="F2"/>
    <x v="76"/>
    <s v="G000001549"/>
    <s v="EF-DS-TWD Digital Workplace Solutions"/>
    <s v="G000001546"/>
    <s v="New"/>
    <x v="0"/>
    <x v="0"/>
    <s v="HC"/>
    <m/>
    <m/>
    <s v="Trixie Antonino"/>
  </r>
  <r>
    <n v="2157"/>
    <s v="F2"/>
    <x v="76"/>
    <s v="G000001550"/>
    <s v="EF-DS-TWE Client Computing"/>
    <s v="G000001546"/>
    <s v="New"/>
    <x v="0"/>
    <x v="0"/>
    <s v="HC"/>
    <m/>
    <m/>
    <s v="Trixie Antonino"/>
  </r>
  <r>
    <n v="2158"/>
    <s v="F2"/>
    <x v="76"/>
    <s v="G000001551"/>
    <s v="EF-DS-TWM Enterprise Mobile Device Mgmt"/>
    <s v="G000001546"/>
    <s v="New"/>
    <x v="0"/>
    <x v="0"/>
    <s v="HC"/>
    <m/>
    <m/>
    <s v="Trixie Antonino"/>
  </r>
  <r>
    <n v="2159"/>
    <s v="F2"/>
    <x v="76"/>
    <s v="G000001552"/>
    <s v="EF-DS-SC Cost, Cash &amp; Performance "/>
    <s v="G000001381"/>
    <s v="New"/>
    <x v="0"/>
    <x v="0"/>
    <s v="HC"/>
    <m/>
    <m/>
    <s v="Trixie Antonino"/>
  </r>
  <r>
    <n v="2160"/>
    <s v="F2"/>
    <x v="76"/>
    <s v="G000001553"/>
    <s v="EF-DS-SCP Portfolio Management &amp; Project"/>
    <s v="G000001552"/>
    <s v="New"/>
    <x v="0"/>
    <x v="0"/>
    <s v="HC"/>
    <m/>
    <m/>
    <s v="Trixie Antonino"/>
  </r>
  <r>
    <n v="2161"/>
    <s v="F2"/>
    <x v="76"/>
    <s v="G000001554"/>
    <s v="EF-DS-SCM Performance Management "/>
    <s v="G000001552"/>
    <s v="New"/>
    <x v="0"/>
    <x v="0"/>
    <s v="HC"/>
    <m/>
    <m/>
    <s v="Trixie Antonino"/>
  </r>
  <r>
    <n v="2162"/>
    <s v="F2"/>
    <x v="76"/>
    <s v="G000001555"/>
    <s v="EF-DS-SCV Vendor Mgmt &amp; Cost Control"/>
    <s v="G000001552"/>
    <s v="New"/>
    <x v="0"/>
    <x v="0"/>
    <s v="HC"/>
    <m/>
    <m/>
    <s v="Trixie Antonino"/>
  </r>
  <r>
    <n v="2163"/>
    <s v="F2"/>
    <x v="76"/>
    <s v="G000001556"/>
    <s v="EF-DS-ST Strategy &amp; Transformation"/>
    <s v="G000001381"/>
    <s v="New"/>
    <x v="0"/>
    <x v="0"/>
    <s v="HC"/>
    <m/>
    <m/>
    <s v="Trixie Antonino"/>
  </r>
  <r>
    <n v="2164"/>
    <s v="F2"/>
    <x v="76"/>
    <s v="G000001557"/>
    <s v="EF-DS-ST Strategy &amp; Transformation_I"/>
    <s v="G000001556"/>
    <s v="New"/>
    <x v="0"/>
    <x v="0"/>
    <s v="HC"/>
    <m/>
    <m/>
    <s v="Trixie Antonino"/>
  </r>
  <r>
    <n v="2165"/>
    <s v="F2"/>
    <x v="76"/>
    <s v="G000001558"/>
    <s v="EF-DS-SM MITC Office "/>
    <s v="G000001381"/>
    <s v="New"/>
    <x v="0"/>
    <x v="0"/>
    <s v="HC"/>
    <m/>
    <m/>
    <s v="Trixie Antonino"/>
  </r>
  <r>
    <n v="2166"/>
    <s v="F2"/>
    <x v="76"/>
    <s v="G000001559"/>
    <s v="EF-DS-SM MITC Office_I"/>
    <s v="G000001558"/>
    <s v="New"/>
    <x v="0"/>
    <x v="0"/>
    <s v="HC"/>
    <m/>
    <m/>
    <s v="Trixie Antonino"/>
  </r>
  <r>
    <n v="2167"/>
    <s v="F2"/>
    <x v="76"/>
    <s v="G000001560"/>
    <s v="EF-DS-HM Service Management "/>
    <s v="G000001378"/>
    <s v="New"/>
    <x v="0"/>
    <x v="0"/>
    <s v="HC"/>
    <m/>
    <m/>
    <s v="Trixie Antonino"/>
  </r>
  <r>
    <n v="2168"/>
    <s v="F2"/>
    <x v="76"/>
    <s v="G000001561"/>
    <s v="EF-DS-S DES Strategy, Gover. &amp; Transf_I"/>
    <s v="G000001381"/>
    <s v="New"/>
    <x v="0"/>
    <x v="0"/>
    <s v="HC"/>
    <m/>
    <m/>
    <s v="Trixie Antonino"/>
  </r>
  <r>
    <n v="2169"/>
    <s v="F2"/>
    <x v="76"/>
    <s v="G000001562"/>
    <s v="EF-DS-H Hyperautomation &amp; Process Exce_I"/>
    <s v="G000001378"/>
    <s v="New"/>
    <x v="0"/>
    <x v="0"/>
    <s v="HC"/>
    <m/>
    <m/>
    <s v="Trixie Antonino"/>
  </r>
  <r>
    <n v="2170"/>
    <s v="F2"/>
    <x v="76"/>
    <s v="IT01000600"/>
    <s v="EF-DS-HM Service Management "/>
    <s v="G000001560"/>
    <s v="New"/>
    <x v="0"/>
    <x v="0"/>
    <s v="HC"/>
    <m/>
    <m/>
    <s v="Trixie Antonino"/>
  </r>
  <r>
    <n v="2171"/>
    <s v="F2"/>
    <x v="76"/>
    <s v="IT06B12000"/>
    <s v="EF-DS-TB Business Domain Solutions"/>
    <s v="G000001496"/>
    <s v="New"/>
    <x v="0"/>
    <x v="0"/>
    <s v="HC"/>
    <m/>
    <m/>
    <s v="Trixie Antonino"/>
  </r>
  <r>
    <n v="2172"/>
    <s v="F2"/>
    <x v="76"/>
    <s v="IT06B12001"/>
    <s v="EF-DS-TBC Supply Chain"/>
    <s v="G000001497"/>
    <s v="New"/>
    <x v="0"/>
    <x v="0"/>
    <s v="HC"/>
    <m/>
    <m/>
    <s v="Trixie Antonino"/>
  </r>
  <r>
    <n v="2173"/>
    <s v="F2"/>
    <x v="76"/>
    <s v="IT06B12002"/>
    <s v="EF-DS-TBD Cross-Domain Capabilities"/>
    <s v="G000001498"/>
    <s v="New"/>
    <x v="0"/>
    <x v="0"/>
    <s v="HC"/>
    <m/>
    <m/>
    <s v="Trixie Antonino"/>
  </r>
  <r>
    <n v="2174"/>
    <s v="F2"/>
    <x v="76"/>
    <s v="IT06B12003"/>
    <s v="EF-DS-TBL Lab Technologies"/>
    <s v="G000001499"/>
    <s v="New"/>
    <x v="0"/>
    <x v="0"/>
    <s v="HC"/>
    <m/>
    <m/>
    <s v="Trixie Antonino"/>
  </r>
  <r>
    <n v="2175"/>
    <s v="F2"/>
    <x v="76"/>
    <s v="IT06B12004"/>
    <s v="EF-DS-TBM Manufacturing"/>
    <s v="G000001500"/>
    <s v="New"/>
    <x v="0"/>
    <x v="0"/>
    <s v="HC"/>
    <m/>
    <m/>
    <s v="Trixie Antonino"/>
  </r>
  <r>
    <n v="2176"/>
    <s v="F2"/>
    <x v="76"/>
    <s v="IT06B12005"/>
    <s v="EF-DS-TBQ Quality &amp; Compliance"/>
    <s v="G000001501"/>
    <s v="New"/>
    <x v="0"/>
    <x v="0"/>
    <s v="HC"/>
    <m/>
    <m/>
    <s v="Trixie Antonino"/>
  </r>
  <r>
    <n v="2177"/>
    <s v="F2"/>
    <x v="76"/>
    <s v="IT06B12006"/>
    <s v="EF-DS-TBS Marketing &amp; Sales"/>
    <s v="G000001502"/>
    <s v="New"/>
    <x v="0"/>
    <x v="0"/>
    <s v="HC"/>
    <m/>
    <m/>
    <s v="Trixie Antonino"/>
  </r>
  <r>
    <n v="2178"/>
    <s v="F2"/>
    <x v="76"/>
    <s v="IT06B12007"/>
    <s v="EF-DS-TBW Web Capabilities"/>
    <s v="G000001503"/>
    <s v="New"/>
    <x v="0"/>
    <x v="0"/>
    <s v="HC"/>
    <m/>
    <m/>
    <s v="Trixie Antonino"/>
  </r>
  <r>
    <n v="2179"/>
    <s v="F2"/>
    <x v="76"/>
    <s v="IT06B13000"/>
    <s v="EF-DS-TI Integrated Entp Solutions"/>
    <s v="G000001505"/>
    <s v="New"/>
    <x v="0"/>
    <x v="0"/>
    <s v="HC"/>
    <m/>
    <m/>
    <s v="Trixie Antonino"/>
  </r>
  <r>
    <n v="2180"/>
    <s v="F2"/>
    <x v="76"/>
    <s v="IT06B13001"/>
    <s v="EF-DS-TIA ERP Architec &amp; Cross Services"/>
    <s v="G000001506"/>
    <s v="New"/>
    <x v="0"/>
    <x v="0"/>
    <s v="HC"/>
    <m/>
    <m/>
    <s v="Trixie Antonino"/>
  </r>
  <r>
    <n v="2181"/>
    <s v="F2"/>
    <x v="76"/>
    <s v="IT06B13002"/>
    <s v="EF-DS-TIC SAP Center of Competence"/>
    <s v="G000001507"/>
    <s v="New"/>
    <x v="0"/>
    <x v="0"/>
    <s v="HC"/>
    <m/>
    <m/>
    <s v="Trixie Antonino"/>
  </r>
  <r>
    <n v="2182"/>
    <s v="F2"/>
    <x v="76"/>
    <s v="IT06B13003"/>
    <s v="EF-DS-TID Data Migration &amp; Integration "/>
    <s v="G000001508"/>
    <s v="New"/>
    <x v="0"/>
    <x v="0"/>
    <s v="HC"/>
    <m/>
    <m/>
    <s v="Trixie Antonino"/>
  </r>
  <r>
    <n v="2183"/>
    <s v="F2"/>
    <x v="76"/>
    <s v="IT06B13004"/>
    <s v="EF-DS-TIE Enterprise Value Chain Apps"/>
    <s v="G000001509"/>
    <s v="New"/>
    <x v="0"/>
    <x v="0"/>
    <s v="HC"/>
    <m/>
    <m/>
    <s v="Trixie Antonino"/>
  </r>
  <r>
    <n v="2184"/>
    <s v="F2"/>
    <x v="76"/>
    <s v="IT06B13005"/>
    <s v="EF-DS-TIG Group Solutions"/>
    <s v="G000001510"/>
    <s v="New"/>
    <x v="0"/>
    <x v="0"/>
    <s v="HC"/>
    <m/>
    <m/>
    <s v="Trixie Antonino"/>
  </r>
  <r>
    <n v="2185"/>
    <s v="F2"/>
    <x v="76"/>
    <s v="IT06B13006"/>
    <s v="EF-DS-TIS Strategy Realization &amp; BTP"/>
    <s v="G000001511"/>
    <s v="New"/>
    <x v="0"/>
    <x v="0"/>
    <s v="HC"/>
    <m/>
    <m/>
    <s v="Trixie Antonino"/>
  </r>
  <r>
    <n v="2186"/>
    <s v="F2"/>
    <x v="76"/>
    <s v="IT06B14000"/>
    <s v="EF-DS-TE Entp Technology Platforms"/>
    <s v="G000001513"/>
    <s v="New"/>
    <x v="0"/>
    <x v="0"/>
    <s v="HC"/>
    <m/>
    <m/>
    <s v="Trixie Antonino"/>
  </r>
  <r>
    <n v="2187"/>
    <s v="F2"/>
    <x v="76"/>
    <s v="IT06B14001"/>
    <s v="EF-DS-TEA Platform Archi &amp; Automation"/>
    <s v="G000001514"/>
    <s v="New"/>
    <x v="0"/>
    <x v="0"/>
    <s v="HC"/>
    <m/>
    <m/>
    <s v="Trixie Antonino"/>
  </r>
  <r>
    <n v="2188"/>
    <s v="F2"/>
    <x v="76"/>
    <s v="IT06B14002"/>
    <s v="EF-DS-TEC Cloud Platforms"/>
    <s v="G000001515"/>
    <s v="New"/>
    <x v="0"/>
    <x v="0"/>
    <s v="HC"/>
    <m/>
    <m/>
    <s v="Trixie Antonino"/>
  </r>
  <r>
    <n v="2189"/>
    <s v="F2"/>
    <x v="76"/>
    <s v="IT06B14003"/>
    <s v="EF-DS-TED Database, Citrix &amp; Datacenter"/>
    <s v="G000001516"/>
    <s v="New"/>
    <x v="0"/>
    <x v="0"/>
    <s v="HC"/>
    <m/>
    <m/>
    <s v="Trixie Antonino"/>
  </r>
  <r>
    <n v="2190"/>
    <s v="F2"/>
    <x v="76"/>
    <s v="IT06B14004"/>
    <s v="EF-DS-TEE Edge Strategy"/>
    <s v="G000001517"/>
    <s v="New"/>
    <x v="0"/>
    <x v="0"/>
    <s v="HC"/>
    <m/>
    <m/>
    <s v="Trixie Antonino"/>
  </r>
  <r>
    <n v="2191"/>
    <s v="F2"/>
    <x v="76"/>
    <s v="IT06B14005"/>
    <s v="EF-DS-TEL Storage Backup &amp; Linux Unix"/>
    <s v="G000001518"/>
    <s v="New"/>
    <x v="0"/>
    <x v="0"/>
    <s v="HC"/>
    <m/>
    <m/>
    <s v="Trixie Antonino"/>
  </r>
  <r>
    <n v="2192"/>
    <s v="F2"/>
    <x v="76"/>
    <s v="IT06B14006"/>
    <s v="EF-DS-TEP Performance Management"/>
    <s v="G000001519"/>
    <s v="New"/>
    <x v="0"/>
    <x v="0"/>
    <s v="HC"/>
    <m/>
    <m/>
    <s v="Trixie Antonino"/>
  </r>
  <r>
    <n v="2193"/>
    <s v="F2"/>
    <x v="76"/>
    <s v="IT06B14007"/>
    <s v="EF-DS-TES Strategy Realization Office"/>
    <s v="G000001520"/>
    <s v="New"/>
    <x v="0"/>
    <x v="0"/>
    <s v="HC"/>
    <m/>
    <m/>
    <s v="Trixie Antonino"/>
  </r>
  <r>
    <n v="2194"/>
    <s v="F2"/>
    <x v="76"/>
    <s v="IT06B14008"/>
    <s v="EF-DS-TEW Windows &amp; Virtualization Plat"/>
    <s v="G000001521"/>
    <s v="New"/>
    <x v="0"/>
    <x v="0"/>
    <s v="HC"/>
    <m/>
    <m/>
    <s v="Trixie Antonino"/>
  </r>
  <r>
    <n v="2195"/>
    <s v="F2"/>
    <x v="76"/>
    <s v="IT06B15000"/>
    <s v="EF-DS-TN Entp Network &amp; Telecom Pl"/>
    <s v="G000001523"/>
    <s v="New"/>
    <x v="0"/>
    <x v="0"/>
    <s v="HC"/>
    <m/>
    <m/>
    <s v="Trixie Antonino"/>
  </r>
  <r>
    <n v="2196"/>
    <s v="F2"/>
    <x v="76"/>
    <s v="IT06B15001"/>
    <s v="EF-DS-TNA Network APAC"/>
    <s v="G000001524"/>
    <s v="New"/>
    <x v="0"/>
    <x v="0"/>
    <s v="HC"/>
    <m/>
    <m/>
    <s v="Trixie Antonino"/>
  </r>
  <r>
    <n v="2197"/>
    <s v="F2"/>
    <x v="76"/>
    <s v="IT06B15002"/>
    <s v="EF-DS-TND Global DC Network"/>
    <s v="G000001525"/>
    <s v="New"/>
    <x v="0"/>
    <x v="0"/>
    <s v="HC"/>
    <m/>
    <m/>
    <s v="Trixie Antonino"/>
  </r>
  <r>
    <n v="2198"/>
    <s v="F2"/>
    <x v="76"/>
    <s v="IT06B15003"/>
    <s v="EF-DS-TNE Network EMEA"/>
    <s v="G000001526"/>
    <s v="New"/>
    <x v="0"/>
    <x v="0"/>
    <s v="HC"/>
    <m/>
    <m/>
    <s v="Trixie Antonino"/>
  </r>
  <r>
    <n v="2199"/>
    <s v="F2"/>
    <x v="76"/>
    <s v="IT06B15004"/>
    <s v="EF-DS-TNG Network Germany"/>
    <s v="G000001527"/>
    <s v="New"/>
    <x v="0"/>
    <x v="0"/>
    <s v="HC"/>
    <m/>
    <m/>
    <s v="Trixie Antonino"/>
  </r>
  <r>
    <n v="2200"/>
    <s v="F2"/>
    <x v="76"/>
    <s v="IT06B15005"/>
    <s v="EF-DS-TNL LATAM NOC"/>
    <s v="G000001528"/>
    <s v="New"/>
    <x v="0"/>
    <x v="0"/>
    <s v="HC"/>
    <m/>
    <m/>
    <s v="Trixie Antonino"/>
  </r>
  <r>
    <n v="2201"/>
    <s v="F2"/>
    <x v="76"/>
    <s v="IT06B15006"/>
    <s v="EF-DS-TNN Network NASA"/>
    <s v="G000001529"/>
    <s v="New"/>
    <x v="0"/>
    <x v="0"/>
    <s v="HC"/>
    <m/>
    <m/>
    <s v="Trixie Antonino"/>
  </r>
  <r>
    <n v="2202"/>
    <s v="F2"/>
    <x v="76"/>
    <s v="IT06B15007"/>
    <s v="EF-DS-TNO Network Operations Center"/>
    <s v="G000001530"/>
    <s v="New"/>
    <x v="0"/>
    <x v="0"/>
    <s v="HC"/>
    <m/>
    <m/>
    <s v="Trixie Antonino"/>
  </r>
  <r>
    <n v="2203"/>
    <s v="F2"/>
    <x v="76"/>
    <s v="IT06B15008"/>
    <s v="EF-DS-TNT Telecommunications Platforms"/>
    <s v="G000001531"/>
    <s v="New"/>
    <x v="0"/>
    <x v="0"/>
    <s v="HC"/>
    <m/>
    <m/>
    <s v="Trixie Antonino"/>
  </r>
  <r>
    <n v="2204"/>
    <s v="F2"/>
    <x v="76"/>
    <s v="IT06B16000"/>
    <s v="EF-DS-TP Process, Portfolio &amp; Perform"/>
    <s v="G000001533"/>
    <s v="New"/>
    <x v="0"/>
    <x v="0"/>
    <s v="HC"/>
    <m/>
    <m/>
    <s v="Trixie Antonino"/>
  </r>
  <r>
    <n v="2205"/>
    <s v="F2"/>
    <x v="76"/>
    <s v="IT06B16001"/>
    <s v="EF-DS-TPC IT Compliance, Process &amp; Perf"/>
    <s v="G000001534"/>
    <s v="New"/>
    <x v="0"/>
    <x v="0"/>
    <s v="HC"/>
    <m/>
    <m/>
    <s v="Trixie Antonino"/>
  </r>
  <r>
    <n v="2206"/>
    <s v="F2"/>
    <x v="76"/>
    <s v="IT06B16002"/>
    <s v="EF-DS-TPD IT Demand Mgmt &amp; Solution Des"/>
    <s v="G000001535"/>
    <s v="New"/>
    <x v="0"/>
    <x v="0"/>
    <s v="HC"/>
    <m/>
    <m/>
    <s v="Trixie Antonino"/>
  </r>
  <r>
    <n v="2207"/>
    <s v="F2"/>
    <x v="76"/>
    <s v="IT06B16003"/>
    <s v="EF-DS-TPF IT Finance"/>
    <s v="G000001536"/>
    <s v="New"/>
    <x v="0"/>
    <x v="0"/>
    <s v="HC"/>
    <m/>
    <m/>
    <s v="Trixie Antonino"/>
  </r>
  <r>
    <n v="2208"/>
    <s v="F2"/>
    <x v="76"/>
    <s v="IT06B16004"/>
    <s v="EF-DS-TPP IT Project Delivery"/>
    <s v="G000001537"/>
    <s v="New"/>
    <x v="0"/>
    <x v="0"/>
    <s v="HC"/>
    <m/>
    <m/>
    <s v="Trixie Antonino"/>
  </r>
  <r>
    <n v="2209"/>
    <s v="F2"/>
    <x v="76"/>
    <s v="IT06B16005"/>
    <s v="EF-DS-TPR IT-I RUN"/>
    <s v="G000001538"/>
    <s v="New"/>
    <x v="0"/>
    <x v="0"/>
    <s v="HC"/>
    <m/>
    <m/>
    <s v="Trixie Antonino"/>
  </r>
  <r>
    <n v="2210"/>
    <s v="F2"/>
    <x v="76"/>
    <s v="IT06B17000"/>
    <s v="EF-DS-TT Technology Office"/>
    <s v="G000001540"/>
    <s v="New"/>
    <x v="0"/>
    <x v="0"/>
    <s v="HC"/>
    <m/>
    <m/>
    <s v="Trixie Antonino"/>
  </r>
  <r>
    <n v="2211"/>
    <s v="F2"/>
    <x v="76"/>
    <s v="IT06B17001"/>
    <s v="EF-DS-TTC Cyber Build"/>
    <s v="G000001541"/>
    <s v="New"/>
    <x v="0"/>
    <x v="0"/>
    <s v="HC"/>
    <m/>
    <m/>
    <s v="Trixie Antonino"/>
  </r>
  <r>
    <n v="2212"/>
    <s v="F2"/>
    <x v="76"/>
    <s v="IT06B17002"/>
    <s v="EF-DS-TTD DevOps"/>
    <s v="G000001542"/>
    <s v="New"/>
    <x v="0"/>
    <x v="0"/>
    <s v="HC"/>
    <m/>
    <m/>
    <s v="Trixie Antonino"/>
  </r>
  <r>
    <n v="2213"/>
    <s v="F2"/>
    <x v="76"/>
    <s v="IT06B17003"/>
    <s v="EF-DS-TTG GIAM"/>
    <s v="G000001543"/>
    <s v="New"/>
    <x v="0"/>
    <x v="0"/>
    <s v="HC"/>
    <m/>
    <m/>
    <s v="Trixie Antonino"/>
  </r>
  <r>
    <n v="2214"/>
    <s v="F2"/>
    <x v="76"/>
    <s v="IT06B17004"/>
    <s v="EF-DS-TTI InfoSec"/>
    <s v="G000001544"/>
    <s v="New"/>
    <x v="0"/>
    <x v="0"/>
    <s v="HC"/>
    <m/>
    <m/>
    <s v="Trixie Antonino"/>
  </r>
  <r>
    <n v="2215"/>
    <s v="F2"/>
    <x v="76"/>
    <s v="IT06B17005"/>
    <s v="EF-DS-TTS Directory Services"/>
    <s v="G000001545"/>
    <s v="New"/>
    <x v="0"/>
    <x v="0"/>
    <s v="HC"/>
    <m/>
    <m/>
    <s v="Trixie Antonino"/>
  </r>
  <r>
    <n v="2216"/>
    <s v="F2"/>
    <x v="76"/>
    <s v="IT06B18000"/>
    <s v="EF-DS-TW Digital Workplace"/>
    <s v="G000001547"/>
    <s v="New"/>
    <x v="0"/>
    <x v="0"/>
    <s v="HC"/>
    <m/>
    <m/>
    <s v="Trixie Antonino"/>
  </r>
  <r>
    <n v="2217"/>
    <s v="F2"/>
    <x v="76"/>
    <s v="IT06B18001"/>
    <s v="EF-DS-TWC Messaging &amp; Collaboration"/>
    <s v="G000001548"/>
    <s v="New"/>
    <x v="0"/>
    <x v="0"/>
    <s v="HC"/>
    <m/>
    <m/>
    <s v="Trixie Antonino"/>
  </r>
  <r>
    <n v="2218"/>
    <s v="F2"/>
    <x v="76"/>
    <s v="IT06B18002"/>
    <s v="EF-DS-TWD Digital Workplace Solutions"/>
    <s v="G000001549"/>
    <s v="New"/>
    <x v="0"/>
    <x v="0"/>
    <s v="HC"/>
    <m/>
    <m/>
    <s v="Trixie Antonino"/>
  </r>
  <r>
    <n v="2219"/>
    <s v="F2"/>
    <x v="76"/>
    <s v="IT06B18003"/>
    <s v="EF-DS-TWE Client Computing"/>
    <s v="G000001550"/>
    <s v="New"/>
    <x v="0"/>
    <x v="0"/>
    <s v="HC"/>
    <m/>
    <m/>
    <s v="Trixie Antonino"/>
  </r>
  <r>
    <n v="2220"/>
    <s v="F2"/>
    <x v="76"/>
    <s v="IT06B18004"/>
    <s v="EF-DS-TWM Enterprise Mobile Device Mgmt"/>
    <s v="G000001551"/>
    <s v="New"/>
    <x v="0"/>
    <x v="0"/>
    <s v="HC"/>
    <m/>
    <m/>
    <s v="Trixie Antonino"/>
  </r>
  <r>
    <n v="2221"/>
    <s v="F2"/>
    <x v="76"/>
    <s v="IT09060000"/>
    <s v="EF-DS-SC Cost, Cash &amp; Performance "/>
    <s v="G000001552"/>
    <s v="New"/>
    <x v="0"/>
    <x v="0"/>
    <s v="HC"/>
    <m/>
    <m/>
    <s v="Trixie Antonino"/>
  </r>
  <r>
    <n v="2222"/>
    <s v="F2"/>
    <x v="76"/>
    <s v="IT09060100"/>
    <s v="EF-DS-SCP Portfolio Management &amp; Project"/>
    <s v="G000001553"/>
    <s v="New"/>
    <x v="0"/>
    <x v="0"/>
    <s v="HC"/>
    <m/>
    <m/>
    <s v="Trixie Antonino"/>
  </r>
  <r>
    <n v="2223"/>
    <s v="F2"/>
    <x v="76"/>
    <s v="IT09060200"/>
    <s v="EF-DS-SCM Performance Management "/>
    <s v="G000001554"/>
    <s v="New"/>
    <x v="0"/>
    <x v="0"/>
    <s v="HC"/>
    <m/>
    <m/>
    <s v="Trixie Antonino"/>
  </r>
  <r>
    <n v="2224"/>
    <s v="F2"/>
    <x v="76"/>
    <s v="IT09060300"/>
    <s v="EF-DS-SCV Vendor Mgmt &amp; Cost Control"/>
    <s v="G000001555"/>
    <s v="New"/>
    <x v="0"/>
    <x v="0"/>
    <s v="HC"/>
    <m/>
    <m/>
    <s v="Trixie Antonino"/>
  </r>
  <r>
    <n v="2225"/>
    <s v="F2"/>
    <x v="76"/>
    <s v="IT09070000"/>
    <s v="EF-DS-ST Strategy &amp; Transformation"/>
    <s v="G000001557"/>
    <s v="New"/>
    <x v="0"/>
    <x v="0"/>
    <s v="HC"/>
    <m/>
    <m/>
    <s v="Trixie Antonino"/>
  </r>
  <r>
    <n v="2226"/>
    <s v="F2"/>
    <x v="76"/>
    <s v="IT09080000"/>
    <s v="EF-DS-SM MITC Office "/>
    <s v="G000001559"/>
    <s v="New"/>
    <x v="0"/>
    <x v="0"/>
    <s v="HC"/>
    <m/>
    <m/>
    <s v="Trixie Antonino"/>
  </r>
  <r>
    <n v="2227"/>
    <s v="F2"/>
    <x v="76"/>
    <s v="G000000730"/>
    <s v="EF-DS-SGT Continuity, Risk &amp; Control "/>
    <m/>
    <s v="Rename"/>
    <x v="0"/>
    <x v="0"/>
    <s v="HC"/>
    <m/>
    <m/>
    <s v="Trixie Antonino"/>
  </r>
  <r>
    <n v="2228"/>
    <s v="F2"/>
    <x v="76"/>
    <s v="G000000744"/>
    <s v="EF-DS-TX Special Topics"/>
    <m/>
    <s v="Rename"/>
    <x v="0"/>
    <x v="0"/>
    <s v="HC"/>
    <m/>
    <m/>
    <s v="Trixie Antonino"/>
  </r>
  <r>
    <n v="2229"/>
    <s v="F2"/>
    <x v="76"/>
    <s v="G000000785"/>
    <s v="EF-DS-SGA Audit &amp; Compliance "/>
    <m/>
    <s v="Rename"/>
    <x v="0"/>
    <x v="0"/>
    <s v="HC"/>
    <m/>
    <m/>
    <s v="Trixie Antonino"/>
  </r>
  <r>
    <n v="2230"/>
    <s v="F2"/>
    <x v="76"/>
    <s v="G000001381"/>
    <s v="EF-DS-S DES Strategy, Governance &amp; Trans"/>
    <m/>
    <s v="Rename"/>
    <x v="0"/>
    <x v="0"/>
    <s v="HC"/>
    <m/>
    <m/>
    <s v="Trixie Antonino"/>
  </r>
  <r>
    <n v="2231"/>
    <s v="F2"/>
    <x v="76"/>
    <s v="G000001421"/>
    <s v="EF-DS-SOY DES Communications"/>
    <m/>
    <s v="Rename"/>
    <x v="0"/>
    <x v="0"/>
    <s v="HC"/>
    <m/>
    <m/>
    <s v="Trixie Antonino"/>
  </r>
  <r>
    <n v="2232"/>
    <s v="F2"/>
    <x v="76"/>
    <s v="IT06090000"/>
    <s v="EF-DS-TX Special Topics"/>
    <m/>
    <s v="Rename"/>
    <x v="0"/>
    <x v="0"/>
    <s v="HC"/>
    <m/>
    <m/>
    <s v="Trixie Antonino"/>
  </r>
  <r>
    <n v="2233"/>
    <s v="F2"/>
    <x v="76"/>
    <s v="IT09020100"/>
    <s v="EF-DS-SGA Audit &amp; Compliance "/>
    <m/>
    <s v="Rename"/>
    <x v="0"/>
    <x v="0"/>
    <s v="HC"/>
    <m/>
    <m/>
    <s v="Trixie Antonino"/>
  </r>
  <r>
    <n v="2234"/>
    <s v="F2"/>
    <x v="76"/>
    <s v="IT09020500"/>
    <s v="EF-DS-SGT Continuity, Risk &amp; Control "/>
    <m/>
    <s v="Rename"/>
    <x v="0"/>
    <x v="0"/>
    <s v="HC"/>
    <m/>
    <m/>
    <s v="Trixie Antonino"/>
  </r>
  <r>
    <n v="2235"/>
    <s v="F2"/>
    <x v="76"/>
    <s v="IT09040300"/>
    <s v="EF-DS-SOY DES Communications"/>
    <m/>
    <s v="Rename"/>
    <x v="0"/>
    <x v="0"/>
    <s v="HC"/>
    <m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m/>
    <m/>
    <s v="Trixie Antonino"/>
  </r>
  <r>
    <n v="2237"/>
    <s v="F2"/>
    <x v="77"/>
    <s v="H000002159"/>
    <m/>
    <s v="O000000009"/>
    <s v="Remove"/>
    <x v="0"/>
    <x v="0"/>
    <s v="HC"/>
    <m/>
    <m/>
    <s v="Gearlene Joy Valenzuela"/>
  </r>
  <r>
    <n v="2238"/>
    <s v="F2"/>
    <x v="77"/>
    <s v="H000002160"/>
    <m/>
    <s v="O000000009"/>
    <s v="Remove"/>
    <x v="0"/>
    <x v="0"/>
    <s v="HC"/>
    <m/>
    <m/>
    <s v="Gearlene Joy Valenzuela"/>
  </r>
  <r>
    <n v="2239"/>
    <s v="F2"/>
    <x v="77"/>
    <s v="H000002161"/>
    <m/>
    <s v="O000000009"/>
    <s v="Remove"/>
    <x v="0"/>
    <x v="0"/>
    <s v="HC"/>
    <m/>
    <m/>
    <s v="Gearlene Joy Valenzuela"/>
  </r>
  <r>
    <n v="2240"/>
    <s v="F2"/>
    <x v="77"/>
    <s v="H000002162"/>
    <m/>
    <s v="O000000009"/>
    <s v="Remove"/>
    <x v="0"/>
    <x v="0"/>
    <s v="HC"/>
    <m/>
    <m/>
    <s v="Gearlene Joy Valenzuela"/>
  </r>
  <r>
    <n v="2241"/>
    <s v="F2"/>
    <x v="77"/>
    <s v="H000002163"/>
    <m/>
    <s v="O000000009"/>
    <s v="Remove"/>
    <x v="0"/>
    <x v="0"/>
    <s v="HC"/>
    <m/>
    <m/>
    <s v="Gearlene Joy Valenzuela"/>
  </r>
  <r>
    <n v="2242"/>
    <s v="F2"/>
    <x v="77"/>
    <s v="H000002164"/>
    <m/>
    <s v="O000000009"/>
    <s v="Remove"/>
    <x v="0"/>
    <x v="0"/>
    <s v="HC"/>
    <m/>
    <m/>
    <s v="Gearlene Joy Valenzuela"/>
  </r>
  <r>
    <n v="2243"/>
    <s v="F2"/>
    <x v="77"/>
    <s v="H000002165"/>
    <m/>
    <s v="O000000009"/>
    <s v="Remove"/>
    <x v="0"/>
    <x v="0"/>
    <s v="HC"/>
    <m/>
    <m/>
    <s v="Gearlene Joy Valenzuela"/>
  </r>
  <r>
    <n v="2244"/>
    <s v="F2"/>
    <x v="77"/>
    <s v="H000002166"/>
    <m/>
    <s v="O000000009"/>
    <s v="Remove"/>
    <x v="0"/>
    <x v="0"/>
    <s v="HC"/>
    <m/>
    <m/>
    <s v="Gearlene Joy Valenzuela"/>
  </r>
  <r>
    <n v="2245"/>
    <s v="F2"/>
    <x v="77"/>
    <s v="H000002167"/>
    <m/>
    <s v="O000000009"/>
    <s v="Remove"/>
    <x v="0"/>
    <x v="0"/>
    <s v="HC"/>
    <m/>
    <m/>
    <s v="Gearlene Joy Valenzuela"/>
  </r>
  <r>
    <n v="2246"/>
    <s v="F2"/>
    <x v="77"/>
    <s v="H000002168"/>
    <m/>
    <s v="O000000009"/>
    <s v="Remove"/>
    <x v="0"/>
    <x v="0"/>
    <s v="HC"/>
    <m/>
    <m/>
    <s v="Gearlene Joy Valenzuela"/>
  </r>
  <r>
    <n v="2247"/>
    <s v="F2"/>
    <x v="77"/>
    <s v="H000002169"/>
    <m/>
    <s v="O000000009"/>
    <s v="Remove"/>
    <x v="0"/>
    <x v="0"/>
    <s v="HC"/>
    <m/>
    <m/>
    <s v="Gearlene Joy Valenzuela"/>
  </r>
  <r>
    <n v="2248"/>
    <s v="F2"/>
    <x v="77"/>
    <s v="H000002170"/>
    <m/>
    <s v="O000000009"/>
    <s v="Remove"/>
    <x v="0"/>
    <x v="0"/>
    <s v="HC"/>
    <m/>
    <m/>
    <s v="Gearlene Joy Valenzuela"/>
  </r>
  <r>
    <n v="2249"/>
    <s v="F2"/>
    <x v="77"/>
    <s v="H000004675"/>
    <m/>
    <s v="O000000009"/>
    <s v="Remove"/>
    <x v="0"/>
    <x v="0"/>
    <s v="HC"/>
    <m/>
    <m/>
    <s v="Gearlene Joy Valenzuela"/>
  </r>
  <r>
    <n v="2250"/>
    <s v="F2"/>
    <x v="77"/>
    <s v="H000004676"/>
    <m/>
    <s v="O000000009"/>
    <s v="Remove"/>
    <x v="0"/>
    <x v="0"/>
    <s v="HC"/>
    <m/>
    <m/>
    <s v="Gearlene Joy Valenzuela"/>
  </r>
  <r>
    <n v="2251"/>
    <s v="F2"/>
    <x v="77"/>
    <s v="H000004677"/>
    <m/>
    <s v="O000000009"/>
    <s v="Remove"/>
    <x v="0"/>
    <x v="0"/>
    <s v="HC"/>
    <m/>
    <m/>
    <s v="Gearlene Joy Valenzuela"/>
  </r>
  <r>
    <n v="2252"/>
    <s v="F2"/>
    <x v="77"/>
    <s v="H000002172"/>
    <m/>
    <s v="O000000009"/>
    <s v="Remove"/>
    <x v="0"/>
    <x v="0"/>
    <s v="HC"/>
    <m/>
    <m/>
    <s v="Gearlene Joy Valenzuela"/>
  </r>
  <r>
    <n v="2253"/>
    <s v="F2"/>
    <x v="77"/>
    <s v="H000002173"/>
    <m/>
    <s v="O000000009"/>
    <s v="Remove"/>
    <x v="0"/>
    <x v="0"/>
    <s v="HC"/>
    <m/>
    <m/>
    <s v="Gearlene Joy Valenzuela"/>
  </r>
  <r>
    <n v="2254"/>
    <s v="F2"/>
    <x v="77"/>
    <s v="H000002174"/>
    <m/>
    <s v="O000000009"/>
    <s v="Remove"/>
    <x v="0"/>
    <x v="0"/>
    <s v="HC"/>
    <m/>
    <m/>
    <s v="Gearlene Joy Valenzuela"/>
  </r>
  <r>
    <n v="2255"/>
    <s v="F2"/>
    <x v="77"/>
    <s v="H000002175"/>
    <m/>
    <s v="O000000009"/>
    <s v="Remove"/>
    <x v="0"/>
    <x v="0"/>
    <s v="HC"/>
    <m/>
    <m/>
    <s v="Gearlene Joy Valenzuela"/>
  </r>
  <r>
    <n v="2256"/>
    <s v="F2"/>
    <x v="77"/>
    <s v="H000002176"/>
    <m/>
    <s v="O000000009"/>
    <s v="Remove"/>
    <x v="0"/>
    <x v="0"/>
    <s v="HC"/>
    <m/>
    <m/>
    <s v="Gearlene Joy Valenzuela"/>
  </r>
  <r>
    <n v="2257"/>
    <s v="F2"/>
    <x v="77"/>
    <s v="H000002177"/>
    <m/>
    <s v="O000000009"/>
    <s v="Remove"/>
    <x v="0"/>
    <x v="0"/>
    <s v="HC"/>
    <m/>
    <m/>
    <s v="Gearlene Joy Valenzuela"/>
  </r>
  <r>
    <n v="2258"/>
    <s v="F2"/>
    <x v="77"/>
    <s v="H000002178"/>
    <m/>
    <s v="O000000009"/>
    <s v="Remove"/>
    <x v="0"/>
    <x v="0"/>
    <s v="HC"/>
    <m/>
    <m/>
    <s v="Gearlene Joy Valenzuela"/>
  </r>
  <r>
    <n v="2259"/>
    <s v="F2"/>
    <x v="77"/>
    <s v="H000002179"/>
    <m/>
    <s v="O000000009"/>
    <s v="Remove"/>
    <x v="0"/>
    <x v="0"/>
    <s v="HC"/>
    <m/>
    <m/>
    <s v="Gearlene Joy Valenzuela"/>
  </r>
  <r>
    <n v="2260"/>
    <s v="F2"/>
    <x v="77"/>
    <s v="H000002180"/>
    <m/>
    <s v="O000000009"/>
    <s v="Remove"/>
    <x v="0"/>
    <x v="0"/>
    <s v="HC"/>
    <m/>
    <m/>
    <s v="Gearlene Joy Valenzuela"/>
  </r>
  <r>
    <n v="2261"/>
    <s v="F2"/>
    <x v="77"/>
    <s v="H000002181"/>
    <m/>
    <s v="O000000009"/>
    <s v="Remove"/>
    <x v="0"/>
    <x v="0"/>
    <s v="HC"/>
    <m/>
    <m/>
    <s v="Gearlene Joy Valenzuela"/>
  </r>
  <r>
    <n v="2262"/>
    <s v="F2"/>
    <x v="77"/>
    <s v="H000002182"/>
    <m/>
    <s v="O000000009"/>
    <s v="Remove"/>
    <x v="0"/>
    <x v="0"/>
    <s v="HC"/>
    <m/>
    <m/>
    <s v="Gearlene Joy Valenzuela"/>
  </r>
  <r>
    <n v="2263"/>
    <s v="F2"/>
    <x v="77"/>
    <s v="H000004684"/>
    <m/>
    <s v="O000000009"/>
    <s v="Remove"/>
    <x v="0"/>
    <x v="0"/>
    <s v="HC"/>
    <m/>
    <m/>
    <s v="Gearlene Joy Valenzuela"/>
  </r>
  <r>
    <n v="2264"/>
    <s v="F2"/>
    <x v="77"/>
    <s v="H000004686"/>
    <m/>
    <s v="O000000009"/>
    <s v="Remove"/>
    <x v="0"/>
    <x v="0"/>
    <s v="HC"/>
    <m/>
    <m/>
    <s v="Gearlene Joy Valenzuela"/>
  </r>
  <r>
    <n v="2265"/>
    <s v="F2"/>
    <x v="77"/>
    <s v="H000004687"/>
    <m/>
    <s v="O000000009"/>
    <s v="Remove"/>
    <x v="0"/>
    <x v="0"/>
    <s v="HC"/>
    <m/>
    <m/>
    <s v="Gearlene Joy Valenzuela"/>
  </r>
  <r>
    <n v="2266"/>
    <s v="F2"/>
    <x v="77"/>
    <s v="H000004688"/>
    <m/>
    <s v="O000000009"/>
    <s v="Remove"/>
    <x v="0"/>
    <x v="0"/>
    <s v="HC"/>
    <m/>
    <m/>
    <s v="Gearlene Joy Valenzuela"/>
  </r>
  <r>
    <n v="2267"/>
    <s v="F2"/>
    <x v="77"/>
    <s v="H000004689"/>
    <m/>
    <s v="O000000009"/>
    <s v="Remove"/>
    <x v="0"/>
    <x v="0"/>
    <s v="HC"/>
    <m/>
    <m/>
    <s v="Gearlene Joy Valenzuela"/>
  </r>
  <r>
    <n v="2268"/>
    <s v="F2"/>
    <x v="77"/>
    <s v="H000004690"/>
    <m/>
    <s v="O000000009"/>
    <s v="Remove"/>
    <x v="0"/>
    <x v="0"/>
    <s v="HC"/>
    <m/>
    <m/>
    <s v="Gearlene Joy Valenzuela"/>
  </r>
  <r>
    <n v="2269"/>
    <s v="F2"/>
    <x v="77"/>
    <s v="H000004691"/>
    <m/>
    <s v="O000000009"/>
    <s v="Remove"/>
    <x v="0"/>
    <x v="0"/>
    <s v="HC"/>
    <m/>
    <m/>
    <s v="Gearlene Joy Valenzuela"/>
  </r>
  <r>
    <n v="2270"/>
    <s v="F2"/>
    <x v="77"/>
    <s v="H000002185"/>
    <m/>
    <s v="O000000009"/>
    <s v="Remove"/>
    <x v="0"/>
    <x v="0"/>
    <s v="HC"/>
    <m/>
    <m/>
    <s v="Gearlene Joy Valenzuela"/>
  </r>
  <r>
    <n v="2271"/>
    <s v="F2"/>
    <x v="77"/>
    <s v="H000002186"/>
    <m/>
    <s v="O000000009"/>
    <s v="Remove"/>
    <x v="0"/>
    <x v="0"/>
    <s v="HC"/>
    <m/>
    <m/>
    <s v="Gearlene Joy Valenzuela"/>
  </r>
  <r>
    <n v="2272"/>
    <s v="F2"/>
    <x v="77"/>
    <s v="H000002187"/>
    <m/>
    <s v="O000000009"/>
    <s v="Remove"/>
    <x v="0"/>
    <x v="0"/>
    <s v="HC"/>
    <m/>
    <m/>
    <s v="Gearlene Joy Valenzuela"/>
  </r>
  <r>
    <n v="2273"/>
    <s v="F2"/>
    <x v="77"/>
    <s v="H000002188"/>
    <m/>
    <s v="O000000009"/>
    <s v="Remove"/>
    <x v="0"/>
    <x v="0"/>
    <s v="HC"/>
    <m/>
    <m/>
    <s v="Gearlene Joy Valenzuela"/>
  </r>
  <r>
    <n v="2274"/>
    <s v="F2"/>
    <x v="77"/>
    <s v="H000002189"/>
    <m/>
    <s v="O000000009"/>
    <s v="Remove"/>
    <x v="0"/>
    <x v="0"/>
    <s v="HC"/>
    <m/>
    <m/>
    <s v="Gearlene Joy Valenzuela"/>
  </r>
  <r>
    <n v="2275"/>
    <s v="F2"/>
    <x v="77"/>
    <s v="H000002190"/>
    <m/>
    <s v="O000000009"/>
    <s v="Remove"/>
    <x v="0"/>
    <x v="0"/>
    <s v="HC"/>
    <m/>
    <m/>
    <s v="Gearlene Joy Valenzuela"/>
  </r>
  <r>
    <n v="2276"/>
    <s v="F2"/>
    <x v="77"/>
    <s v="H000002191"/>
    <m/>
    <s v="O000000009"/>
    <s v="Remove"/>
    <x v="0"/>
    <x v="0"/>
    <s v="HC"/>
    <m/>
    <m/>
    <s v="Gearlene Joy Valenzuela"/>
  </r>
  <r>
    <n v="2277"/>
    <s v="F2"/>
    <x v="77"/>
    <s v="H000002192"/>
    <m/>
    <s v="O000000009"/>
    <s v="Remove"/>
    <x v="0"/>
    <x v="0"/>
    <s v="HC"/>
    <m/>
    <m/>
    <s v="Gearlene Joy Valenzuela"/>
  </r>
  <r>
    <n v="2278"/>
    <s v="F2"/>
    <x v="77"/>
    <s v="H000002229"/>
    <m/>
    <s v="O000000009"/>
    <s v="Remove"/>
    <x v="0"/>
    <x v="0"/>
    <s v="HC"/>
    <m/>
    <m/>
    <s v="Gearlene Joy Valenzuela"/>
  </r>
  <r>
    <n v="2279"/>
    <s v="F2"/>
    <x v="77"/>
    <s v="H000002230"/>
    <m/>
    <s v="O000000009"/>
    <s v="Remove"/>
    <x v="0"/>
    <x v="0"/>
    <s v="HC"/>
    <m/>
    <m/>
    <s v="Gearlene Joy Valenzuela"/>
  </r>
  <r>
    <n v="2280"/>
    <s v="F2"/>
    <x v="77"/>
    <s v="H000002231"/>
    <m/>
    <s v="O000000009"/>
    <s v="Remove"/>
    <x v="0"/>
    <x v="0"/>
    <s v="HC"/>
    <m/>
    <m/>
    <s v="Gearlene Joy Valenzuela"/>
  </r>
  <r>
    <n v="2281"/>
    <s v="F2"/>
    <x v="77"/>
    <s v="H000002232"/>
    <m/>
    <s v="O000000009"/>
    <s v="Remove"/>
    <x v="0"/>
    <x v="0"/>
    <s v="HC"/>
    <m/>
    <m/>
    <s v="Gearlene Joy Valenzuela"/>
  </r>
  <r>
    <n v="2282"/>
    <s v="F2"/>
    <x v="77"/>
    <s v="H000002234"/>
    <m/>
    <s v="O000000009"/>
    <s v="Remove"/>
    <x v="0"/>
    <x v="0"/>
    <s v="HC"/>
    <m/>
    <m/>
    <s v="Gearlene Joy Valenzuela"/>
  </r>
  <r>
    <n v="2283"/>
    <s v="F2"/>
    <x v="77"/>
    <s v="H000002236"/>
    <m/>
    <s v="O000000009"/>
    <s v="Remove"/>
    <x v="0"/>
    <x v="0"/>
    <s v="HC"/>
    <m/>
    <m/>
    <s v="Gearlene Joy Valenzuela"/>
  </r>
  <r>
    <n v="2284"/>
    <s v="F2"/>
    <x v="77"/>
    <s v="H000002238"/>
    <m/>
    <s v="O000000009"/>
    <s v="Remove"/>
    <x v="0"/>
    <x v="0"/>
    <s v="HC"/>
    <m/>
    <m/>
    <s v="Gearlene Joy Valenzuela"/>
  </r>
  <r>
    <n v="2285"/>
    <s v="F2"/>
    <x v="77"/>
    <s v="H000002240"/>
    <m/>
    <s v="O000000009"/>
    <s v="Remove"/>
    <x v="0"/>
    <x v="0"/>
    <s v="HC"/>
    <m/>
    <m/>
    <s v="Gearlene Joy Valenzuela"/>
  </r>
  <r>
    <n v="2286"/>
    <s v="F2"/>
    <x v="77"/>
    <s v="H000004715"/>
    <m/>
    <s v="O000000009"/>
    <s v="Remove"/>
    <x v="0"/>
    <x v="0"/>
    <s v="HC"/>
    <m/>
    <m/>
    <s v="Gearlene Joy Valenzuela"/>
  </r>
  <r>
    <n v="2287"/>
    <s v="F2"/>
    <x v="77"/>
    <s v="H000004716"/>
    <m/>
    <s v="O000000009"/>
    <s v="Remove"/>
    <x v="0"/>
    <x v="0"/>
    <s v="HC"/>
    <m/>
    <m/>
    <s v="Gearlene Joy Valenzuela"/>
  </r>
  <r>
    <n v="2288"/>
    <s v="F2"/>
    <x v="77"/>
    <s v="H000004717"/>
    <m/>
    <s v="O000000009"/>
    <s v="Remove"/>
    <x v="0"/>
    <x v="0"/>
    <s v="HC"/>
    <m/>
    <m/>
    <s v="Gearlene Joy Valenzuela"/>
  </r>
  <r>
    <n v="2289"/>
    <s v="F2"/>
    <x v="77"/>
    <s v="H000002243"/>
    <m/>
    <s v="O000000009"/>
    <s v="Remove"/>
    <x v="0"/>
    <x v="0"/>
    <s v="HC"/>
    <m/>
    <m/>
    <s v="Gearlene Joy Valenzuela"/>
  </r>
  <r>
    <n v="2290"/>
    <s v="F2"/>
    <x v="77"/>
    <s v="H000002245"/>
    <m/>
    <s v="O000000009"/>
    <s v="Remove"/>
    <x v="0"/>
    <x v="0"/>
    <s v="HC"/>
    <m/>
    <m/>
    <s v="Gearlene Joy Valenzuela"/>
  </r>
  <r>
    <n v="2291"/>
    <s v="F2"/>
    <x v="77"/>
    <s v="H000002248"/>
    <m/>
    <s v="O000000009"/>
    <s v="Remove"/>
    <x v="0"/>
    <x v="0"/>
    <s v="HC"/>
    <m/>
    <m/>
    <s v="Gearlene Joy Valenzuela"/>
  </r>
  <r>
    <n v="2292"/>
    <s v="F2"/>
    <x v="77"/>
    <s v="H000002249"/>
    <m/>
    <s v="O000000009"/>
    <s v="Remove"/>
    <x v="0"/>
    <x v="0"/>
    <s v="HC"/>
    <m/>
    <m/>
    <s v="Gearlene Joy Valenzuela"/>
  </r>
  <r>
    <n v="2293"/>
    <s v="F2"/>
    <x v="77"/>
    <s v="H000002252"/>
    <m/>
    <s v="O000000009"/>
    <s v="Remove"/>
    <x v="0"/>
    <x v="0"/>
    <s v="HC"/>
    <m/>
    <m/>
    <s v="Gearlene Joy Valenzuela"/>
  </r>
  <r>
    <n v="2294"/>
    <s v="F2"/>
    <x v="77"/>
    <s v="H000004724"/>
    <m/>
    <s v="O000000009"/>
    <s v="Remove"/>
    <x v="0"/>
    <x v="0"/>
    <s v="HC"/>
    <m/>
    <m/>
    <s v="Gearlene Joy Valenzuela"/>
  </r>
  <r>
    <n v="2295"/>
    <s v="F2"/>
    <x v="77"/>
    <s v="H000004726"/>
    <m/>
    <s v="O000000009"/>
    <s v="Remove"/>
    <x v="0"/>
    <x v="0"/>
    <s v="HC"/>
    <m/>
    <m/>
    <s v="Gearlene Joy Valenzuela"/>
  </r>
  <r>
    <n v="2296"/>
    <s v="F2"/>
    <x v="77"/>
    <s v="H000004727"/>
    <m/>
    <s v="O000000009"/>
    <s v="Remove"/>
    <x v="0"/>
    <x v="0"/>
    <s v="HC"/>
    <m/>
    <m/>
    <s v="Gearlene Joy Valenzuela"/>
  </r>
  <r>
    <n v="2297"/>
    <s v="F2"/>
    <x v="77"/>
    <s v="H000004728"/>
    <m/>
    <s v="O000000009"/>
    <s v="Remove"/>
    <x v="0"/>
    <x v="0"/>
    <s v="HC"/>
    <m/>
    <m/>
    <s v="Gearlene Joy Valenzuela"/>
  </r>
  <r>
    <n v="2298"/>
    <s v="F2"/>
    <x v="77"/>
    <s v="H000004729"/>
    <m/>
    <s v="O000000009"/>
    <s v="Remove"/>
    <x v="0"/>
    <x v="0"/>
    <s v="HC"/>
    <m/>
    <m/>
    <s v="Gearlene Joy Valenzuela"/>
  </r>
  <r>
    <n v="2299"/>
    <s v="F2"/>
    <x v="77"/>
    <s v="H000004730"/>
    <m/>
    <s v="O000000009"/>
    <s v="Remove"/>
    <x v="0"/>
    <x v="0"/>
    <s v="HC"/>
    <m/>
    <m/>
    <s v="Gearlene Joy Valenzuela"/>
  </r>
  <r>
    <n v="2300"/>
    <s v="F2"/>
    <x v="77"/>
    <s v="H000004731"/>
    <m/>
    <s v="O000000009"/>
    <s v="Remove"/>
    <x v="0"/>
    <x v="0"/>
    <s v="HC"/>
    <m/>
    <m/>
    <s v="Gearlene Joy Valenzuela"/>
  </r>
  <r>
    <n v="2301"/>
    <s v="F2"/>
    <x v="77"/>
    <s v="H000002254"/>
    <m/>
    <s v="O000000009"/>
    <s v="Remove"/>
    <x v="0"/>
    <x v="0"/>
    <s v="HC"/>
    <m/>
    <m/>
    <s v="Gearlene Joy Valenzuela"/>
  </r>
  <r>
    <n v="2302"/>
    <s v="F2"/>
    <x v="77"/>
    <s v="H000002255"/>
    <m/>
    <s v="O000000009"/>
    <s v="Remove"/>
    <x v="0"/>
    <x v="0"/>
    <s v="HC"/>
    <m/>
    <m/>
    <s v="Gearlene Joy Valenzuela"/>
  </r>
  <r>
    <n v="2303"/>
    <s v="F2"/>
    <x v="77"/>
    <s v="H000002256"/>
    <m/>
    <s v="O000000009"/>
    <s v="Remove"/>
    <x v="0"/>
    <x v="0"/>
    <s v="HC"/>
    <m/>
    <m/>
    <s v="Gearlene Joy Valenzuela"/>
  </r>
  <r>
    <n v="2304"/>
    <s v="F2"/>
    <x v="77"/>
    <s v="H000002257"/>
    <m/>
    <s v="O000000009"/>
    <s v="Remove"/>
    <x v="0"/>
    <x v="0"/>
    <s v="HC"/>
    <m/>
    <m/>
    <s v="Gearlene Joy Valenzuela"/>
  </r>
  <r>
    <n v="2305"/>
    <s v="F2"/>
    <x v="77"/>
    <s v="H000002258"/>
    <m/>
    <s v="O000000009"/>
    <s v="Remove"/>
    <x v="0"/>
    <x v="0"/>
    <s v="HC"/>
    <m/>
    <m/>
    <s v="Gearlene Joy Valenzuela"/>
  </r>
  <r>
    <n v="2306"/>
    <s v="F2"/>
    <x v="77"/>
    <s v="H000002259"/>
    <m/>
    <s v="O000000009"/>
    <s v="Remove"/>
    <x v="0"/>
    <x v="0"/>
    <s v="HC"/>
    <m/>
    <m/>
    <s v="Gearlene Joy Valenzuela"/>
  </r>
  <r>
    <n v="2307"/>
    <s v="F2"/>
    <x v="77"/>
    <s v="H000002260"/>
    <m/>
    <s v="O000000009"/>
    <s v="Remove"/>
    <x v="0"/>
    <x v="0"/>
    <s v="HC"/>
    <m/>
    <m/>
    <s v="Gearlene Joy Valenzuela"/>
  </r>
  <r>
    <n v="2308"/>
    <s v="F2"/>
    <x v="77"/>
    <s v="H000002261"/>
    <m/>
    <s v="O000000009"/>
    <s v="Remove"/>
    <x v="0"/>
    <x v="0"/>
    <s v="HC"/>
    <m/>
    <m/>
    <s v="Gearlene Joy Valenzuela"/>
  </r>
  <r>
    <n v="2309"/>
    <s v="F2"/>
    <x v="77"/>
    <s v="H000002373"/>
    <m/>
    <s v="O000000009"/>
    <s v="Remove"/>
    <x v="0"/>
    <x v="0"/>
    <s v="HC"/>
    <m/>
    <m/>
    <s v="Gearlene Joy Valenzuela"/>
  </r>
  <r>
    <n v="2310"/>
    <s v="F2"/>
    <x v="77"/>
    <s v="H000002374"/>
    <m/>
    <s v="O000000009"/>
    <s v="Remove"/>
    <x v="0"/>
    <x v="0"/>
    <s v="HC"/>
    <m/>
    <m/>
    <s v="Gearlene Joy Valenzuela"/>
  </r>
  <r>
    <n v="2311"/>
    <s v="F2"/>
    <x v="77"/>
    <s v="H000002375"/>
    <m/>
    <s v="O000000009"/>
    <s v="Remove"/>
    <x v="0"/>
    <x v="0"/>
    <s v="HC"/>
    <m/>
    <m/>
    <s v="Gearlene Joy Valenzuela"/>
  </r>
  <r>
    <n v="2312"/>
    <s v="F2"/>
    <x v="77"/>
    <s v="H000002376"/>
    <m/>
    <s v="O000000009"/>
    <s v="Remove"/>
    <x v="0"/>
    <x v="0"/>
    <s v="HC"/>
    <m/>
    <m/>
    <s v="Gearlene Joy Valenzuela"/>
  </r>
  <r>
    <n v="2313"/>
    <s v="F2"/>
    <x v="77"/>
    <s v="H000002377"/>
    <m/>
    <s v="O000000009"/>
    <s v="Remove"/>
    <x v="0"/>
    <x v="0"/>
    <s v="HC"/>
    <m/>
    <m/>
    <s v="Gearlene Joy Valenzuela"/>
  </r>
  <r>
    <n v="2314"/>
    <s v="F2"/>
    <x v="77"/>
    <s v="H000002378"/>
    <m/>
    <s v="O000000009"/>
    <s v="Remove"/>
    <x v="0"/>
    <x v="0"/>
    <s v="HC"/>
    <m/>
    <m/>
    <s v="Gearlene Joy Valenzuela"/>
  </r>
  <r>
    <n v="2315"/>
    <s v="F2"/>
    <x v="77"/>
    <s v="H000002379"/>
    <m/>
    <s v="O000000009"/>
    <s v="Remove"/>
    <x v="0"/>
    <x v="0"/>
    <s v="HC"/>
    <m/>
    <m/>
    <s v="Gearlene Joy Valenzuela"/>
  </r>
  <r>
    <n v="2316"/>
    <s v="F2"/>
    <x v="77"/>
    <s v="H000002380"/>
    <m/>
    <s v="O000000009"/>
    <s v="Remove"/>
    <x v="0"/>
    <x v="0"/>
    <s v="HC"/>
    <m/>
    <m/>
    <s v="Gearlene Joy Valenzuela"/>
  </r>
  <r>
    <n v="2317"/>
    <s v="F2"/>
    <x v="77"/>
    <s v="H000002381"/>
    <m/>
    <s v="O000000009"/>
    <s v="Remove"/>
    <x v="0"/>
    <x v="0"/>
    <s v="HC"/>
    <m/>
    <m/>
    <s v="Gearlene Joy Valenzuela"/>
  </r>
  <r>
    <n v="2318"/>
    <s v="F2"/>
    <x v="77"/>
    <s v="H000002382"/>
    <m/>
    <s v="O000000009"/>
    <s v="Remove"/>
    <x v="0"/>
    <x v="0"/>
    <s v="HC"/>
    <m/>
    <m/>
    <s v="Gearlene Joy Valenzuela"/>
  </r>
  <r>
    <n v="2319"/>
    <s v="F2"/>
    <x v="77"/>
    <s v="H000002383"/>
    <m/>
    <s v="O000000009"/>
    <s v="Remove"/>
    <x v="0"/>
    <x v="0"/>
    <s v="HC"/>
    <m/>
    <m/>
    <s v="Gearlene Joy Valenzuela"/>
  </r>
  <r>
    <n v="2320"/>
    <s v="F2"/>
    <x v="77"/>
    <s v="H000002384"/>
    <m/>
    <s v="O000000009"/>
    <s v="Remove"/>
    <x v="0"/>
    <x v="0"/>
    <s v="HC"/>
    <m/>
    <m/>
    <s v="Gearlene Joy Valenzuela"/>
  </r>
  <r>
    <n v="2321"/>
    <s v="F2"/>
    <x v="77"/>
    <s v="H000004735"/>
    <m/>
    <s v="O000000009"/>
    <s v="Remove"/>
    <x v="0"/>
    <x v="0"/>
    <s v="HC"/>
    <m/>
    <m/>
    <s v="Gearlene Joy Valenzuela"/>
  </r>
  <r>
    <n v="2322"/>
    <s v="F2"/>
    <x v="77"/>
    <s v="H000004736"/>
    <m/>
    <s v="O000000009"/>
    <s v="Remove"/>
    <x v="0"/>
    <x v="0"/>
    <s v="HC"/>
    <m/>
    <m/>
    <s v="Gearlene Joy Valenzuela"/>
  </r>
  <r>
    <n v="2323"/>
    <s v="F2"/>
    <x v="77"/>
    <s v="H000004737"/>
    <m/>
    <s v="O000000009"/>
    <s v="Remove"/>
    <x v="0"/>
    <x v="0"/>
    <s v="HC"/>
    <m/>
    <m/>
    <s v="Gearlene Joy Valenzuela"/>
  </r>
  <r>
    <n v="2324"/>
    <s v="F2"/>
    <x v="77"/>
    <s v="H000002386"/>
    <m/>
    <s v="O000000009"/>
    <s v="Remove"/>
    <x v="0"/>
    <x v="0"/>
    <s v="HC"/>
    <m/>
    <m/>
    <s v="Gearlene Joy Valenzuela"/>
  </r>
  <r>
    <n v="2325"/>
    <s v="F2"/>
    <x v="77"/>
    <s v="H000002387"/>
    <m/>
    <s v="O000000009"/>
    <s v="Remove"/>
    <x v="0"/>
    <x v="0"/>
    <s v="HC"/>
    <m/>
    <m/>
    <s v="Gearlene Joy Valenzuela"/>
  </r>
  <r>
    <n v="2326"/>
    <s v="F2"/>
    <x v="77"/>
    <s v="H000002388"/>
    <m/>
    <s v="O000000009"/>
    <s v="Remove"/>
    <x v="0"/>
    <x v="0"/>
    <s v="HC"/>
    <m/>
    <m/>
    <s v="Gearlene Joy Valenzuela"/>
  </r>
  <r>
    <n v="2327"/>
    <s v="F2"/>
    <x v="77"/>
    <s v="H000002389"/>
    <m/>
    <s v="O000000009"/>
    <s v="Remove"/>
    <x v="0"/>
    <x v="0"/>
    <s v="HC"/>
    <m/>
    <m/>
    <s v="Gearlene Joy Valenzuela"/>
  </r>
  <r>
    <n v="2328"/>
    <s v="F2"/>
    <x v="77"/>
    <s v="H000002390"/>
    <m/>
    <s v="O000000009"/>
    <s v="Remove"/>
    <x v="0"/>
    <x v="0"/>
    <s v="HC"/>
    <m/>
    <m/>
    <s v="Gearlene Joy Valenzuela"/>
  </r>
  <r>
    <n v="2329"/>
    <s v="F2"/>
    <x v="77"/>
    <s v="H000002391"/>
    <m/>
    <s v="O000000009"/>
    <s v="Remove"/>
    <x v="0"/>
    <x v="0"/>
    <s v="HC"/>
    <m/>
    <m/>
    <s v="Gearlene Joy Valenzuela"/>
  </r>
  <r>
    <n v="2330"/>
    <s v="F2"/>
    <x v="77"/>
    <s v="H000002392"/>
    <m/>
    <s v="O000000009"/>
    <s v="Remove"/>
    <x v="0"/>
    <x v="0"/>
    <s v="HC"/>
    <m/>
    <m/>
    <s v="Gearlene Joy Valenzuela"/>
  </r>
  <r>
    <n v="2331"/>
    <s v="F2"/>
    <x v="77"/>
    <s v="H000002393"/>
    <m/>
    <s v="O000000009"/>
    <s v="Remove"/>
    <x v="0"/>
    <x v="0"/>
    <s v="HC"/>
    <m/>
    <m/>
    <s v="Gearlene Joy Valenzuela"/>
  </r>
  <r>
    <n v="2332"/>
    <s v="F2"/>
    <x v="77"/>
    <s v="H000002396"/>
    <m/>
    <s v="O000000009"/>
    <s v="Remove"/>
    <x v="0"/>
    <x v="0"/>
    <s v="HC"/>
    <m/>
    <m/>
    <s v="Gearlene Joy Valenzuela"/>
  </r>
  <r>
    <n v="2333"/>
    <s v="F2"/>
    <x v="77"/>
    <s v="H000004744"/>
    <m/>
    <s v="O000000009"/>
    <s v="Remove"/>
    <x v="0"/>
    <x v="0"/>
    <s v="HC"/>
    <m/>
    <m/>
    <s v="Gearlene Joy Valenzuela"/>
  </r>
  <r>
    <n v="2334"/>
    <s v="F2"/>
    <x v="77"/>
    <s v="H000004746"/>
    <m/>
    <s v="O000000009"/>
    <s v="Remove"/>
    <x v="0"/>
    <x v="0"/>
    <s v="HC"/>
    <m/>
    <m/>
    <s v="Gearlene Joy Valenzuela"/>
  </r>
  <r>
    <n v="2335"/>
    <s v="F2"/>
    <x v="77"/>
    <s v="H000004747"/>
    <m/>
    <s v="O000000009"/>
    <s v="Remove"/>
    <x v="0"/>
    <x v="0"/>
    <s v="HC"/>
    <m/>
    <m/>
    <s v="Gearlene Joy Valenzuela"/>
  </r>
  <r>
    <n v="2336"/>
    <s v="F2"/>
    <x v="77"/>
    <s v="H000004748"/>
    <m/>
    <s v="O000000009"/>
    <s v="Remove"/>
    <x v="0"/>
    <x v="0"/>
    <s v="HC"/>
    <m/>
    <m/>
    <s v="Gearlene Joy Valenzuela"/>
  </r>
  <r>
    <n v="2337"/>
    <s v="F2"/>
    <x v="77"/>
    <s v="H000004749"/>
    <m/>
    <s v="O000000009"/>
    <s v="Remove"/>
    <x v="0"/>
    <x v="0"/>
    <s v="HC"/>
    <m/>
    <m/>
    <s v="Gearlene Joy Valenzuela"/>
  </r>
  <r>
    <n v="2338"/>
    <s v="F2"/>
    <x v="77"/>
    <s v="H000004750"/>
    <m/>
    <s v="O000000009"/>
    <s v="Remove"/>
    <x v="0"/>
    <x v="0"/>
    <s v="HC"/>
    <m/>
    <m/>
    <s v="Gearlene Joy Valenzuela"/>
  </r>
  <r>
    <n v="2339"/>
    <s v="F2"/>
    <x v="77"/>
    <s v="H000004751"/>
    <m/>
    <s v="O000000009"/>
    <s v="Remove"/>
    <x v="0"/>
    <x v="0"/>
    <s v="HC"/>
    <m/>
    <m/>
    <s v="Gearlene Joy Valenzuela"/>
  </r>
  <r>
    <n v="2340"/>
    <s v="F2"/>
    <x v="77"/>
    <s v="H000002398"/>
    <m/>
    <s v="O000000009"/>
    <s v="Remove"/>
    <x v="0"/>
    <x v="0"/>
    <s v="HC"/>
    <m/>
    <m/>
    <s v="Gearlene Joy Valenzuela"/>
  </r>
  <r>
    <n v="2341"/>
    <s v="F2"/>
    <x v="77"/>
    <s v="H000002399"/>
    <m/>
    <s v="O000000009"/>
    <s v="Remove"/>
    <x v="0"/>
    <x v="0"/>
    <s v="HC"/>
    <m/>
    <m/>
    <s v="Gearlene Joy Valenzuela"/>
  </r>
  <r>
    <n v="2342"/>
    <s v="F2"/>
    <x v="77"/>
    <s v="H000002400"/>
    <m/>
    <s v="O000000009"/>
    <s v="Remove"/>
    <x v="0"/>
    <x v="0"/>
    <s v="HC"/>
    <m/>
    <m/>
    <s v="Gearlene Joy Valenzuela"/>
  </r>
  <r>
    <n v="2343"/>
    <s v="F2"/>
    <x v="77"/>
    <s v="H000002401"/>
    <m/>
    <s v="O000000009"/>
    <s v="Remove"/>
    <x v="0"/>
    <x v="0"/>
    <s v="HC"/>
    <m/>
    <m/>
    <s v="Gearlene Joy Valenzuela"/>
  </r>
  <r>
    <n v="2344"/>
    <s v="F2"/>
    <x v="77"/>
    <s v="H000002402"/>
    <m/>
    <s v="O000000009"/>
    <s v="Remove"/>
    <x v="0"/>
    <x v="0"/>
    <s v="HC"/>
    <m/>
    <m/>
    <s v="Gearlene Joy Valenzuela"/>
  </r>
  <r>
    <n v="2345"/>
    <s v="F2"/>
    <x v="77"/>
    <s v="H000002403"/>
    <m/>
    <s v="O000000009"/>
    <s v="Remove"/>
    <x v="0"/>
    <x v="0"/>
    <s v="HC"/>
    <m/>
    <m/>
    <s v="Gearlene Joy Valenzuela"/>
  </r>
  <r>
    <n v="2346"/>
    <s v="F2"/>
    <x v="77"/>
    <s v="H000002404"/>
    <m/>
    <s v="O000000009"/>
    <s v="Remove"/>
    <x v="0"/>
    <x v="0"/>
    <s v="HC"/>
    <m/>
    <m/>
    <s v="Gearlene Joy Valenzuela"/>
  </r>
  <r>
    <n v="2347"/>
    <s v="F2"/>
    <x v="77"/>
    <s v="H000002405"/>
    <m/>
    <s v="O000000009"/>
    <s v="Remove"/>
    <x v="0"/>
    <x v="0"/>
    <s v="HC"/>
    <m/>
    <m/>
    <s v="Gearlene Joy Valenzuela"/>
  </r>
  <r>
    <n v="2348"/>
    <s v="F2"/>
    <x v="77"/>
    <s v="H000002408"/>
    <m/>
    <s v="O000000009"/>
    <s v="Remove"/>
    <x v="0"/>
    <x v="0"/>
    <s v="HC"/>
    <m/>
    <m/>
    <s v="Gearlene Joy Valenzuela"/>
  </r>
  <r>
    <n v="2349"/>
    <s v="F2"/>
    <x v="77"/>
    <s v="H000002409"/>
    <m/>
    <s v="O000000009"/>
    <s v="Remove"/>
    <x v="0"/>
    <x v="0"/>
    <s v="HC"/>
    <m/>
    <m/>
    <s v="Gearlene Joy Valenzuela"/>
  </r>
  <r>
    <n v="2350"/>
    <s v="F2"/>
    <x v="77"/>
    <s v="H000002410"/>
    <m/>
    <s v="O000000009"/>
    <s v="Remove"/>
    <x v="0"/>
    <x v="0"/>
    <s v="HC"/>
    <m/>
    <m/>
    <s v="Gearlene Joy Valenzuela"/>
  </r>
  <r>
    <n v="2351"/>
    <s v="F2"/>
    <x v="77"/>
    <s v="H000002411"/>
    <m/>
    <s v="O000000009"/>
    <s v="Remove"/>
    <x v="0"/>
    <x v="0"/>
    <s v="HC"/>
    <m/>
    <m/>
    <s v="Gearlene Joy Valenzuela"/>
  </r>
  <r>
    <n v="2352"/>
    <s v="F2"/>
    <x v="77"/>
    <s v="H000002414"/>
    <m/>
    <s v="O000000009"/>
    <s v="Remove"/>
    <x v="0"/>
    <x v="0"/>
    <s v="HC"/>
    <m/>
    <m/>
    <s v="Gearlene Joy Valenzuela"/>
  </r>
  <r>
    <n v="2353"/>
    <s v="F2"/>
    <x v="77"/>
    <s v="H000002415"/>
    <m/>
    <s v="O000000009"/>
    <s v="Remove"/>
    <x v="0"/>
    <x v="0"/>
    <s v="HC"/>
    <m/>
    <m/>
    <s v="Gearlene Joy Valenzuela"/>
  </r>
  <r>
    <n v="2354"/>
    <s v="F2"/>
    <x v="77"/>
    <s v="H000002418"/>
    <m/>
    <s v="O000000009"/>
    <s v="Remove"/>
    <x v="0"/>
    <x v="0"/>
    <s v="HC"/>
    <m/>
    <m/>
    <s v="Gearlene Joy Valenzuela"/>
  </r>
  <r>
    <n v="2355"/>
    <s v="F2"/>
    <x v="77"/>
    <s v="H000002419"/>
    <m/>
    <s v="O000000009"/>
    <s v="Remove"/>
    <x v="0"/>
    <x v="0"/>
    <s v="HC"/>
    <m/>
    <m/>
    <s v="Gearlene Joy Valenzuela"/>
  </r>
  <r>
    <n v="2356"/>
    <s v="F2"/>
    <x v="77"/>
    <s v="H000004695"/>
    <m/>
    <s v="O000000009"/>
    <s v="Remove"/>
    <x v="0"/>
    <x v="0"/>
    <s v="HC"/>
    <m/>
    <m/>
    <s v="Gearlene Joy Valenzuela"/>
  </r>
  <r>
    <n v="2357"/>
    <s v="F2"/>
    <x v="77"/>
    <s v="H000004696"/>
    <m/>
    <s v="O000000009"/>
    <s v="Remove"/>
    <x v="0"/>
    <x v="0"/>
    <s v="HC"/>
    <m/>
    <m/>
    <s v="Gearlene Joy Valenzuela"/>
  </r>
  <r>
    <n v="2358"/>
    <s v="F2"/>
    <x v="77"/>
    <s v="H000004697"/>
    <m/>
    <s v="O000000009"/>
    <s v="Remove"/>
    <x v="0"/>
    <x v="0"/>
    <s v="HC"/>
    <m/>
    <m/>
    <s v="Gearlene Joy Valenzuela"/>
  </r>
  <r>
    <n v="2359"/>
    <s v="F2"/>
    <x v="77"/>
    <s v="H000002423"/>
    <m/>
    <s v="O000000009"/>
    <s v="Remove"/>
    <x v="0"/>
    <x v="0"/>
    <s v="HC"/>
    <m/>
    <m/>
    <s v="Gearlene Joy Valenzuela"/>
  </r>
  <r>
    <n v="2360"/>
    <s v="F2"/>
    <x v="77"/>
    <s v="H000002424"/>
    <m/>
    <s v="O000000009"/>
    <s v="Remove"/>
    <x v="0"/>
    <x v="0"/>
    <s v="HC"/>
    <m/>
    <m/>
    <s v="Gearlene Joy Valenzuela"/>
  </r>
  <r>
    <n v="2361"/>
    <s v="F2"/>
    <x v="77"/>
    <s v="H000002427"/>
    <m/>
    <s v="O000000009"/>
    <s v="Remove"/>
    <x v="0"/>
    <x v="0"/>
    <s v="HC"/>
    <m/>
    <m/>
    <s v="Gearlene Joy Valenzuela"/>
  </r>
  <r>
    <n v="2362"/>
    <s v="F2"/>
    <x v="77"/>
    <s v="H000002428"/>
    <m/>
    <s v="O000000009"/>
    <s v="Remove"/>
    <x v="0"/>
    <x v="0"/>
    <s v="HC"/>
    <m/>
    <m/>
    <s v="Gearlene Joy Valenzuela"/>
  </r>
  <r>
    <n v="2363"/>
    <s v="F2"/>
    <x v="77"/>
    <s v="H000002431"/>
    <m/>
    <s v="O000000009"/>
    <s v="Remove"/>
    <x v="0"/>
    <x v="0"/>
    <s v="HC"/>
    <m/>
    <m/>
    <s v="Gearlene Joy Valenzuela"/>
  </r>
  <r>
    <n v="2364"/>
    <s v="F2"/>
    <x v="77"/>
    <s v="H000004704"/>
    <m/>
    <s v="O000000009"/>
    <s v="Remove"/>
    <x v="0"/>
    <x v="0"/>
    <s v="HC"/>
    <m/>
    <m/>
    <s v="Gearlene Joy Valenzuela"/>
  </r>
  <r>
    <n v="2365"/>
    <s v="F2"/>
    <x v="77"/>
    <s v="H000004706"/>
    <m/>
    <s v="O000000009"/>
    <s v="Remove"/>
    <x v="0"/>
    <x v="0"/>
    <s v="HC"/>
    <m/>
    <m/>
    <s v="Gearlene Joy Valenzuela"/>
  </r>
  <r>
    <n v="2366"/>
    <s v="F2"/>
    <x v="77"/>
    <s v="H000004707"/>
    <m/>
    <s v="O000000009"/>
    <s v="Remove"/>
    <x v="0"/>
    <x v="0"/>
    <s v="HC"/>
    <m/>
    <m/>
    <s v="Gearlene Joy Valenzuela"/>
  </r>
  <r>
    <n v="2367"/>
    <s v="F2"/>
    <x v="77"/>
    <s v="H000004708"/>
    <m/>
    <s v="O000000009"/>
    <s v="Remove"/>
    <x v="0"/>
    <x v="0"/>
    <s v="HC"/>
    <m/>
    <m/>
    <s v="Gearlene Joy Valenzuela"/>
  </r>
  <r>
    <n v="2368"/>
    <s v="F2"/>
    <x v="77"/>
    <s v="H000004709"/>
    <m/>
    <s v="O000000009"/>
    <s v="Remove"/>
    <x v="0"/>
    <x v="0"/>
    <s v="HC"/>
    <m/>
    <m/>
    <s v="Gearlene Joy Valenzuela"/>
  </r>
  <r>
    <n v="2369"/>
    <s v="F2"/>
    <x v="77"/>
    <s v="H000004710"/>
    <m/>
    <s v="O000000009"/>
    <s v="Remove"/>
    <x v="0"/>
    <x v="0"/>
    <s v="HC"/>
    <m/>
    <m/>
    <s v="Gearlene Joy Valenzuela"/>
  </r>
  <r>
    <n v="2370"/>
    <s v="F2"/>
    <x v="77"/>
    <s v="H000004711"/>
    <m/>
    <s v="O000000009"/>
    <s v="Remove"/>
    <x v="0"/>
    <x v="0"/>
    <s v="HC"/>
    <m/>
    <m/>
    <s v="Gearlene Joy Valenzuela"/>
  </r>
  <r>
    <n v="2371"/>
    <s v="F2"/>
    <x v="77"/>
    <s v="H000002434"/>
    <m/>
    <s v="O000000009"/>
    <s v="Remove"/>
    <x v="0"/>
    <x v="0"/>
    <s v="HC"/>
    <m/>
    <m/>
    <s v="Gearlene Joy Valenzuela"/>
  </r>
  <r>
    <n v="2372"/>
    <s v="F2"/>
    <x v="77"/>
    <s v="H000002436"/>
    <m/>
    <s v="O000000009"/>
    <s v="Remove"/>
    <x v="0"/>
    <x v="0"/>
    <s v="HC"/>
    <m/>
    <m/>
    <s v="Gearlene Joy Valenzuela"/>
  </r>
  <r>
    <n v="2373"/>
    <s v="F2"/>
    <x v="77"/>
    <s v="H000002437"/>
    <m/>
    <s v="O000000009"/>
    <s v="Remove"/>
    <x v="0"/>
    <x v="0"/>
    <s v="HC"/>
    <m/>
    <m/>
    <s v="Gearlene Joy Valenzuela"/>
  </r>
  <r>
    <n v="2374"/>
    <s v="F2"/>
    <x v="77"/>
    <s v="H000002438"/>
    <m/>
    <s v="O000000009"/>
    <s v="Remove"/>
    <x v="0"/>
    <x v="0"/>
    <s v="HC"/>
    <m/>
    <m/>
    <s v="Gearlene Joy Valenzuela"/>
  </r>
  <r>
    <n v="2375"/>
    <s v="F2"/>
    <x v="77"/>
    <s v="H000002439"/>
    <m/>
    <s v="O000000009"/>
    <s v="Remove"/>
    <x v="0"/>
    <x v="0"/>
    <s v="HC"/>
    <m/>
    <m/>
    <s v="Gearlene Joy Valenzuela"/>
  </r>
  <r>
    <n v="2376"/>
    <s v="F2"/>
    <x v="77"/>
    <s v="H000002440"/>
    <m/>
    <s v="O000000009"/>
    <s v="Remove"/>
    <x v="0"/>
    <x v="0"/>
    <s v="HC"/>
    <m/>
    <m/>
    <s v="Gearlene Joy Valenzuela"/>
  </r>
  <r>
    <n v="2377"/>
    <s v="F2"/>
    <x v="77"/>
    <s v="H000002441"/>
    <m/>
    <s v="O000000009"/>
    <s v="Remove"/>
    <x v="0"/>
    <x v="0"/>
    <s v="HC"/>
    <m/>
    <m/>
    <s v="Gearlene Joy Valenzuela"/>
  </r>
  <r>
    <n v="2378"/>
    <s v="F2"/>
    <x v="77"/>
    <s v="H000002193"/>
    <m/>
    <s v="O000000009"/>
    <s v="Remove"/>
    <x v="0"/>
    <x v="0"/>
    <s v="HC"/>
    <m/>
    <m/>
    <s v="Gearlene Joy Valenzuela"/>
  </r>
  <r>
    <n v="2379"/>
    <s v="F2"/>
    <x v="77"/>
    <s v="H000002194"/>
    <m/>
    <s v="O000000009"/>
    <s v="Remove"/>
    <x v="0"/>
    <x v="0"/>
    <s v="HC"/>
    <m/>
    <m/>
    <s v="Gearlene Joy Valenzuela"/>
  </r>
  <r>
    <n v="2380"/>
    <s v="F2"/>
    <x v="77"/>
    <s v="H000002195"/>
    <m/>
    <s v="O000000009"/>
    <s v="Remove"/>
    <x v="0"/>
    <x v="0"/>
    <s v="HC"/>
    <m/>
    <m/>
    <s v="Gearlene Joy Valenzuela"/>
  </r>
  <r>
    <n v="2381"/>
    <s v="F2"/>
    <x v="77"/>
    <s v="H000002196"/>
    <m/>
    <s v="O000000009"/>
    <s v="Remove"/>
    <x v="0"/>
    <x v="0"/>
    <s v="HC"/>
    <m/>
    <m/>
    <s v="Gearlene Joy Valenzuela"/>
  </r>
  <r>
    <n v="2382"/>
    <s v="F2"/>
    <x v="77"/>
    <s v="H000002197"/>
    <m/>
    <s v="O000000009"/>
    <s v="Remove"/>
    <x v="0"/>
    <x v="0"/>
    <s v="HC"/>
    <m/>
    <m/>
    <s v="Gearlene Joy Valenzuela"/>
  </r>
  <r>
    <n v="2383"/>
    <s v="F2"/>
    <x v="77"/>
    <s v="H000002198"/>
    <m/>
    <s v="O000000009"/>
    <s v="Remove"/>
    <x v="0"/>
    <x v="0"/>
    <s v="HC"/>
    <m/>
    <m/>
    <s v="Gearlene Joy Valenzuela"/>
  </r>
  <r>
    <n v="2384"/>
    <s v="F2"/>
    <x v="77"/>
    <s v="H000002199"/>
    <m/>
    <s v="O000000009"/>
    <s v="Remove"/>
    <x v="0"/>
    <x v="0"/>
    <s v="HC"/>
    <m/>
    <m/>
    <s v="Gearlene Joy Valenzuela"/>
  </r>
  <r>
    <n v="2385"/>
    <s v="F2"/>
    <x v="77"/>
    <s v="H000002200"/>
    <m/>
    <s v="O000000009"/>
    <s v="Remove"/>
    <x v="0"/>
    <x v="0"/>
    <s v="HC"/>
    <m/>
    <m/>
    <s v="Gearlene Joy Valenzuela"/>
  </r>
  <r>
    <n v="2386"/>
    <s v="F2"/>
    <x v="77"/>
    <s v="H000002201"/>
    <m/>
    <s v="O000000009"/>
    <s v="Remove"/>
    <x v="0"/>
    <x v="0"/>
    <s v="HC"/>
    <m/>
    <m/>
    <s v="Gearlene Joy Valenzuela"/>
  </r>
  <r>
    <n v="2387"/>
    <s v="F2"/>
    <x v="77"/>
    <s v="H000002202"/>
    <m/>
    <s v="O000000009"/>
    <s v="Remove"/>
    <x v="0"/>
    <x v="0"/>
    <s v="HC"/>
    <m/>
    <m/>
    <s v="Gearlene Joy Valenzuela"/>
  </r>
  <r>
    <n v="2388"/>
    <s v="F2"/>
    <x v="77"/>
    <s v="H000002203"/>
    <m/>
    <s v="O000000009"/>
    <s v="Remove"/>
    <x v="0"/>
    <x v="0"/>
    <s v="HC"/>
    <m/>
    <m/>
    <s v="Gearlene Joy Valenzuela"/>
  </r>
  <r>
    <n v="2389"/>
    <s v="F2"/>
    <x v="77"/>
    <s v="H000002204"/>
    <m/>
    <s v="O000000009"/>
    <s v="Remove"/>
    <x v="0"/>
    <x v="0"/>
    <s v="HC"/>
    <m/>
    <m/>
    <s v="Gearlene Joy Valenzuela"/>
  </r>
  <r>
    <n v="2390"/>
    <s v="F2"/>
    <x v="77"/>
    <s v="H000002205"/>
    <m/>
    <s v="O000000009"/>
    <s v="Remove"/>
    <x v="0"/>
    <x v="0"/>
    <s v="HC"/>
    <m/>
    <m/>
    <s v="Gearlene Joy Valenzuela"/>
  </r>
  <r>
    <n v="2391"/>
    <s v="F2"/>
    <x v="77"/>
    <s v="H000002206"/>
    <m/>
    <s v="O000000009"/>
    <s v="Remove"/>
    <x v="0"/>
    <x v="0"/>
    <s v="HC"/>
    <m/>
    <m/>
    <s v="Gearlene Joy Valenzuela"/>
  </r>
  <r>
    <n v="2392"/>
    <s v="F2"/>
    <x v="77"/>
    <s v="H000002207"/>
    <m/>
    <s v="O000000009"/>
    <s v="Remove"/>
    <x v="0"/>
    <x v="0"/>
    <s v="HC"/>
    <m/>
    <m/>
    <s v="Gearlene Joy Valenzuela"/>
  </r>
  <r>
    <n v="2393"/>
    <s v="F2"/>
    <x v="77"/>
    <s v="H000002208"/>
    <m/>
    <s v="O000000009"/>
    <s v="Remove"/>
    <x v="0"/>
    <x v="0"/>
    <s v="HC"/>
    <m/>
    <m/>
    <s v="Gearlene Joy Valenzuela"/>
  </r>
  <r>
    <n v="2394"/>
    <s v="F2"/>
    <x v="77"/>
    <s v="H000002209"/>
    <m/>
    <s v="O000000009"/>
    <s v="Remove"/>
    <x v="0"/>
    <x v="0"/>
    <s v="HC"/>
    <m/>
    <m/>
    <s v="Gearlene Joy Valenzuela"/>
  </r>
  <r>
    <n v="2395"/>
    <s v="F2"/>
    <x v="77"/>
    <s v="H000002210"/>
    <m/>
    <s v="O000000009"/>
    <s v="Remove"/>
    <x v="0"/>
    <x v="0"/>
    <s v="HC"/>
    <m/>
    <m/>
    <s v="Gearlene Joy Valenzuela"/>
  </r>
  <r>
    <n v="2396"/>
    <s v="F2"/>
    <x v="77"/>
    <s v="H000002211"/>
    <m/>
    <s v="O000000009"/>
    <s v="Remove"/>
    <x v="0"/>
    <x v="0"/>
    <s v="HC"/>
    <m/>
    <m/>
    <s v="Gearlene Joy Valenzuela"/>
  </r>
  <r>
    <n v="2397"/>
    <s v="F2"/>
    <x v="77"/>
    <s v="H000002212"/>
    <m/>
    <s v="O000000009"/>
    <s v="Remove"/>
    <x v="0"/>
    <x v="0"/>
    <s v="HC"/>
    <m/>
    <m/>
    <s v="Gearlene Joy Valenzuela"/>
  </r>
  <r>
    <n v="2398"/>
    <s v="F2"/>
    <x v="77"/>
    <s v="H000002213"/>
    <m/>
    <s v="O000000009"/>
    <s v="Remove"/>
    <x v="0"/>
    <x v="0"/>
    <s v="HC"/>
    <m/>
    <m/>
    <s v="Gearlene Joy Valenzuela"/>
  </r>
  <r>
    <n v="2399"/>
    <s v="F2"/>
    <x v="77"/>
    <s v="H000002214"/>
    <m/>
    <s v="O000000009"/>
    <s v="Remove"/>
    <x v="0"/>
    <x v="0"/>
    <s v="HC"/>
    <m/>
    <m/>
    <s v="Gearlene Joy Valenzuela"/>
  </r>
  <r>
    <n v="2400"/>
    <s v="F2"/>
    <x v="77"/>
    <s v="H000002215"/>
    <m/>
    <s v="O000000009"/>
    <s v="Remove"/>
    <x v="0"/>
    <x v="0"/>
    <s v="HC"/>
    <m/>
    <m/>
    <s v="Gearlene Joy Valenzuela"/>
  </r>
  <r>
    <n v="2401"/>
    <s v="F2"/>
    <x v="77"/>
    <s v="H000002216"/>
    <m/>
    <s v="O000000009"/>
    <s v="Remove"/>
    <x v="0"/>
    <x v="0"/>
    <s v="HC"/>
    <m/>
    <m/>
    <s v="Gearlene Joy Valenzuela"/>
  </r>
  <r>
    <n v="2402"/>
    <s v="F2"/>
    <x v="77"/>
    <s v="H000002217"/>
    <m/>
    <s v="O000000009"/>
    <s v="Remove"/>
    <x v="0"/>
    <x v="0"/>
    <s v="HC"/>
    <m/>
    <m/>
    <s v="Gearlene Joy Valenzuela"/>
  </r>
  <r>
    <n v="2403"/>
    <s v="F2"/>
    <x v="77"/>
    <s v="H000002218"/>
    <m/>
    <s v="O000000009"/>
    <s v="Remove"/>
    <x v="0"/>
    <x v="0"/>
    <s v="HC"/>
    <m/>
    <m/>
    <s v="Gearlene Joy Valenzuela"/>
  </r>
  <r>
    <n v="2404"/>
    <s v="F2"/>
    <x v="77"/>
    <s v="H000002219"/>
    <m/>
    <s v="O000000009"/>
    <s v="Remove"/>
    <x v="0"/>
    <x v="0"/>
    <s v="HC"/>
    <m/>
    <m/>
    <s v="Gearlene Joy Valenzuela"/>
  </r>
  <r>
    <n v="2405"/>
    <s v="F2"/>
    <x v="77"/>
    <s v="H000002220"/>
    <m/>
    <s v="O000000009"/>
    <s v="Remove"/>
    <x v="0"/>
    <x v="0"/>
    <s v="HC"/>
    <m/>
    <m/>
    <s v="Gearlene Joy Valenzuela"/>
  </r>
  <r>
    <n v="2406"/>
    <s v="F2"/>
    <x v="77"/>
    <s v="H000002221"/>
    <m/>
    <s v="O000000009"/>
    <s v="Remove"/>
    <x v="0"/>
    <x v="0"/>
    <s v="HC"/>
    <m/>
    <m/>
    <s v="Gearlene Joy Valenzuela"/>
  </r>
  <r>
    <n v="2407"/>
    <s v="F2"/>
    <x v="77"/>
    <s v="H000002222"/>
    <m/>
    <s v="O000000009"/>
    <s v="Remove"/>
    <x v="0"/>
    <x v="0"/>
    <s v="HC"/>
    <m/>
    <m/>
    <s v="Gearlene Joy Valenzuela"/>
  </r>
  <r>
    <n v="2408"/>
    <s v="F2"/>
    <x v="77"/>
    <s v="H000002223"/>
    <m/>
    <s v="O000000009"/>
    <s v="Remove"/>
    <x v="0"/>
    <x v="0"/>
    <s v="HC"/>
    <m/>
    <m/>
    <s v="Gearlene Joy Valenzuela"/>
  </r>
  <r>
    <n v="2409"/>
    <s v="F2"/>
    <x v="77"/>
    <s v="H000002224"/>
    <m/>
    <s v="O000000009"/>
    <s v="Remove"/>
    <x v="0"/>
    <x v="0"/>
    <s v="HC"/>
    <m/>
    <m/>
    <s v="Gearlene Joy Valenzuela"/>
  </r>
  <r>
    <n v="2410"/>
    <s v="F2"/>
    <x v="77"/>
    <s v="H000002225"/>
    <m/>
    <s v="O000000009"/>
    <s v="Remove"/>
    <x v="0"/>
    <x v="0"/>
    <s v="HC"/>
    <m/>
    <m/>
    <s v="Gearlene Joy Valenzuela"/>
  </r>
  <r>
    <n v="2411"/>
    <s v="F2"/>
    <x v="77"/>
    <s v="H000002226"/>
    <m/>
    <s v="O000000009"/>
    <s v="Remove"/>
    <x v="0"/>
    <x v="0"/>
    <s v="HC"/>
    <m/>
    <m/>
    <s v="Gearlene Joy Valenzuela"/>
  </r>
  <r>
    <n v="2412"/>
    <s v="F2"/>
    <x v="77"/>
    <s v="H000002227"/>
    <m/>
    <s v="O000000009"/>
    <s v="Remove"/>
    <x v="0"/>
    <x v="0"/>
    <s v="HC"/>
    <m/>
    <m/>
    <s v="Gearlene Joy Valenzuela"/>
  </r>
  <r>
    <n v="2413"/>
    <s v="F2"/>
    <x v="77"/>
    <s v="H000002338"/>
    <m/>
    <s v="O000000009"/>
    <s v="Remove"/>
    <x v="0"/>
    <x v="0"/>
    <s v="HC"/>
    <m/>
    <m/>
    <s v="Gearlene Joy Valenzuela"/>
  </r>
  <r>
    <n v="2414"/>
    <s v="F2"/>
    <x v="77"/>
    <s v="H000002339"/>
    <m/>
    <s v="O000000009"/>
    <s v="Remove"/>
    <x v="0"/>
    <x v="0"/>
    <s v="HC"/>
    <m/>
    <m/>
    <s v="Gearlene Joy Valenzuela"/>
  </r>
  <r>
    <n v="2415"/>
    <s v="F2"/>
    <x v="77"/>
    <s v="H000002340"/>
    <m/>
    <s v="O000000009"/>
    <s v="Remove"/>
    <x v="0"/>
    <x v="0"/>
    <s v="HC"/>
    <m/>
    <m/>
    <s v="Gearlene Joy Valenzuela"/>
  </r>
  <r>
    <n v="2416"/>
    <s v="F2"/>
    <x v="77"/>
    <s v="H000002341"/>
    <m/>
    <s v="O000000009"/>
    <s v="Remove"/>
    <x v="0"/>
    <x v="0"/>
    <s v="HC"/>
    <m/>
    <m/>
    <s v="Gearlene Joy Valenzuela"/>
  </r>
  <r>
    <n v="2417"/>
    <s v="F2"/>
    <x v="77"/>
    <s v="H000002344"/>
    <m/>
    <s v="O000000009"/>
    <s v="Remove"/>
    <x v="0"/>
    <x v="0"/>
    <s v="HC"/>
    <m/>
    <m/>
    <s v="Gearlene Joy Valenzuela"/>
  </r>
  <r>
    <n v="2418"/>
    <s v="F2"/>
    <x v="77"/>
    <s v="H000002345"/>
    <m/>
    <s v="O000000009"/>
    <s v="Remove"/>
    <x v="0"/>
    <x v="0"/>
    <s v="HC"/>
    <m/>
    <m/>
    <s v="Gearlene Joy Valenzuela"/>
  </r>
  <r>
    <n v="2419"/>
    <s v="F2"/>
    <x v="77"/>
    <s v="H000002346"/>
    <m/>
    <s v="O000000009"/>
    <s v="Remove"/>
    <x v="0"/>
    <x v="0"/>
    <s v="HC"/>
    <m/>
    <m/>
    <s v="Gearlene Joy Valenzuela"/>
  </r>
  <r>
    <n v="2420"/>
    <s v="F2"/>
    <x v="77"/>
    <s v="H000002347"/>
    <m/>
    <s v="O000000009"/>
    <s v="Remove"/>
    <x v="0"/>
    <x v="0"/>
    <s v="HC"/>
    <m/>
    <m/>
    <s v="Gearlene Joy Valenzuela"/>
  </r>
  <r>
    <n v="2421"/>
    <s v="F2"/>
    <x v="77"/>
    <s v="H000002348"/>
    <m/>
    <s v="O000000009"/>
    <s v="Remove"/>
    <x v="0"/>
    <x v="0"/>
    <s v="HC"/>
    <m/>
    <m/>
    <s v="Gearlene Joy Valenzuela"/>
  </r>
  <r>
    <n v="2422"/>
    <s v="F2"/>
    <x v="77"/>
    <s v="H000002349"/>
    <m/>
    <s v="O000000009"/>
    <s v="Remove"/>
    <x v="0"/>
    <x v="0"/>
    <s v="HC"/>
    <m/>
    <m/>
    <s v="Gearlene Joy Valenzuela"/>
  </r>
  <r>
    <n v="2423"/>
    <s v="F2"/>
    <x v="77"/>
    <s v="H000002351"/>
    <m/>
    <s v="O000000009"/>
    <s v="Remove"/>
    <x v="0"/>
    <x v="0"/>
    <s v="HC"/>
    <m/>
    <m/>
    <s v="Gearlene Joy Valenzuela"/>
  </r>
  <r>
    <n v="2424"/>
    <s v="F2"/>
    <x v="77"/>
    <s v="H000002352"/>
    <m/>
    <s v="O000000009"/>
    <s v="Remove"/>
    <x v="0"/>
    <x v="0"/>
    <s v="HC"/>
    <m/>
    <m/>
    <s v="Gearlene Joy Valenzuela"/>
  </r>
  <r>
    <n v="2425"/>
    <s v="F2"/>
    <x v="77"/>
    <s v="H000002353"/>
    <m/>
    <s v="O000000009"/>
    <s v="Remove"/>
    <x v="0"/>
    <x v="0"/>
    <s v="HC"/>
    <m/>
    <m/>
    <s v="Gearlene Joy Valenzuela"/>
  </r>
  <r>
    <n v="2426"/>
    <s v="F2"/>
    <x v="77"/>
    <s v="H000002354"/>
    <m/>
    <s v="O000000009"/>
    <s v="Remove"/>
    <x v="0"/>
    <x v="0"/>
    <s v="HC"/>
    <m/>
    <m/>
    <s v="Gearlene Joy Valenzuela"/>
  </r>
  <r>
    <n v="2427"/>
    <s v="F2"/>
    <x v="77"/>
    <s v="H000002355"/>
    <m/>
    <s v="O000000009"/>
    <s v="Remove"/>
    <x v="0"/>
    <x v="0"/>
    <s v="HC"/>
    <m/>
    <m/>
    <s v="Gearlene Joy Valenzuela"/>
  </r>
  <r>
    <n v="2428"/>
    <s v="F2"/>
    <x v="77"/>
    <s v="H000002356"/>
    <m/>
    <s v="O000000009"/>
    <s v="Remove"/>
    <x v="0"/>
    <x v="0"/>
    <s v="HC"/>
    <m/>
    <m/>
    <s v="Gearlene Joy Valenzuela"/>
  </r>
  <r>
    <n v="2429"/>
    <s v="F2"/>
    <x v="77"/>
    <s v="H000002357"/>
    <m/>
    <s v="O000000009"/>
    <s v="Remove"/>
    <x v="0"/>
    <x v="0"/>
    <s v="HC"/>
    <m/>
    <m/>
    <s v="Gearlene Joy Valenzuela"/>
  </r>
  <r>
    <n v="2430"/>
    <s v="F2"/>
    <x v="77"/>
    <s v="H000002358"/>
    <m/>
    <s v="O000000009"/>
    <s v="Remove"/>
    <x v="0"/>
    <x v="0"/>
    <s v="HC"/>
    <m/>
    <m/>
    <s v="Gearlene Joy Valenzuela"/>
  </r>
  <r>
    <n v="2431"/>
    <s v="F2"/>
    <x v="77"/>
    <s v="H000002359"/>
    <m/>
    <s v="O000000009"/>
    <s v="Remove"/>
    <x v="0"/>
    <x v="0"/>
    <s v="HC"/>
    <m/>
    <m/>
    <s v="Gearlene Joy Valenzuela"/>
  </r>
  <r>
    <n v="2432"/>
    <s v="F2"/>
    <x v="77"/>
    <s v="H000002360"/>
    <m/>
    <s v="O000000009"/>
    <s v="Remove"/>
    <x v="0"/>
    <x v="0"/>
    <s v="HC"/>
    <m/>
    <m/>
    <s v="Gearlene Joy Valenzuela"/>
  </r>
  <r>
    <n v="2433"/>
    <s v="F2"/>
    <x v="77"/>
    <s v="H000002361"/>
    <m/>
    <s v="O000000009"/>
    <s v="Remove"/>
    <x v="0"/>
    <x v="0"/>
    <s v="HC"/>
    <m/>
    <m/>
    <s v="Gearlene Joy Valenzuela"/>
  </r>
  <r>
    <n v="2434"/>
    <s v="F2"/>
    <x v="77"/>
    <s v="H000002364"/>
    <m/>
    <s v="O000000009"/>
    <s v="Remove"/>
    <x v="0"/>
    <x v="0"/>
    <s v="HC"/>
    <m/>
    <m/>
    <s v="Gearlene Joy Valenzuela"/>
  </r>
  <r>
    <n v="2435"/>
    <s v="F2"/>
    <x v="77"/>
    <s v="H000002365"/>
    <m/>
    <s v="O000000009"/>
    <s v="Remove"/>
    <x v="0"/>
    <x v="0"/>
    <s v="HC"/>
    <m/>
    <m/>
    <s v="Gearlene Joy Valenzuela"/>
  </r>
  <r>
    <n v="2436"/>
    <s v="F2"/>
    <x v="77"/>
    <s v="H000002366"/>
    <m/>
    <s v="O000000009"/>
    <s v="Remove"/>
    <x v="0"/>
    <x v="0"/>
    <s v="HC"/>
    <m/>
    <m/>
    <s v="Gearlene Joy Valenzuela"/>
  </r>
  <r>
    <n v="2437"/>
    <s v="F2"/>
    <x v="77"/>
    <s v="H000002367"/>
    <m/>
    <s v="O000000009"/>
    <s v="Remove"/>
    <x v="0"/>
    <x v="0"/>
    <s v="HC"/>
    <m/>
    <m/>
    <s v="Gearlene Joy Valenzuela"/>
  </r>
  <r>
    <n v="2438"/>
    <s v="F2"/>
    <x v="77"/>
    <s v="H000002368"/>
    <m/>
    <s v="O000000009"/>
    <s v="Remove"/>
    <x v="0"/>
    <x v="0"/>
    <s v="HC"/>
    <m/>
    <m/>
    <s v="Gearlene Joy Valenzuela"/>
  </r>
  <r>
    <n v="2439"/>
    <s v="F2"/>
    <x v="77"/>
    <s v="H000002369"/>
    <m/>
    <s v="O000000009"/>
    <s v="Remove"/>
    <x v="0"/>
    <x v="0"/>
    <s v="HC"/>
    <m/>
    <m/>
    <s v="Gearlene Joy Valenzuela"/>
  </r>
  <r>
    <n v="2440"/>
    <s v="F2"/>
    <x v="77"/>
    <s v="H000002370"/>
    <m/>
    <s v="O000000009"/>
    <s v="Remove"/>
    <x v="0"/>
    <x v="0"/>
    <s v="HC"/>
    <m/>
    <m/>
    <s v="Gearlene Joy Valenzuela"/>
  </r>
  <r>
    <n v="2441"/>
    <s v="F2"/>
    <x v="77"/>
    <s v="H000002303"/>
    <m/>
    <s v="O000000009"/>
    <s v="Remove"/>
    <x v="0"/>
    <x v="0"/>
    <s v="HC"/>
    <m/>
    <m/>
    <s v="Gearlene Joy Valenzuela"/>
  </r>
  <r>
    <n v="2442"/>
    <s v="F2"/>
    <x v="77"/>
    <s v="H000002304"/>
    <m/>
    <s v="O000000009"/>
    <s v="Remove"/>
    <x v="0"/>
    <x v="0"/>
    <s v="HC"/>
    <m/>
    <m/>
    <s v="Gearlene Joy Valenzuela"/>
  </r>
  <r>
    <n v="2443"/>
    <s v="F2"/>
    <x v="77"/>
    <s v="H000002305"/>
    <m/>
    <s v="O000000009"/>
    <s v="Remove"/>
    <x v="0"/>
    <x v="0"/>
    <s v="HC"/>
    <m/>
    <m/>
    <s v="Gearlene Joy Valenzuela"/>
  </r>
  <r>
    <n v="2444"/>
    <s v="F2"/>
    <x v="77"/>
    <s v="H000002306"/>
    <m/>
    <s v="O000000009"/>
    <s v="Remove"/>
    <x v="0"/>
    <x v="0"/>
    <s v="HC"/>
    <m/>
    <m/>
    <s v="Gearlene Joy Valenzuela"/>
  </r>
  <r>
    <n v="2445"/>
    <s v="F2"/>
    <x v="77"/>
    <s v="H000002309"/>
    <m/>
    <s v="O000000009"/>
    <s v="Remove"/>
    <x v="0"/>
    <x v="0"/>
    <s v="HC"/>
    <m/>
    <m/>
    <s v="Gearlene Joy Valenzuela"/>
  </r>
  <r>
    <n v="2446"/>
    <s v="F2"/>
    <x v="77"/>
    <s v="H000002310"/>
    <m/>
    <s v="O000000009"/>
    <s v="Remove"/>
    <x v="0"/>
    <x v="0"/>
    <s v="HC"/>
    <m/>
    <m/>
    <s v="Gearlene Joy Valenzuela"/>
  </r>
  <r>
    <n v="2447"/>
    <s v="F2"/>
    <x v="77"/>
    <s v="H000002313"/>
    <m/>
    <s v="O000000009"/>
    <s v="Remove"/>
    <x v="0"/>
    <x v="0"/>
    <s v="HC"/>
    <m/>
    <m/>
    <s v="Gearlene Joy Valenzuela"/>
  </r>
  <r>
    <n v="2448"/>
    <s v="F2"/>
    <x v="77"/>
    <s v="H000002314"/>
    <m/>
    <s v="O000000009"/>
    <s v="Remove"/>
    <x v="0"/>
    <x v="0"/>
    <s v="HC"/>
    <m/>
    <m/>
    <s v="Gearlene Joy Valenzuela"/>
  </r>
  <r>
    <n v="2449"/>
    <s v="F2"/>
    <x v="77"/>
    <s v="H000002316"/>
    <m/>
    <s v="O000000009"/>
    <s v="Remove"/>
    <x v="0"/>
    <x v="0"/>
    <s v="HC"/>
    <m/>
    <m/>
    <s v="Gearlene Joy Valenzuela"/>
  </r>
  <r>
    <n v="2450"/>
    <s v="F2"/>
    <x v="77"/>
    <s v="H000002317"/>
    <m/>
    <s v="O000000009"/>
    <s v="Remove"/>
    <x v="0"/>
    <x v="0"/>
    <s v="HC"/>
    <m/>
    <m/>
    <s v="Gearlene Joy Valenzuela"/>
  </r>
  <r>
    <n v="2451"/>
    <s v="F2"/>
    <x v="77"/>
    <s v="H000002318"/>
    <m/>
    <s v="O000000009"/>
    <s v="Remove"/>
    <x v="0"/>
    <x v="0"/>
    <s v="HC"/>
    <m/>
    <m/>
    <s v="Gearlene Joy Valenzuela"/>
  </r>
  <r>
    <n v="2452"/>
    <s v="F2"/>
    <x v="77"/>
    <s v="H000002319"/>
    <m/>
    <s v="O000000009"/>
    <s v="Remove"/>
    <x v="0"/>
    <x v="0"/>
    <s v="HC"/>
    <m/>
    <m/>
    <s v="Gearlene Joy Valenzuela"/>
  </r>
  <r>
    <n v="2453"/>
    <s v="F2"/>
    <x v="77"/>
    <s v="H000002320"/>
    <m/>
    <s v="O000000009"/>
    <s v="Remove"/>
    <x v="0"/>
    <x v="0"/>
    <s v="HC"/>
    <m/>
    <m/>
    <s v="Gearlene Joy Valenzuela"/>
  </r>
  <r>
    <n v="2454"/>
    <s v="F2"/>
    <x v="77"/>
    <s v="H000002321"/>
    <m/>
    <s v="O000000009"/>
    <s v="Remove"/>
    <x v="0"/>
    <x v="0"/>
    <s v="HC"/>
    <m/>
    <m/>
    <s v="Gearlene Joy Valenzuela"/>
  </r>
  <r>
    <n v="2455"/>
    <s v="F2"/>
    <x v="77"/>
    <s v="H000002322"/>
    <m/>
    <s v="O000000009"/>
    <s v="Remove"/>
    <x v="0"/>
    <x v="0"/>
    <s v="HC"/>
    <m/>
    <m/>
    <s v="Gearlene Joy Valenzuela"/>
  </r>
  <r>
    <n v="2456"/>
    <s v="F2"/>
    <x v="77"/>
    <s v="H000002323"/>
    <m/>
    <s v="O000000009"/>
    <s v="Remove"/>
    <x v="0"/>
    <x v="0"/>
    <s v="HC"/>
    <m/>
    <m/>
    <s v="Gearlene Joy Valenzuela"/>
  </r>
  <r>
    <n v="2457"/>
    <s v="F2"/>
    <x v="77"/>
    <s v="H000002324"/>
    <m/>
    <s v="O000000009"/>
    <s v="Remove"/>
    <x v="0"/>
    <x v="0"/>
    <s v="HC"/>
    <m/>
    <m/>
    <s v="Gearlene Joy Valenzuela"/>
  </r>
  <r>
    <n v="2458"/>
    <s v="F2"/>
    <x v="77"/>
    <s v="H000002325"/>
    <m/>
    <s v="O000000009"/>
    <s v="Remove"/>
    <x v="0"/>
    <x v="0"/>
    <s v="HC"/>
    <m/>
    <m/>
    <s v="Gearlene Joy Valenzuela"/>
  </r>
  <r>
    <n v="2459"/>
    <s v="F2"/>
    <x v="77"/>
    <s v="H000002326"/>
    <m/>
    <s v="O000000009"/>
    <s v="Remove"/>
    <x v="0"/>
    <x v="0"/>
    <s v="HC"/>
    <m/>
    <m/>
    <s v="Gearlene Joy Valenzuela"/>
  </r>
  <r>
    <n v="2460"/>
    <s v="F2"/>
    <x v="77"/>
    <s v="H000002329"/>
    <m/>
    <s v="O000000009"/>
    <s v="Remove"/>
    <x v="0"/>
    <x v="0"/>
    <s v="HC"/>
    <m/>
    <m/>
    <s v="Gearlene Joy Valenzuela"/>
  </r>
  <r>
    <n v="2461"/>
    <s v="F2"/>
    <x v="77"/>
    <s v="H000002330"/>
    <m/>
    <s v="O000000009"/>
    <s v="Remove"/>
    <x v="0"/>
    <x v="0"/>
    <s v="HC"/>
    <m/>
    <m/>
    <s v="Gearlene Joy Valenzuela"/>
  </r>
  <r>
    <n v="2462"/>
    <s v="F2"/>
    <x v="77"/>
    <s v="H000002331"/>
    <m/>
    <s v="O000000009"/>
    <s v="Remove"/>
    <x v="0"/>
    <x v="0"/>
    <s v="HC"/>
    <m/>
    <m/>
    <s v="Gearlene Joy Valenzuela"/>
  </r>
  <r>
    <n v="2463"/>
    <s v="F2"/>
    <x v="77"/>
    <s v="H000002332"/>
    <m/>
    <s v="O000000009"/>
    <s v="Remove"/>
    <x v="0"/>
    <x v="0"/>
    <s v="HC"/>
    <m/>
    <m/>
    <s v="Gearlene Joy Valenzuela"/>
  </r>
  <r>
    <n v="2464"/>
    <s v="F2"/>
    <x v="77"/>
    <s v="H000002333"/>
    <m/>
    <s v="O000000009"/>
    <s v="Remove"/>
    <x v="0"/>
    <x v="0"/>
    <s v="HC"/>
    <m/>
    <m/>
    <s v="Gearlene Joy Valenzuela"/>
  </r>
  <r>
    <n v="2465"/>
    <s v="F2"/>
    <x v="77"/>
    <s v="H000002334"/>
    <m/>
    <s v="O000000009"/>
    <s v="Remove"/>
    <x v="0"/>
    <x v="0"/>
    <s v="HC"/>
    <m/>
    <m/>
    <s v="Gearlene Joy Valenzuela"/>
  </r>
  <r>
    <n v="2466"/>
    <s v="F2"/>
    <x v="77"/>
    <s v="H000002335"/>
    <m/>
    <s v="O000000009"/>
    <s v="Remove"/>
    <x v="0"/>
    <x v="0"/>
    <s v="HC"/>
    <m/>
    <m/>
    <s v="Gearlene Joy Valenzuela"/>
  </r>
  <r>
    <n v="2467"/>
    <s v="F2"/>
    <x v="77"/>
    <s v="H000001846"/>
    <m/>
    <s v="O000000009"/>
    <s v="Remove"/>
    <x v="0"/>
    <x v="0"/>
    <s v="HC"/>
    <m/>
    <m/>
    <s v="Gearlene Joy Valenzuela"/>
  </r>
  <r>
    <n v="2468"/>
    <s v="F2"/>
    <x v="77"/>
    <s v="H000001847"/>
    <m/>
    <s v="O000000009"/>
    <s v="Remove"/>
    <x v="0"/>
    <x v="0"/>
    <s v="HC"/>
    <m/>
    <m/>
    <s v="Gearlene Joy Valenzuela"/>
  </r>
  <r>
    <n v="2469"/>
    <s v="F2"/>
    <x v="77"/>
    <s v="H000001848"/>
    <m/>
    <s v="O000000009"/>
    <s v="Remove"/>
    <x v="0"/>
    <x v="0"/>
    <s v="HC"/>
    <m/>
    <m/>
    <s v="Gearlene Joy Valenzuela"/>
  </r>
  <r>
    <n v="2470"/>
    <s v="F2"/>
    <x v="77"/>
    <s v="H000001849"/>
    <m/>
    <s v="O000000009"/>
    <s v="Remove"/>
    <x v="0"/>
    <x v="0"/>
    <s v="HC"/>
    <m/>
    <m/>
    <s v="Gearlene Joy Valenzuela"/>
  </r>
  <r>
    <n v="2471"/>
    <s v="F2"/>
    <x v="77"/>
    <s v="H000001850"/>
    <m/>
    <s v="O000000009"/>
    <s v="Remove"/>
    <x v="0"/>
    <x v="0"/>
    <s v="HC"/>
    <m/>
    <m/>
    <s v="Gearlene Joy Valenzuela"/>
  </r>
  <r>
    <n v="2472"/>
    <s v="F2"/>
    <x v="77"/>
    <s v="H000001851"/>
    <m/>
    <s v="O000000009"/>
    <s v="Remove"/>
    <x v="0"/>
    <x v="0"/>
    <s v="HC"/>
    <m/>
    <m/>
    <s v="Gearlene Joy Valenzuela"/>
  </r>
  <r>
    <n v="2473"/>
    <s v="F2"/>
    <x v="77"/>
    <s v="H000001852"/>
    <m/>
    <s v="O000000009"/>
    <s v="Remove"/>
    <x v="0"/>
    <x v="0"/>
    <s v="HC"/>
    <m/>
    <m/>
    <s v="Gearlene Joy Valenzuela"/>
  </r>
  <r>
    <n v="2474"/>
    <s v="F2"/>
    <x v="77"/>
    <s v="H000001853"/>
    <m/>
    <s v="O000000009"/>
    <s v="Remove"/>
    <x v="0"/>
    <x v="0"/>
    <s v="HC"/>
    <m/>
    <m/>
    <s v="Gearlene Joy Valenzuela"/>
  </r>
  <r>
    <n v="2475"/>
    <s v="F2"/>
    <x v="77"/>
    <s v="H000001860"/>
    <m/>
    <s v="O000000009"/>
    <s v="Remove"/>
    <x v="0"/>
    <x v="0"/>
    <s v="HC"/>
    <m/>
    <m/>
    <s v="Gearlene Joy Valenzuela"/>
  </r>
  <r>
    <n v="2476"/>
    <s v="F2"/>
    <x v="77"/>
    <s v="H000001861"/>
    <m/>
    <s v="O000000009"/>
    <s v="Remove"/>
    <x v="0"/>
    <x v="0"/>
    <s v="HC"/>
    <m/>
    <m/>
    <s v="Gearlene Joy Valenzuela"/>
  </r>
  <r>
    <n v="2477"/>
    <s v="F2"/>
    <x v="77"/>
    <s v="H000001862"/>
    <m/>
    <s v="O000000009"/>
    <s v="Remove"/>
    <x v="0"/>
    <x v="0"/>
    <s v="HC"/>
    <m/>
    <m/>
    <s v="Gearlene Joy Valenzuela"/>
  </r>
  <r>
    <n v="2478"/>
    <s v="F2"/>
    <x v="77"/>
    <s v="H000001863"/>
    <m/>
    <s v="O000000009"/>
    <s v="Remove"/>
    <x v="0"/>
    <x v="0"/>
    <s v="HC"/>
    <m/>
    <m/>
    <s v="Gearlene Joy Valenzuela"/>
  </r>
  <r>
    <n v="2479"/>
    <s v="F2"/>
    <x v="77"/>
    <s v="H000001864"/>
    <m/>
    <s v="O000000009"/>
    <s v="Remove"/>
    <x v="0"/>
    <x v="0"/>
    <s v="HC"/>
    <m/>
    <m/>
    <s v="Gearlene Joy Valenzuela"/>
  </r>
  <r>
    <n v="2480"/>
    <s v="F2"/>
    <x v="77"/>
    <s v="H000001865"/>
    <m/>
    <s v="O000000009"/>
    <s v="Remove"/>
    <x v="0"/>
    <x v="0"/>
    <s v="HC"/>
    <m/>
    <m/>
    <s v="Gearlene Joy Valenzuela"/>
  </r>
  <r>
    <n v="2481"/>
    <s v="F2"/>
    <x v="77"/>
    <s v="H000001866"/>
    <m/>
    <s v="O000000009"/>
    <s v="Remove"/>
    <x v="0"/>
    <x v="0"/>
    <s v="HC"/>
    <m/>
    <m/>
    <s v="Gearlene Joy Valenzuela"/>
  </r>
  <r>
    <n v="2482"/>
    <s v="F2"/>
    <x v="77"/>
    <s v="H000001867"/>
    <m/>
    <s v="O000000009"/>
    <s v="Remove"/>
    <x v="0"/>
    <x v="0"/>
    <s v="HC"/>
    <m/>
    <m/>
    <s v="Gearlene Joy Valenzuela"/>
  </r>
  <r>
    <n v="2483"/>
    <s v="F2"/>
    <x v="77"/>
    <s v="H000001869"/>
    <m/>
    <s v="O000000009"/>
    <s v="Remove"/>
    <x v="0"/>
    <x v="0"/>
    <s v="HC"/>
    <m/>
    <m/>
    <s v="Gearlene Joy Valenzuela"/>
  </r>
  <r>
    <n v="2484"/>
    <s v="F2"/>
    <x v="77"/>
    <s v="H000001870"/>
    <m/>
    <s v="O000000009"/>
    <s v="Remove"/>
    <x v="0"/>
    <x v="0"/>
    <s v="HC"/>
    <m/>
    <m/>
    <s v="Gearlene Joy Valenzuela"/>
  </r>
  <r>
    <n v="2485"/>
    <s v="F2"/>
    <x v="77"/>
    <s v="H000001873"/>
    <m/>
    <s v="O000000009"/>
    <s v="Remove"/>
    <x v="0"/>
    <x v="0"/>
    <s v="HC"/>
    <m/>
    <m/>
    <s v="Gearlene Joy Valenzuela"/>
  </r>
  <r>
    <n v="2486"/>
    <s v="F2"/>
    <x v="77"/>
    <s v="H000001874"/>
    <m/>
    <s v="O000000009"/>
    <s v="Remove"/>
    <x v="0"/>
    <x v="0"/>
    <s v="HC"/>
    <m/>
    <m/>
    <s v="Gearlene Joy Valenzuela"/>
  </r>
  <r>
    <n v="2487"/>
    <s v="F2"/>
    <x v="77"/>
    <s v="H000001877"/>
    <m/>
    <s v="O000000009"/>
    <s v="Remove"/>
    <x v="0"/>
    <x v="0"/>
    <s v="HC"/>
    <m/>
    <m/>
    <s v="Gearlene Joy Valenzuela"/>
  </r>
  <r>
    <n v="2488"/>
    <s v="F2"/>
    <x v="77"/>
    <s v="H000001878"/>
    <m/>
    <s v="O000000009"/>
    <s v="Remove"/>
    <x v="0"/>
    <x v="0"/>
    <s v="HC"/>
    <m/>
    <m/>
    <s v="Gearlene Joy Valenzuela"/>
  </r>
  <r>
    <n v="2489"/>
    <s v="F2"/>
    <x v="77"/>
    <s v="H000001881"/>
    <m/>
    <s v="O000000009"/>
    <s v="Remove"/>
    <x v="0"/>
    <x v="0"/>
    <s v="HC"/>
    <m/>
    <m/>
    <s v="Gearlene Joy Valenzuela"/>
  </r>
  <r>
    <n v="2490"/>
    <s v="F2"/>
    <x v="77"/>
    <s v="H000001882"/>
    <m/>
    <s v="O000000009"/>
    <s v="Remove"/>
    <x v="0"/>
    <x v="0"/>
    <s v="HC"/>
    <m/>
    <m/>
    <s v="Gearlene Joy Valenzuela"/>
  </r>
  <r>
    <n v="2491"/>
    <s v="F2"/>
    <x v="77"/>
    <s v="H000001883"/>
    <m/>
    <s v="O000000009"/>
    <s v="Remove"/>
    <x v="0"/>
    <x v="0"/>
    <s v="HC"/>
    <m/>
    <m/>
    <s v="Gearlene Joy Valenzuela"/>
  </r>
  <r>
    <n v="2492"/>
    <s v="F2"/>
    <x v="77"/>
    <s v="H000001884"/>
    <m/>
    <s v="O000000009"/>
    <s v="Remove"/>
    <x v="0"/>
    <x v="0"/>
    <s v="HC"/>
    <m/>
    <m/>
    <s v="Gearlene Joy Valenzuela"/>
  </r>
  <r>
    <n v="2493"/>
    <s v="F2"/>
    <x v="77"/>
    <s v="H000001885"/>
    <m/>
    <s v="O000000009"/>
    <s v="Remove"/>
    <x v="0"/>
    <x v="0"/>
    <s v="HC"/>
    <m/>
    <m/>
    <s v="Gearlene Joy Valenzuela"/>
  </r>
  <r>
    <n v="2494"/>
    <s v="F2"/>
    <x v="77"/>
    <s v="H000001886"/>
    <m/>
    <s v="O000000009"/>
    <s v="Remove"/>
    <x v="0"/>
    <x v="0"/>
    <s v="HC"/>
    <m/>
    <m/>
    <s v="Gearlene Joy Valenzuela"/>
  </r>
  <r>
    <n v="2495"/>
    <s v="F2"/>
    <x v="77"/>
    <s v="H000001892"/>
    <m/>
    <s v="O000000009"/>
    <s v="Remove"/>
    <x v="0"/>
    <x v="0"/>
    <s v="HC"/>
    <m/>
    <m/>
    <s v="Gearlene Joy Valenzuela"/>
  </r>
  <r>
    <n v="2496"/>
    <s v="F2"/>
    <x v="77"/>
    <s v="H000001896"/>
    <m/>
    <s v="O000000009"/>
    <s v="Remove"/>
    <x v="0"/>
    <x v="0"/>
    <s v="HC"/>
    <m/>
    <m/>
    <s v="Gearlene Joy Valenzuela"/>
  </r>
  <r>
    <n v="2497"/>
    <s v="F2"/>
    <x v="77"/>
    <s v="H000001900"/>
    <m/>
    <s v="O000000009"/>
    <s v="Remove"/>
    <x v="0"/>
    <x v="0"/>
    <s v="HC"/>
    <m/>
    <m/>
    <s v="Gearlene Joy Valenzuela"/>
  </r>
  <r>
    <n v="2498"/>
    <s v="F2"/>
    <x v="77"/>
    <s v="H000001904"/>
    <m/>
    <s v="O000000009"/>
    <s v="Remove"/>
    <x v="0"/>
    <x v="0"/>
    <s v="HC"/>
    <m/>
    <m/>
    <s v="Gearlene Joy Valenzuela"/>
  </r>
  <r>
    <n v="2499"/>
    <s v="F2"/>
    <x v="77"/>
    <s v="H000001908"/>
    <m/>
    <s v="O000000009"/>
    <s v="Remove"/>
    <x v="0"/>
    <x v="0"/>
    <s v="HC"/>
    <m/>
    <m/>
    <s v="Gearlene Joy Valenzuela"/>
  </r>
  <r>
    <n v="2500"/>
    <s v="F2"/>
    <x v="77"/>
    <s v="H000001909"/>
    <m/>
    <s v="O000000009"/>
    <s v="Remove"/>
    <x v="0"/>
    <x v="0"/>
    <s v="HC"/>
    <m/>
    <m/>
    <s v="Gearlene Joy Valenzuela"/>
  </r>
  <r>
    <n v="2501"/>
    <s v="F2"/>
    <x v="77"/>
    <s v="H000004486"/>
    <m/>
    <s v="O000000009"/>
    <s v="Remove"/>
    <x v="0"/>
    <x v="0"/>
    <s v="HC"/>
    <m/>
    <m/>
    <s v="Gearlene Joy Valenzuela"/>
  </r>
  <r>
    <n v="2502"/>
    <s v="F2"/>
    <x v="77"/>
    <s v="H000004487"/>
    <m/>
    <s v="O000000009"/>
    <s v="Remove"/>
    <x v="0"/>
    <x v="0"/>
    <s v="HC"/>
    <m/>
    <m/>
    <s v="Gearlene Joy Valenzuela"/>
  </r>
  <r>
    <n v="2503"/>
    <s v="F2"/>
    <x v="77"/>
    <s v="H000004488"/>
    <m/>
    <s v="O000000009"/>
    <s v="Remove"/>
    <x v="0"/>
    <x v="0"/>
    <s v="HC"/>
    <m/>
    <m/>
    <s v="Gearlene Joy Valenzuela"/>
  </r>
  <r>
    <n v="2504"/>
    <s v="F2"/>
    <x v="77"/>
    <s v="H000004489"/>
    <m/>
    <s v="O000000009"/>
    <s v="Remove"/>
    <x v="0"/>
    <x v="0"/>
    <s v="HC"/>
    <m/>
    <m/>
    <s v="Gearlene Joy Valenzuela"/>
  </r>
  <r>
    <n v="2505"/>
    <s v="F2"/>
    <x v="77"/>
    <s v="H000004490"/>
    <m/>
    <s v="O000000009"/>
    <s v="Remove"/>
    <x v="0"/>
    <x v="0"/>
    <s v="HC"/>
    <m/>
    <m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m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m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m/>
    <m/>
    <s v="Henry Jr Ifurung"/>
  </r>
  <r>
    <n v="3307"/>
    <s v="F2"/>
    <x v="88"/>
    <s v="H000000338"/>
    <m/>
    <s v="H000004852"/>
    <s v="Move"/>
    <x v="0"/>
    <x v="0"/>
    <s v="HC"/>
    <m/>
    <m/>
    <s v="Henry Jr Ifurung"/>
  </r>
  <r>
    <n v="3308"/>
    <s v="F2"/>
    <x v="88"/>
    <s v="H000001105"/>
    <m/>
    <s v="O000000009"/>
    <s v="Remove"/>
    <x v="0"/>
    <x v="0"/>
    <s v="HC"/>
    <m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0"/>
    <x v="0"/>
    <e v="#N/A"/>
    <m/>
    <m/>
    <s v="Marcin Kuskowski"/>
  </r>
  <r>
    <n v="3345"/>
    <s v="F2"/>
    <x v="104"/>
    <s v="G000001030"/>
    <s v="LH Gebaude LS Warehouse DA"/>
    <m/>
    <s v="Rename"/>
    <x v="0"/>
    <x v="0"/>
    <e v="#N/A"/>
    <m/>
    <m/>
    <s v="Marcin Kuskowski"/>
  </r>
  <r>
    <n v="3346"/>
    <s v="F2"/>
    <x v="104"/>
    <s v="G000001031"/>
    <s v="SM-EP Gebaude Gernsheim"/>
    <m/>
    <s v="Rename"/>
    <x v="0"/>
    <x v="0"/>
    <e v="#N/A"/>
    <m/>
    <m/>
    <s v="Marcin Kuskowski"/>
  </r>
  <r>
    <n v="3347"/>
    <s v="F2"/>
    <x v="104"/>
    <s v="G000001032"/>
    <s v="SM-EP Freiflachen Gernsheim"/>
    <m/>
    <s v="Rename"/>
    <x v="0"/>
    <x v="0"/>
    <e v="#N/A"/>
    <m/>
    <m/>
    <s v="Marcin Kuskowski"/>
  </r>
  <r>
    <n v="3348"/>
    <s v="F2"/>
    <x v="104"/>
    <s v="G000001045"/>
    <s v="SM GHM Full Service Gebaude"/>
    <m/>
    <s v="Rename"/>
    <x v="0"/>
    <x v="0"/>
    <e v="#N/A"/>
    <m/>
    <m/>
    <s v="Marcin Kuskowski"/>
  </r>
  <r>
    <n v="3349"/>
    <s v="F2"/>
    <x v="104"/>
    <s v="G000001048"/>
    <s v="SM GHM Shell &amp; Core Gebaude"/>
    <m/>
    <s v="Rename"/>
    <x v="0"/>
    <x v="0"/>
    <e v="#N/A"/>
    <m/>
    <m/>
    <s v="Marcin Kuskowski"/>
  </r>
  <r>
    <n v="3350"/>
    <s v="F2"/>
    <x v="104"/>
    <s v="G000001052"/>
    <s v="SM GHM Lease Hold Gebaude"/>
    <m/>
    <s v="Rename"/>
    <x v="0"/>
    <x v="0"/>
    <e v="#N/A"/>
    <m/>
    <m/>
    <s v="Marcin Kuskowski"/>
  </r>
  <r>
    <n v="3351"/>
    <s v="F2"/>
    <x v="104"/>
    <s v="G000001055"/>
    <s v="SuSo Full Service Gebaude"/>
    <m/>
    <s v="Rename"/>
    <x v="0"/>
    <x v="0"/>
    <e v="#N/A"/>
    <m/>
    <m/>
    <s v="Marcin Kuskowski"/>
  </r>
  <r>
    <n v="3352"/>
    <s v="F2"/>
    <x v="104"/>
    <s v="G000001059"/>
    <s v="SuSo Shell &amp; Core Gebaude"/>
    <m/>
    <s v="Rename"/>
    <x v="0"/>
    <x v="0"/>
    <e v="#N/A"/>
    <m/>
    <m/>
    <s v="Marcin Kuskowski"/>
  </r>
  <r>
    <n v="3353"/>
    <s v="F2"/>
    <x v="104"/>
    <s v="G000001065"/>
    <s v="Lease Hold Gebaude HO"/>
    <m/>
    <s v="Rename"/>
    <x v="0"/>
    <x v="0"/>
    <e v="#N/A"/>
    <m/>
    <m/>
    <s v="Marcin Kuskowski"/>
  </r>
  <r>
    <n v="3354"/>
    <s v="F2"/>
    <x v="104"/>
    <s v="G000001066"/>
    <s v="Freiflachen Hohenbrunn"/>
    <m/>
    <s v="Rename"/>
    <x v="0"/>
    <x v="0"/>
    <e v="#N/A"/>
    <m/>
    <m/>
    <s v="Marcin Kuskowski"/>
  </r>
  <r>
    <n v="3355"/>
    <s v="F2"/>
    <x v="104"/>
    <s v="G000001068"/>
    <s v="Ruckbau Gebaude GHM"/>
    <m/>
    <s v="Rename"/>
    <x v="0"/>
    <x v="0"/>
    <e v="#N/A"/>
    <m/>
    <m/>
    <s v="Marcin Kuskowski"/>
  </r>
  <r>
    <n v="3356"/>
    <s v="F2"/>
    <x v="104"/>
    <s v="G000001070"/>
    <s v="SuSo Lease Hold Gebaude"/>
    <m/>
    <s v="Rename"/>
    <x v="0"/>
    <x v="0"/>
    <e v="#N/A"/>
    <m/>
    <m/>
    <s v="Marcin Kuskowski"/>
  </r>
  <r>
    <n v="3357"/>
    <s v="F2"/>
    <x v="104"/>
    <s v="H000000347"/>
    <s v="BL Saint Barthelemy"/>
    <m/>
    <s v="Rename"/>
    <x v="0"/>
    <x v="0"/>
    <e v="#N/A"/>
    <m/>
    <m/>
    <s v="Marcin Kuskowski"/>
  </r>
  <r>
    <n v="3358"/>
    <s v="F2"/>
    <x v="104"/>
    <s v="H000002691"/>
    <s v="EC - Gastos Convencion"/>
    <m/>
    <s v="Rename"/>
    <x v="0"/>
    <x v="0"/>
    <e v="#N/A"/>
    <m/>
    <m/>
    <s v="Marcin Kuskowski"/>
  </r>
  <r>
    <n v="3359"/>
    <s v="F2"/>
    <x v="104"/>
    <s v="H000004016"/>
    <s v="ES - Fundacion Merck Salud"/>
    <m/>
    <s v="Rename"/>
    <x v="0"/>
    <x v="0"/>
    <e v="#N/A"/>
    <m/>
    <m/>
    <s v="Marcin Kuskowski"/>
  </r>
  <r>
    <n v="3360"/>
    <s v="F2"/>
    <x v="104"/>
    <s v="L000006487"/>
    <s v="PS003200002083 CH70 EXP Expertentat-G"/>
    <m/>
    <s v="Rename"/>
    <x v="0"/>
    <x v="3"/>
    <e v="#N/A"/>
    <m/>
    <m/>
    <s v="Marcin Kuskowski"/>
  </r>
  <r>
    <n v="3361"/>
    <s v="F2"/>
    <x v="104"/>
    <s v="L000007417"/>
    <s v="PS003200000026 DE 40 Logistic Grune-G"/>
    <m/>
    <s v="Rename"/>
    <x v="0"/>
    <x v="3"/>
    <e v="#N/A"/>
    <m/>
    <m/>
    <s v="Marcin Kuskowski"/>
  </r>
  <r>
    <n v="3362"/>
    <s v="F2"/>
    <x v="104"/>
    <s v="L000007493"/>
    <s v="PS000400756903 QA-QC -  Emprove - N-G"/>
    <m/>
    <s v="Rename"/>
    <x v="0"/>
    <x v="3"/>
    <e v="#N/A"/>
    <m/>
    <m/>
    <s v="Marcin Kuskowski"/>
  </r>
  <r>
    <n v="3363"/>
    <s v="F2"/>
    <x v="104"/>
    <s v="L000012151"/>
    <s v="400762273 Start up J29 Sud NH4OH-G"/>
    <m/>
    <s v="Rename"/>
    <x v="0"/>
    <x v="3"/>
    <e v="#N/A"/>
    <m/>
    <m/>
    <s v="Marcin Kuskowski"/>
  </r>
  <r>
    <n v="3364"/>
    <s v="F2"/>
    <x v="104"/>
    <s v="L000012719"/>
    <s v="PS7210$$$2029C01220 PS  Sales A&amp;F W-G"/>
    <m/>
    <s v="Rename"/>
    <x v="0"/>
    <x v="3"/>
    <e v="#N/A"/>
    <m/>
    <m/>
    <s v="Marcin Kuskowski"/>
  </r>
  <r>
    <n v="3365"/>
    <s v="F2"/>
    <x v="104"/>
    <s v="L000012884"/>
    <s v="400762814-Start-up X20 Lomi-Trocknu-G"/>
    <m/>
    <s v="Rename"/>
    <x v="0"/>
    <x v="3"/>
    <e v="#N/A"/>
    <m/>
    <m/>
    <s v="Marcin Kuskowski"/>
  </r>
  <r>
    <n v="3366"/>
    <s v="F2"/>
    <x v="105"/>
    <s v="G000001123"/>
    <s v="EF-DS-DE EF Data &amp; AI Organization"/>
    <s v="G000001118"/>
    <s v="Rename/Move"/>
    <x v="0"/>
    <x v="0"/>
    <s v="LS"/>
    <m/>
    <m/>
    <s v="Jay-R Lizardo"/>
  </r>
  <r>
    <n v="3367"/>
    <s v="F2"/>
    <x v="105"/>
    <s v="H000005506"/>
    <m/>
    <s v="H000004177"/>
    <s v="Move"/>
    <x v="0"/>
    <x v="0"/>
    <s v="LS"/>
    <m/>
    <m/>
    <s v="Jay-R Lizardo"/>
  </r>
  <r>
    <n v="3368"/>
    <s v="F2"/>
    <x v="105"/>
    <s v="H000005507"/>
    <m/>
    <s v="H000004177"/>
    <s v="Move"/>
    <x v="0"/>
    <x v="0"/>
    <s v="LS"/>
    <m/>
    <m/>
    <s v="Jay-R Lizardo"/>
  </r>
  <r>
    <n v="3369"/>
    <s v="F2"/>
    <x v="105"/>
    <s v="G000001677"/>
    <m/>
    <s v="O000000009"/>
    <s v="Remove"/>
    <x v="0"/>
    <x v="0"/>
    <s v="LS"/>
    <m/>
    <m/>
    <s v="Jay-R Lizardo"/>
  </r>
  <r>
    <n v="3370"/>
    <s v="F2"/>
    <x v="106"/>
    <s v="L000013970"/>
    <m/>
    <m/>
    <s v="Remove"/>
    <x v="0"/>
    <x v="2"/>
    <s v="LS"/>
    <m/>
    <m/>
    <s v="Kalyani Raju"/>
  </r>
  <r>
    <n v="3371"/>
    <s v="F2"/>
    <x v="106"/>
    <s v="L000008335"/>
    <m/>
    <m/>
    <s v="Remove"/>
    <x v="0"/>
    <x v="2"/>
    <s v="LS"/>
    <m/>
    <m/>
    <s v="Kalyani Raju"/>
  </r>
  <r>
    <n v="3372"/>
    <s v="F2"/>
    <x v="106"/>
    <s v="L000005092"/>
    <m/>
    <m/>
    <s v="Remove"/>
    <x v="0"/>
    <x v="2"/>
    <s v="LS"/>
    <m/>
    <m/>
    <s v="Kalyani Raju"/>
  </r>
  <r>
    <n v="3373"/>
    <s v="F2"/>
    <x v="106"/>
    <s v="L000012791"/>
    <m/>
    <m/>
    <s v="Remove"/>
    <x v="0"/>
    <x v="2"/>
    <s v="LS"/>
    <m/>
    <m/>
    <s v="Kalyani Raju"/>
  </r>
  <r>
    <n v="3374"/>
    <s v="F2"/>
    <x v="106"/>
    <s v="L000008336"/>
    <m/>
    <m/>
    <s v="Remove"/>
    <x v="0"/>
    <x v="2"/>
    <s v="LS"/>
    <m/>
    <m/>
    <s v="Kalyani Raju"/>
  </r>
  <r>
    <n v="3375"/>
    <s v="F2"/>
    <x v="106"/>
    <s v="L000011868 "/>
    <m/>
    <m/>
    <s v="Remove"/>
    <x v="0"/>
    <x v="2"/>
    <s v="LS"/>
    <m/>
    <m/>
    <s v="Kalyani Raju"/>
  </r>
  <r>
    <n v="3376"/>
    <s v="F2"/>
    <x v="106"/>
    <s v="L000008349"/>
    <m/>
    <m/>
    <s v="Remove"/>
    <x v="0"/>
    <x v="2"/>
    <s v="LS"/>
    <m/>
    <m/>
    <s v="Kalyani Raju"/>
  </r>
  <r>
    <n v="3377"/>
    <s v="F2"/>
    <x v="106"/>
    <s v="L000013973 "/>
    <m/>
    <m/>
    <s v="Remove"/>
    <x v="0"/>
    <x v="2"/>
    <s v="LS"/>
    <m/>
    <m/>
    <s v="Kalyani Raju"/>
  </r>
  <r>
    <n v="3378"/>
    <s v="F2"/>
    <x v="106"/>
    <s v="L000013974 "/>
    <m/>
    <m/>
    <s v="Remove"/>
    <x v="0"/>
    <x v="2"/>
    <s v="LS"/>
    <m/>
    <m/>
    <s v="Kalyani Raju"/>
  </r>
  <r>
    <n v="3379"/>
    <s v="F2"/>
    <x v="106"/>
    <s v="L000008320"/>
    <m/>
    <m/>
    <s v="Remove"/>
    <x v="0"/>
    <x v="2"/>
    <s v="LS"/>
    <m/>
    <m/>
    <s v="Kalyani Raju"/>
  </r>
  <r>
    <n v="3380"/>
    <s v="F2"/>
    <x v="106"/>
    <s v="L000008323"/>
    <m/>
    <m/>
    <s v="Remove"/>
    <x v="0"/>
    <x v="2"/>
    <s v="LS"/>
    <m/>
    <m/>
    <s v="Kalyani Raju"/>
  </r>
  <r>
    <n v="3381"/>
    <s v="F2"/>
    <x v="106"/>
    <s v="L000008345"/>
    <s v="DE Commercial Excellence &amp; Tech Servc"/>
    <m/>
    <s v="Rename"/>
    <x v="0"/>
    <x v="2"/>
    <s v="LS"/>
    <m/>
    <m/>
    <s v="Kalyani Raju"/>
  </r>
  <r>
    <n v="3382"/>
    <s v="F2"/>
    <x v="106"/>
    <s v="L000008331"/>
    <s v="DF Customer Success &amp; Digital Ecosystem"/>
    <m/>
    <s v="Rename"/>
    <x v="0"/>
    <x v="2"/>
    <s v="LS"/>
    <m/>
    <m/>
    <s v="Kalyani Raju"/>
  </r>
  <r>
    <n v="3383"/>
    <s v="F2"/>
    <x v="106"/>
    <s v="L000013971"/>
    <s v="DA Regional Territories"/>
    <m/>
    <s v="Rename"/>
    <x v="0"/>
    <x v="2"/>
    <s v="LS"/>
    <m/>
    <m/>
    <s v="Kalyani Raju"/>
  </r>
  <r>
    <n v="3384"/>
    <s v="F2"/>
    <x v="106"/>
    <s v="L000013972"/>
    <s v="DB Major Accounts"/>
    <m/>
    <s v="Rename"/>
    <x v="0"/>
    <x v="2"/>
    <s v="LS"/>
    <m/>
    <m/>
    <s v="Kalyani Raju"/>
  </r>
  <r>
    <n v="3385"/>
    <s v="F2"/>
    <x v="106"/>
    <s v="L000013975"/>
    <s v="DG Business Planning &amp; Implementation"/>
    <m/>
    <s v="Rename"/>
    <x v="0"/>
    <x v="2"/>
    <s v="LS"/>
    <m/>
    <m/>
    <s v="Kalyani Raju"/>
  </r>
  <r>
    <n v="3386"/>
    <s v="F2"/>
    <x v="106"/>
    <s v="L000013976 "/>
    <s v="DD Sales Development"/>
    <m/>
    <s v="Rename"/>
    <x v="0"/>
    <x v="2"/>
    <s v="LS"/>
    <m/>
    <m/>
    <s v="Kalyani Raju"/>
  </r>
  <r>
    <n v="3387"/>
    <s v="F2"/>
    <x v="107"/>
    <s v="L000013970"/>
    <m/>
    <m/>
    <s v="Remove"/>
    <x v="0"/>
    <x v="2"/>
    <s v="LS"/>
    <m/>
    <m/>
    <s v="Kalyani Raju"/>
  </r>
  <r>
    <n v="3388"/>
    <s v="F2"/>
    <x v="107"/>
    <s v="L000008335"/>
    <m/>
    <m/>
    <s v="Remove"/>
    <x v="0"/>
    <x v="2"/>
    <s v="LS"/>
    <m/>
    <m/>
    <s v="Kalyani Raju"/>
  </r>
  <r>
    <n v="3389"/>
    <s v="F2"/>
    <x v="107"/>
    <s v="L000005092"/>
    <m/>
    <m/>
    <s v="Remove"/>
    <x v="0"/>
    <x v="2"/>
    <s v="LS"/>
    <m/>
    <m/>
    <s v="Kalyani Raju"/>
  </r>
  <r>
    <n v="3390"/>
    <s v="F2"/>
    <x v="107"/>
    <s v="L000012791"/>
    <m/>
    <m/>
    <s v="Remove"/>
    <x v="0"/>
    <x v="2"/>
    <s v="LS"/>
    <m/>
    <m/>
    <s v="Kalyani Raju"/>
  </r>
  <r>
    <n v="3391"/>
    <s v="F2"/>
    <x v="107"/>
    <s v="L000008336"/>
    <m/>
    <m/>
    <s v="Remove"/>
    <x v="0"/>
    <x v="2"/>
    <s v="LS"/>
    <m/>
    <m/>
    <s v="Kalyani Raju"/>
  </r>
  <r>
    <n v="3392"/>
    <s v="F2"/>
    <x v="107"/>
    <s v="L000011868 "/>
    <m/>
    <m/>
    <s v="Remove"/>
    <x v="0"/>
    <x v="2"/>
    <s v="LS"/>
    <m/>
    <m/>
    <s v="Kalyani Raju"/>
  </r>
  <r>
    <n v="3393"/>
    <s v="F2"/>
    <x v="107"/>
    <s v="L000008349"/>
    <m/>
    <m/>
    <s v="Remove"/>
    <x v="0"/>
    <x v="2"/>
    <s v="LS"/>
    <m/>
    <m/>
    <s v="Kalyani Raju"/>
  </r>
  <r>
    <n v="3394"/>
    <s v="F2"/>
    <x v="107"/>
    <s v="L000013973 "/>
    <m/>
    <m/>
    <s v="Remove"/>
    <x v="0"/>
    <x v="2"/>
    <s v="LS"/>
    <m/>
    <m/>
    <s v="Kalyani Raju"/>
  </r>
  <r>
    <n v="3395"/>
    <s v="F2"/>
    <x v="107"/>
    <s v="L000013974 "/>
    <m/>
    <m/>
    <s v="Remove"/>
    <x v="0"/>
    <x v="2"/>
    <s v="LS"/>
    <m/>
    <m/>
    <s v="Kalyani Raju"/>
  </r>
  <r>
    <n v="3396"/>
    <s v="F2"/>
    <x v="107"/>
    <s v="L000008320"/>
    <m/>
    <m/>
    <s v="Remove"/>
    <x v="0"/>
    <x v="2"/>
    <s v="LS"/>
    <m/>
    <m/>
    <s v="Kalyani Raju"/>
  </r>
  <r>
    <n v="3397"/>
    <s v="F2"/>
    <x v="107"/>
    <s v="L000008323"/>
    <m/>
    <m/>
    <s v="Remove"/>
    <x v="0"/>
    <x v="2"/>
    <s v="LS"/>
    <m/>
    <m/>
    <s v="Kalyani Raju"/>
  </r>
  <r>
    <n v="3398"/>
    <s v="F2"/>
    <x v="107"/>
    <s v="L000008345"/>
    <s v="DE Commercial Excellence &amp; Tech Servc"/>
    <m/>
    <s v="Rename"/>
    <x v="0"/>
    <x v="2"/>
    <s v="LS"/>
    <m/>
    <m/>
    <s v="Kalyani Raju"/>
  </r>
  <r>
    <n v="3399"/>
    <s v="F2"/>
    <x v="107"/>
    <s v="L000008331"/>
    <s v="DF Customer Success &amp; Digital Ecosystem"/>
    <m/>
    <s v="Rename"/>
    <x v="0"/>
    <x v="2"/>
    <s v="LS"/>
    <m/>
    <m/>
    <s v="Kalyani Raju"/>
  </r>
  <r>
    <n v="3400"/>
    <s v="F2"/>
    <x v="107"/>
    <s v="L000013971"/>
    <s v="DA Regional Territories"/>
    <m/>
    <s v="Rename"/>
    <x v="0"/>
    <x v="2"/>
    <s v="LS"/>
    <m/>
    <m/>
    <s v="Kalyani Raju"/>
  </r>
  <r>
    <n v="3401"/>
    <s v="F2"/>
    <x v="107"/>
    <s v="L000013972"/>
    <s v="DB Major Accounts"/>
    <m/>
    <s v="Rename"/>
    <x v="0"/>
    <x v="2"/>
    <s v="LS"/>
    <m/>
    <m/>
    <s v="Kalyani Raju"/>
  </r>
  <r>
    <n v="3402"/>
    <s v="F2"/>
    <x v="107"/>
    <s v="L000013975"/>
    <s v="DG Business Planning &amp; Implementation"/>
    <m/>
    <s v="Rename"/>
    <x v="0"/>
    <x v="2"/>
    <s v="LS"/>
    <m/>
    <m/>
    <s v="Kalyani Raju"/>
  </r>
  <r>
    <n v="3403"/>
    <s v="F2"/>
    <x v="107"/>
    <s v="L000013976 "/>
    <s v="DD Sales Development"/>
    <m/>
    <s v="Rename"/>
    <x v="0"/>
    <x v="2"/>
    <s v="LS"/>
    <m/>
    <m/>
    <s v="Kalyani Raju"/>
  </r>
  <r>
    <n v="3404"/>
    <s v="F2"/>
    <x v="108"/>
    <s v="H000005510"/>
    <s v="MERCK SWITZERLAND - VEVEY (CCH)"/>
    <s v="H000000489"/>
    <s v="New"/>
    <x v="0"/>
    <x v="0"/>
    <s v="HC"/>
    <m/>
    <m/>
    <s v="Anna Maria Urbano"/>
  </r>
  <r>
    <n v="3405"/>
    <s v="F2"/>
    <x v="108"/>
    <s v="H000005511"/>
    <s v="1954VV - OPERATIONS"/>
    <s v="H000005510"/>
    <s v="New"/>
    <x v="0"/>
    <x v="0"/>
    <s v="HC"/>
    <m/>
    <m/>
    <s v="Anna Maria Urbano"/>
  </r>
  <r>
    <n v="3406"/>
    <s v="F2"/>
    <x v="108"/>
    <s v="H000005512"/>
    <s v="1954VV - OPERATIONS SUPPORT SERVICES"/>
    <s v="H000005510"/>
    <s v="New"/>
    <x v="0"/>
    <x v="0"/>
    <s v="HC"/>
    <m/>
    <m/>
    <s v="Anna Maria Urbano"/>
  </r>
  <r>
    <n v="3407"/>
    <s v="F2"/>
    <x v="108"/>
    <s v="H000005513"/>
    <s v="1954VV - SITE INFRASTRUCTURE"/>
    <s v="H000005510"/>
    <s v="New"/>
    <x v="0"/>
    <x v="0"/>
    <s v="HC"/>
    <m/>
    <m/>
    <s v="Anna Maria Urbano"/>
  </r>
  <r>
    <n v="3408"/>
    <s v="F2"/>
    <x v="108"/>
    <s v="H000005514"/>
    <s v="1954VV - QUALITY"/>
    <s v="H000005510"/>
    <s v="New"/>
    <x v="0"/>
    <x v="0"/>
    <s v="HC"/>
    <m/>
    <m/>
    <s v="Anna Maria Urbano"/>
  </r>
  <r>
    <n v="3409"/>
    <s v="F2"/>
    <x v="108"/>
    <s v="H000005515"/>
    <s v="1954VV - OTHERS"/>
    <s v="H000005510"/>
    <s v="New"/>
    <x v="0"/>
    <x v="0"/>
    <s v="HC"/>
    <m/>
    <m/>
    <s v="Anna Maria Urbano"/>
  </r>
  <r>
    <n v="3410"/>
    <s v="F2"/>
    <x v="108"/>
    <s v="H000005516"/>
    <s v="1954VV - MANUFACTURING"/>
    <s v="H000005511"/>
    <s v="New"/>
    <x v="0"/>
    <x v="0"/>
    <s v="HC"/>
    <m/>
    <m/>
    <s v="Anna Maria Urbano"/>
  </r>
  <r>
    <n v="3411"/>
    <s v="F2"/>
    <x v="108"/>
    <s v="H000005517"/>
    <s v="1954VV - MAINTENANCE AND ENGINEERING"/>
    <s v="H000005512"/>
    <s v="New"/>
    <x v="0"/>
    <x v="0"/>
    <s v="HC"/>
    <m/>
    <m/>
    <s v="Anna Maria Urbano"/>
  </r>
  <r>
    <n v="3412"/>
    <s v="F2"/>
    <x v="108"/>
    <s v="H000005518"/>
    <s v="1954VV - SUPPLY AND PLANNING"/>
    <s v="H000005512"/>
    <s v="New"/>
    <x v="0"/>
    <x v="0"/>
    <s v="HC"/>
    <m/>
    <m/>
    <s v="Anna Maria Urbano"/>
  </r>
  <r>
    <n v="3413"/>
    <s v="F2"/>
    <x v="108"/>
    <s v="H000005519"/>
    <s v="1954VV - SITE SERVICES"/>
    <s v="H000005512"/>
    <s v="New"/>
    <x v="0"/>
    <x v="0"/>
    <s v="HC"/>
    <m/>
    <m/>
    <s v="Anna Maria Urbano"/>
  </r>
  <r>
    <n v="3414"/>
    <s v="F2"/>
    <x v="108"/>
    <s v="H000005520"/>
    <s v="1954VV - MANUFACTURING FACILITIES"/>
    <s v="H000005513"/>
    <s v="New"/>
    <x v="0"/>
    <x v="0"/>
    <s v="HC"/>
    <m/>
    <m/>
    <s v="Anna Maria Urbano"/>
  </r>
  <r>
    <n v="3415"/>
    <s v="F2"/>
    <x v="108"/>
    <s v="H000005521"/>
    <s v="1954VV - OTHER FACILITIES"/>
    <s v="H000005513"/>
    <s v="New"/>
    <x v="0"/>
    <x v="0"/>
    <s v="HC"/>
    <m/>
    <m/>
    <s v="Anna Maria Urbano"/>
  </r>
  <r>
    <n v="3416"/>
    <s v="F2"/>
    <x v="108"/>
    <s v="H000005522"/>
    <s v="1954VV - QA"/>
    <s v="H000005514"/>
    <s v="New"/>
    <x v="0"/>
    <x v="0"/>
    <s v="HC"/>
    <m/>
    <m/>
    <s v="Anna Maria Urbano"/>
  </r>
  <r>
    <n v="3417"/>
    <s v="F2"/>
    <x v="108"/>
    <s v="H000005523"/>
    <s v="1954VV - QC"/>
    <s v="H000005514"/>
    <s v="New"/>
    <x v="0"/>
    <x v="0"/>
    <s v="HC"/>
    <m/>
    <m/>
    <s v="Anna Maria Urbano"/>
  </r>
  <r>
    <n v="3418"/>
    <s v="F2"/>
    <x v="108"/>
    <s v="H000005524"/>
    <s v="1954VV - DS"/>
    <s v="H000005516"/>
    <s v="New"/>
    <x v="0"/>
    <x v="0"/>
    <s v="HC"/>
    <m/>
    <m/>
    <s v="Anna Maria Urbano"/>
  </r>
  <r>
    <n v="3419"/>
    <s v="F2"/>
    <x v="108"/>
    <s v="H000005525"/>
    <s v="1954VV - LABOR"/>
    <s v="H000005524"/>
    <s v="New"/>
    <x v="0"/>
    <x v="0"/>
    <s v="HC"/>
    <m/>
    <m/>
    <s v="Anna Maria Urbano"/>
  </r>
  <r>
    <n v="3420"/>
    <s v="F2"/>
    <x v="108"/>
    <s v="H000005526"/>
    <s v="1954VV - EQUIPMENTS"/>
    <s v="H000005524"/>
    <s v="New"/>
    <x v="0"/>
    <x v="0"/>
    <s v="HC"/>
    <m/>
    <m/>
    <s v="Anna Maria Urbano"/>
  </r>
  <r>
    <n v="3421"/>
    <s v="F2"/>
    <x v="108"/>
    <s v="H000005527"/>
    <s v="1954VV - INDIRECT SERVICES"/>
    <s v="H000005524"/>
    <s v="New"/>
    <x v="0"/>
    <x v="0"/>
    <s v="HC"/>
    <m/>
    <m/>
    <s v="Anna Maria Urbano"/>
  </r>
  <r>
    <n v="3422"/>
    <s v="F2"/>
    <x v="108"/>
    <s v="H000005528"/>
    <s v="1954VV - MCC"/>
    <s v="H000005524"/>
    <s v="New"/>
    <x v="0"/>
    <x v="0"/>
    <s v="HC"/>
    <m/>
    <m/>
    <s v="Anna Maria Urbano"/>
  </r>
  <r>
    <n v="3423"/>
    <s v="F2"/>
    <x v="108"/>
    <s v="H000005529"/>
    <s v="MERCK SWITZERLAND - VEVEY (BEFORE CCH)"/>
    <s v="H000000489"/>
    <s v="New"/>
    <x v="0"/>
    <x v="0"/>
    <s v="HC"/>
    <m/>
    <m/>
    <s v="Anna Maria Urbano"/>
  </r>
  <r>
    <n v="3424"/>
    <s v="F2"/>
    <x v="108"/>
    <s v="H000005530"/>
    <s v="MERCK SWITZERLAND - AUBONNE (CCH)"/>
    <s v="H000000480"/>
    <s v="New"/>
    <x v="0"/>
    <x v="0"/>
    <s v="HC"/>
    <m/>
    <m/>
    <s v="Anna Maria Urbano"/>
  </r>
  <r>
    <n v="3425"/>
    <s v="F2"/>
    <x v="108"/>
    <s v="H000005531"/>
    <s v="1954AU - OPERATIONS"/>
    <s v="H000005530"/>
    <s v="New"/>
    <x v="0"/>
    <x v="0"/>
    <s v="HC"/>
    <m/>
    <m/>
    <s v="Anna Maria Urbano"/>
  </r>
  <r>
    <n v="3426"/>
    <s v="F2"/>
    <x v="108"/>
    <s v="H000005532"/>
    <s v="1954AU - OPERATIONS SUPPORT SERVICES"/>
    <s v="H000005530"/>
    <s v="New"/>
    <x v="0"/>
    <x v="0"/>
    <s v="HC"/>
    <m/>
    <m/>
    <s v="Anna Maria Urbano"/>
  </r>
  <r>
    <n v="3427"/>
    <s v="F2"/>
    <x v="108"/>
    <s v="H000005533"/>
    <s v="1954AU - SITE INFRASTRUCTURE"/>
    <s v="H000005530"/>
    <s v="New"/>
    <x v="0"/>
    <x v="0"/>
    <s v="HC"/>
    <m/>
    <m/>
    <s v="Anna Maria Urbano"/>
  </r>
  <r>
    <n v="3428"/>
    <s v="F2"/>
    <x v="108"/>
    <s v="H000005534"/>
    <s v="1954AU - QUALITY"/>
    <s v="H000005530"/>
    <s v="New"/>
    <x v="0"/>
    <x v="0"/>
    <s v="HC"/>
    <m/>
    <m/>
    <s v="Anna Maria Urbano"/>
  </r>
  <r>
    <n v="3429"/>
    <s v="F2"/>
    <x v="108"/>
    <s v="H000005535"/>
    <s v="1954AU - OTHERS"/>
    <s v="H000005530"/>
    <s v="New"/>
    <x v="0"/>
    <x v="0"/>
    <s v="HC"/>
    <m/>
    <m/>
    <s v="Anna Maria Urbano"/>
  </r>
  <r>
    <n v="3430"/>
    <s v="F2"/>
    <x v="108"/>
    <s v="H000005536"/>
    <s v="1954AU - MANUFACTURING"/>
    <s v="H000005531"/>
    <s v="New"/>
    <x v="0"/>
    <x v="0"/>
    <s v="HC"/>
    <m/>
    <m/>
    <s v="Anna Maria Urbano"/>
  </r>
  <r>
    <n v="3431"/>
    <s v="F2"/>
    <x v="108"/>
    <s v="H000005537"/>
    <s v="1954AU - PACKAGING"/>
    <s v="H000005531"/>
    <s v="New"/>
    <x v="0"/>
    <x v="0"/>
    <s v="HC"/>
    <m/>
    <m/>
    <s v="Anna Maria Urbano"/>
  </r>
  <r>
    <n v="3432"/>
    <s v="F2"/>
    <x v="108"/>
    <s v="H000005538"/>
    <s v="1954AU - MAINTENANCE AND ENGINEERING"/>
    <s v="H000005532"/>
    <s v="New"/>
    <x v="0"/>
    <x v="0"/>
    <s v="HC"/>
    <m/>
    <m/>
    <s v="Anna Maria Urbano"/>
  </r>
  <r>
    <n v="3433"/>
    <s v="F2"/>
    <x v="108"/>
    <s v="H000005539"/>
    <s v="1954AU - SUPPLY AND PLANNING"/>
    <s v="H000005532"/>
    <s v="New"/>
    <x v="0"/>
    <x v="0"/>
    <s v="HC"/>
    <m/>
    <m/>
    <s v="Anna Maria Urbano"/>
  </r>
  <r>
    <n v="3434"/>
    <s v="F2"/>
    <x v="108"/>
    <s v="H000005540"/>
    <s v="1954AU - SITE SERVICES"/>
    <s v="H000005532"/>
    <s v="New"/>
    <x v="0"/>
    <x v="0"/>
    <s v="HC"/>
    <m/>
    <m/>
    <s v="Anna Maria Urbano"/>
  </r>
  <r>
    <n v="3435"/>
    <s v="F2"/>
    <x v="108"/>
    <s v="H000005541"/>
    <s v="1954AU - SHARED OPERATIONS FACILITIES"/>
    <s v="H000005533"/>
    <s v="New"/>
    <x v="0"/>
    <x v="0"/>
    <s v="HC"/>
    <m/>
    <m/>
    <s v="Anna Maria Urbano"/>
  </r>
  <r>
    <n v="3436"/>
    <s v="F2"/>
    <x v="108"/>
    <s v="H000005542"/>
    <s v="1954AU - MANUFACTURING FACILITIES"/>
    <s v="H000005533"/>
    <s v="New"/>
    <x v="0"/>
    <x v="0"/>
    <s v="HC"/>
    <m/>
    <m/>
    <s v="Anna Maria Urbano"/>
  </r>
  <r>
    <n v="3437"/>
    <s v="F2"/>
    <x v="108"/>
    <s v="H000005543"/>
    <s v="1954AU - OTHER FACILITIES"/>
    <s v="H000005533"/>
    <s v="New"/>
    <x v="0"/>
    <x v="0"/>
    <s v="HC"/>
    <m/>
    <m/>
    <s v="Anna Maria Urbano"/>
  </r>
  <r>
    <n v="3438"/>
    <s v="F2"/>
    <x v="108"/>
    <s v="H000005544"/>
    <s v="1954AU - QA"/>
    <s v="H000005534"/>
    <s v="New"/>
    <x v="0"/>
    <x v="0"/>
    <s v="HC"/>
    <m/>
    <m/>
    <s v="Anna Maria Urbano"/>
  </r>
  <r>
    <n v="3439"/>
    <s v="F2"/>
    <x v="108"/>
    <s v="H000005545"/>
    <s v="1954AU - QC"/>
    <s v="H000005534"/>
    <s v="New"/>
    <x v="0"/>
    <x v="0"/>
    <s v="HC"/>
    <m/>
    <m/>
    <s v="Anna Maria Urbano"/>
  </r>
  <r>
    <n v="3440"/>
    <s v="F2"/>
    <x v="108"/>
    <s v="H000005546"/>
    <s v="1954AU - DS"/>
    <s v="H000005536"/>
    <s v="New"/>
    <x v="0"/>
    <x v="0"/>
    <s v="HC"/>
    <m/>
    <m/>
    <s v="Anna Maria Urbano"/>
  </r>
  <r>
    <n v="3441"/>
    <s v="F2"/>
    <x v="108"/>
    <s v="H000005547"/>
    <s v="1954AU - DP"/>
    <s v="H000005536"/>
    <s v="New"/>
    <x v="0"/>
    <x v="0"/>
    <s v="HC"/>
    <m/>
    <m/>
    <s v="Anna Maria Urbano"/>
  </r>
  <r>
    <n v="3442"/>
    <s v="F2"/>
    <x v="108"/>
    <s v="H000005548"/>
    <s v="1954AU - PKG BIOTECH"/>
    <s v="H000005537"/>
    <s v="New"/>
    <x v="0"/>
    <x v="0"/>
    <s v="HC"/>
    <m/>
    <m/>
    <s v="Anna Maria Urbano"/>
  </r>
  <r>
    <n v="3443"/>
    <s v="F2"/>
    <x v="108"/>
    <s v="H000005549"/>
    <s v="1954AU - EQUIPMENTS"/>
    <s v="H000005546"/>
    <s v="New"/>
    <x v="0"/>
    <x v="0"/>
    <s v="HC"/>
    <m/>
    <m/>
    <s v="Anna Maria Urbano"/>
  </r>
  <r>
    <n v="3444"/>
    <s v="F2"/>
    <x v="108"/>
    <s v="H000005550"/>
    <s v="1954AU - LABOR"/>
    <s v="H000005546"/>
    <s v="New"/>
    <x v="0"/>
    <x v="0"/>
    <s v="HC"/>
    <m/>
    <m/>
    <s v="Anna Maria Urbano"/>
  </r>
  <r>
    <n v="3445"/>
    <s v="F2"/>
    <x v="108"/>
    <s v="H000005551"/>
    <s v="1954AU - INDIRECT SERVICES"/>
    <s v="H000005546"/>
    <s v="New"/>
    <x v="0"/>
    <x v="0"/>
    <s v="HC"/>
    <m/>
    <m/>
    <s v="Anna Maria Urbano"/>
  </r>
  <r>
    <n v="3446"/>
    <s v="F2"/>
    <x v="108"/>
    <s v="H000005552"/>
    <s v="1954AU - MCC"/>
    <s v="H000005546"/>
    <s v="New"/>
    <x v="0"/>
    <x v="0"/>
    <s v="HC"/>
    <m/>
    <m/>
    <s v="Anna Maria Urbano"/>
  </r>
  <r>
    <n v="3447"/>
    <s v="F2"/>
    <x v="108"/>
    <s v="H000005553"/>
    <s v="1954AU - EQUIPMENTS"/>
    <s v="H000005547"/>
    <s v="New"/>
    <x v="0"/>
    <x v="0"/>
    <s v="HC"/>
    <m/>
    <m/>
    <s v="Anna Maria Urbano"/>
  </r>
  <r>
    <n v="3448"/>
    <s v="F2"/>
    <x v="108"/>
    <s v="H000005554"/>
    <s v="1954AU - LABOR"/>
    <s v="H000005547"/>
    <s v="New"/>
    <x v="0"/>
    <x v="0"/>
    <s v="HC"/>
    <m/>
    <m/>
    <s v="Anna Maria Urbano"/>
  </r>
  <r>
    <n v="3449"/>
    <s v="F2"/>
    <x v="108"/>
    <s v="H000005555"/>
    <s v="1954AU - INDIRECT SERVICES"/>
    <s v="H000005547"/>
    <s v="New"/>
    <x v="0"/>
    <x v="0"/>
    <s v="HC"/>
    <m/>
    <m/>
    <s v="Anna Maria Urbano"/>
  </r>
  <r>
    <n v="3450"/>
    <s v="F2"/>
    <x v="108"/>
    <s v="H000005556"/>
    <s v="1954AU - MCC"/>
    <s v="H000005547"/>
    <s v="New"/>
    <x v="0"/>
    <x v="0"/>
    <s v="HC"/>
    <m/>
    <m/>
    <s v="Anna Maria Urbano"/>
  </r>
  <r>
    <n v="3451"/>
    <s v="F2"/>
    <x v="108"/>
    <s v="H000005557"/>
    <s v="1954AU - EQUIPMENTS"/>
    <s v="H000005548"/>
    <s v="New"/>
    <x v="0"/>
    <x v="0"/>
    <s v="HC"/>
    <m/>
    <m/>
    <s v="Anna Maria Urbano"/>
  </r>
  <r>
    <n v="3452"/>
    <s v="F2"/>
    <x v="108"/>
    <s v="H000005558"/>
    <s v="1954AU - LABOR"/>
    <s v="H000005548"/>
    <s v="New"/>
    <x v="0"/>
    <x v="0"/>
    <s v="HC"/>
    <m/>
    <m/>
    <s v="Anna Maria Urbano"/>
  </r>
  <r>
    <n v="3453"/>
    <s v="F2"/>
    <x v="108"/>
    <s v="H000005559"/>
    <s v="1954AU - INDIRECT SERVICES"/>
    <s v="H000005548"/>
    <s v="New"/>
    <x v="0"/>
    <x v="0"/>
    <s v="HC"/>
    <m/>
    <m/>
    <s v="Anna Maria Urbano"/>
  </r>
  <r>
    <n v="3454"/>
    <s v="F2"/>
    <x v="108"/>
    <s v="H000005560"/>
    <s v="1954AU - MCC"/>
    <s v="H000005548"/>
    <s v="New"/>
    <x v="0"/>
    <x v="0"/>
    <s v="HC"/>
    <m/>
    <m/>
    <s v="Anna Maria Urbano"/>
  </r>
  <r>
    <n v="3455"/>
    <s v="F2"/>
    <x v="108"/>
    <s v="H000005561"/>
    <s v="MERCK SWITZERLAND - AUBONNE (BEFORE CCH)"/>
    <s v="H000000480"/>
    <s v="New"/>
    <x v="0"/>
    <x v="0"/>
    <s v="HC"/>
    <m/>
    <m/>
    <s v="Anna Maria Urbano"/>
  </r>
  <r>
    <n v="3456"/>
    <s v="F2"/>
    <x v="108"/>
    <s v="H000005562"/>
    <s v="MERCK CHINA - NANTONG (CCH)"/>
    <s v="H000000571"/>
    <s v="New"/>
    <x v="0"/>
    <x v="0"/>
    <s v="HC"/>
    <m/>
    <m/>
    <s v="Anna Maria Urbano"/>
  </r>
  <r>
    <n v="3457"/>
    <s v="F2"/>
    <x v="108"/>
    <s v="H000005563"/>
    <s v="1132NA - OPERATIONS"/>
    <s v="H000005562"/>
    <s v="New"/>
    <x v="0"/>
    <x v="0"/>
    <s v="HC"/>
    <m/>
    <m/>
    <s v="Anna Maria Urbano"/>
  </r>
  <r>
    <n v="3458"/>
    <s v="F2"/>
    <x v="108"/>
    <s v="H000005564"/>
    <s v="1132NA - OPERATIONS SUPPORT SERVICES"/>
    <s v="H000005562"/>
    <s v="New"/>
    <x v="0"/>
    <x v="0"/>
    <s v="HC"/>
    <m/>
    <m/>
    <s v="Anna Maria Urbano"/>
  </r>
  <r>
    <n v="3459"/>
    <s v="F2"/>
    <x v="108"/>
    <s v="H000005565"/>
    <s v="1132NA - SITE INFRASTRUCTURE"/>
    <s v="H000005562"/>
    <s v="New"/>
    <x v="0"/>
    <x v="0"/>
    <s v="HC"/>
    <m/>
    <m/>
    <s v="Anna Maria Urbano"/>
  </r>
  <r>
    <n v="3460"/>
    <s v="F2"/>
    <x v="108"/>
    <s v="H000005566"/>
    <s v="1132NA - QUALITY"/>
    <s v="H000005562"/>
    <s v="New"/>
    <x v="0"/>
    <x v="0"/>
    <s v="HC"/>
    <m/>
    <m/>
    <s v="Anna Maria Urbano"/>
  </r>
  <r>
    <n v="3461"/>
    <s v="F2"/>
    <x v="108"/>
    <s v="H000005567"/>
    <s v="1132NA - OTHERS"/>
    <s v="H000005562"/>
    <s v="New"/>
    <x v="0"/>
    <x v="0"/>
    <s v="HC"/>
    <m/>
    <m/>
    <s v="Anna Maria Urbano"/>
  </r>
  <r>
    <n v="3462"/>
    <s v="F2"/>
    <x v="108"/>
    <s v="H000005568"/>
    <s v="1132NA - MANUFACTURING"/>
    <s v="H000005563"/>
    <s v="New"/>
    <x v="0"/>
    <x v="0"/>
    <s v="HC"/>
    <m/>
    <m/>
    <s v="Anna Maria Urbano"/>
  </r>
  <r>
    <n v="3463"/>
    <s v="F2"/>
    <x v="108"/>
    <s v="H000005569"/>
    <s v="1132NA - PACKAGING"/>
    <s v="H000005563"/>
    <s v="New"/>
    <x v="0"/>
    <x v="0"/>
    <s v="HC"/>
    <m/>
    <m/>
    <s v="Anna Maria Urbano"/>
  </r>
  <r>
    <n v="3464"/>
    <s v="F2"/>
    <x v="108"/>
    <s v="H000005570"/>
    <s v="1132NA - MAINTENANCE AND ENGINEERING"/>
    <s v="H000005564"/>
    <s v="New"/>
    <x v="0"/>
    <x v="0"/>
    <s v="HC"/>
    <m/>
    <m/>
    <s v="Anna Maria Urbano"/>
  </r>
  <r>
    <n v="3465"/>
    <s v="F2"/>
    <x v="108"/>
    <s v="H000005571"/>
    <s v="1132NA - SUPPLY AND PLANNING"/>
    <s v="H000005564"/>
    <s v="New"/>
    <x v="0"/>
    <x v="0"/>
    <s v="HC"/>
    <m/>
    <m/>
    <s v="Anna Maria Urbano"/>
  </r>
  <r>
    <n v="3466"/>
    <s v="F2"/>
    <x v="108"/>
    <s v="H000005572"/>
    <s v="1132NA - SITE SERVICES"/>
    <s v="H000005564"/>
    <s v="New"/>
    <x v="0"/>
    <x v="0"/>
    <s v="HC"/>
    <m/>
    <m/>
    <s v="Anna Maria Urbano"/>
  </r>
  <r>
    <n v="3467"/>
    <s v="F2"/>
    <x v="108"/>
    <s v="H000005573"/>
    <s v="1132NA - MANUFACTURING FACILITIES"/>
    <s v="H000005565"/>
    <s v="New"/>
    <x v="0"/>
    <x v="0"/>
    <s v="HC"/>
    <m/>
    <m/>
    <s v="Anna Maria Urbano"/>
  </r>
  <r>
    <n v="3468"/>
    <s v="F2"/>
    <x v="108"/>
    <s v="H000005574"/>
    <s v="1132NA - PACKAGING FACILITIES"/>
    <s v="H000005565"/>
    <s v="New"/>
    <x v="0"/>
    <x v="0"/>
    <s v="HC"/>
    <m/>
    <m/>
    <s v="Anna Maria Urbano"/>
  </r>
  <r>
    <n v="3469"/>
    <s v="F2"/>
    <x v="108"/>
    <s v="H000005575"/>
    <s v="1132NA - SHARED OPERATIONS FACILITIES"/>
    <s v="H000005565"/>
    <s v="New"/>
    <x v="0"/>
    <x v="0"/>
    <s v="HC"/>
    <m/>
    <m/>
    <s v="Anna Maria Urbano"/>
  </r>
  <r>
    <n v="3470"/>
    <s v="F2"/>
    <x v="108"/>
    <s v="H000005576"/>
    <s v="1132NA - OTHER FACILITIES"/>
    <s v="H000005565"/>
    <s v="New"/>
    <x v="0"/>
    <x v="0"/>
    <s v="HC"/>
    <m/>
    <m/>
    <s v="Anna Maria Urbano"/>
  </r>
  <r>
    <n v="3471"/>
    <s v="F2"/>
    <x v="108"/>
    <s v="H000005577"/>
    <s v="1132NA - QA"/>
    <s v="H000005566"/>
    <s v="New"/>
    <x v="0"/>
    <x v="0"/>
    <s v="HC"/>
    <m/>
    <m/>
    <s v="Anna Maria Urbano"/>
  </r>
  <r>
    <n v="3472"/>
    <s v="F2"/>
    <x v="108"/>
    <s v="H000005578"/>
    <s v="1132NA - QC"/>
    <s v="H000005566"/>
    <s v="New"/>
    <x v="0"/>
    <x v="0"/>
    <s v="HC"/>
    <m/>
    <m/>
    <s v="Anna Maria Urbano"/>
  </r>
  <r>
    <n v="3473"/>
    <s v="F2"/>
    <x v="108"/>
    <s v="H000005579"/>
    <s v="1132NA - QS"/>
    <s v="H000005566"/>
    <s v="New"/>
    <x v="0"/>
    <x v="0"/>
    <s v="HC"/>
    <m/>
    <m/>
    <s v="Anna Maria Urbano"/>
  </r>
  <r>
    <n v="3474"/>
    <s v="F2"/>
    <x v="108"/>
    <s v="H000005580"/>
    <s v="1132NA - SOLID"/>
    <s v="H000005568"/>
    <s v="New"/>
    <x v="0"/>
    <x v="0"/>
    <s v="HC"/>
    <m/>
    <m/>
    <s v="Anna Maria Urbano"/>
  </r>
  <r>
    <n v="3475"/>
    <s v="F2"/>
    <x v="108"/>
    <s v="H000005581"/>
    <s v="1132NA - PKG SOLID"/>
    <s v="H000005569"/>
    <s v="New"/>
    <x v="0"/>
    <x v="0"/>
    <s v="HC"/>
    <m/>
    <m/>
    <s v="Anna Maria Urbano"/>
  </r>
  <r>
    <n v="3476"/>
    <s v="F2"/>
    <x v="108"/>
    <s v="H000005582"/>
    <s v="1132NA - PKG BIOTECH"/>
    <s v="H000005569"/>
    <s v="New"/>
    <x v="0"/>
    <x v="0"/>
    <s v="HC"/>
    <m/>
    <m/>
    <s v="Anna Maria Urbano"/>
  </r>
  <r>
    <n v="3477"/>
    <s v="F2"/>
    <x v="108"/>
    <s v="H000005583"/>
    <s v="1132NA - EQUIPMENTS"/>
    <s v="H000005580"/>
    <s v="New"/>
    <x v="0"/>
    <x v="0"/>
    <s v="HC"/>
    <m/>
    <m/>
    <s v="Anna Maria Urbano"/>
  </r>
  <r>
    <n v="3478"/>
    <s v="F2"/>
    <x v="108"/>
    <s v="H000005584"/>
    <s v="1132NA - LABOR"/>
    <s v="H000005580"/>
    <s v="New"/>
    <x v="0"/>
    <x v="0"/>
    <s v="HC"/>
    <m/>
    <m/>
    <s v="Anna Maria Urbano"/>
  </r>
  <r>
    <n v="3479"/>
    <s v="F2"/>
    <x v="108"/>
    <s v="H000005585"/>
    <s v="1132NA - INDIRECT SERVICES"/>
    <s v="H000005580"/>
    <s v="New"/>
    <x v="0"/>
    <x v="0"/>
    <s v="HC"/>
    <m/>
    <m/>
    <s v="Anna Maria Urbano"/>
  </r>
  <r>
    <n v="3480"/>
    <s v="F2"/>
    <x v="108"/>
    <s v="H000005586"/>
    <s v="1132NA - MCC"/>
    <s v="H000005580"/>
    <s v="New"/>
    <x v="0"/>
    <x v="0"/>
    <s v="HC"/>
    <m/>
    <m/>
    <s v="Anna Maria Urbano"/>
  </r>
  <r>
    <n v="3481"/>
    <s v="F2"/>
    <x v="108"/>
    <s v="H000005587"/>
    <s v="1132NA - EQUIPMENTS"/>
    <s v="H000005581"/>
    <s v="New"/>
    <x v="0"/>
    <x v="0"/>
    <s v="HC"/>
    <m/>
    <m/>
    <s v="Anna Maria Urbano"/>
  </r>
  <r>
    <n v="3482"/>
    <s v="F2"/>
    <x v="108"/>
    <s v="H000005588"/>
    <s v="1132NA - LABOR"/>
    <s v="H000005581"/>
    <s v="New"/>
    <x v="0"/>
    <x v="0"/>
    <s v="HC"/>
    <m/>
    <m/>
    <s v="Anna Maria Urbano"/>
  </r>
  <r>
    <n v="3483"/>
    <s v="F2"/>
    <x v="108"/>
    <s v="H000005589"/>
    <s v="1132NA - INDIRECT SERVICES"/>
    <s v="H000005581"/>
    <s v="New"/>
    <x v="0"/>
    <x v="0"/>
    <s v="HC"/>
    <m/>
    <m/>
    <s v="Anna Maria Urbano"/>
  </r>
  <r>
    <n v="3484"/>
    <s v="F2"/>
    <x v="108"/>
    <s v="H000005590"/>
    <s v="1132NA - MCC"/>
    <s v="H000005581"/>
    <s v="New"/>
    <x v="0"/>
    <x v="0"/>
    <s v="HC"/>
    <m/>
    <m/>
    <s v="Anna Maria Urbano"/>
  </r>
  <r>
    <n v="3485"/>
    <s v="F2"/>
    <x v="108"/>
    <s v="H000005591"/>
    <s v="1132NA - EQUIPMENTS"/>
    <s v="H000005582"/>
    <s v="New"/>
    <x v="0"/>
    <x v="0"/>
    <s v="HC"/>
    <m/>
    <m/>
    <s v="Anna Maria Urbano"/>
  </r>
  <r>
    <n v="3486"/>
    <s v="F2"/>
    <x v="108"/>
    <s v="H000005592"/>
    <s v="1132NA - LABOR"/>
    <s v="H000005582"/>
    <s v="New"/>
    <x v="0"/>
    <x v="0"/>
    <s v="HC"/>
    <m/>
    <m/>
    <s v="Anna Maria Urbano"/>
  </r>
  <r>
    <n v="3487"/>
    <s v="F2"/>
    <x v="108"/>
    <s v="H000005593"/>
    <s v="1132NA - INDIRECT SERVICES"/>
    <s v="H000005582"/>
    <s v="New"/>
    <x v="0"/>
    <x v="0"/>
    <s v="HC"/>
    <m/>
    <m/>
    <s v="Anna Maria Urbano"/>
  </r>
  <r>
    <n v="3488"/>
    <s v="F2"/>
    <x v="108"/>
    <s v="H000005594"/>
    <s v="1132NA - MCC"/>
    <s v="H000005582"/>
    <s v="New"/>
    <x v="0"/>
    <x v="0"/>
    <s v="HC"/>
    <m/>
    <m/>
    <s v="Anna Maria Urbano"/>
  </r>
  <r>
    <n v="3489"/>
    <s v="F2"/>
    <x v="108"/>
    <s v="H000005595"/>
    <s v="MERCK CHINA - NANTONG (BEFORE CCH)"/>
    <s v="H000000571"/>
    <s v="New"/>
    <x v="0"/>
    <x v="0"/>
    <s v="HC"/>
    <m/>
    <m/>
    <s v="Anna Maria Urbano"/>
  </r>
  <r>
    <n v="3490"/>
    <s v="F2"/>
    <x v="108"/>
    <s v="H000005596"/>
    <s v="MERCK GERMANY - DARMSTADT (CCH)"/>
    <s v="H000000562"/>
    <s v="New"/>
    <x v="0"/>
    <x v="0"/>
    <s v="HC"/>
    <m/>
    <m/>
    <s v="Anna Maria Urbano"/>
  </r>
  <r>
    <n v="3491"/>
    <s v="F2"/>
    <x v="108"/>
    <s v="H000005597"/>
    <s v="1261DA - OPERATIONS"/>
    <s v="H000005596"/>
    <s v="New"/>
    <x v="0"/>
    <x v="0"/>
    <s v="HC"/>
    <m/>
    <m/>
    <s v="Anna Maria Urbano"/>
  </r>
  <r>
    <n v="3492"/>
    <s v="F2"/>
    <x v="108"/>
    <s v="H000005598"/>
    <s v="1261DA - OPERATIONS SUPPORT SERVICES"/>
    <s v="H000005596"/>
    <s v="New"/>
    <x v="0"/>
    <x v="0"/>
    <s v="HC"/>
    <m/>
    <m/>
    <s v="Anna Maria Urbano"/>
  </r>
  <r>
    <n v="3493"/>
    <s v="F2"/>
    <x v="108"/>
    <s v="H000005599"/>
    <s v="1261DA - QUALITY"/>
    <s v="H000005596"/>
    <s v="New"/>
    <x v="0"/>
    <x v="0"/>
    <s v="HC"/>
    <m/>
    <m/>
    <s v="Anna Maria Urbano"/>
  </r>
  <r>
    <n v="3494"/>
    <s v="F2"/>
    <x v="108"/>
    <s v="H000005600"/>
    <s v="1261DA - OTHERS"/>
    <s v="H000005596"/>
    <s v="New"/>
    <x v="0"/>
    <x v="0"/>
    <s v="HC"/>
    <m/>
    <m/>
    <s v="Anna Maria Urbano"/>
  </r>
  <r>
    <n v="3495"/>
    <s v="F2"/>
    <x v="108"/>
    <s v="H000005601"/>
    <s v="1261DA - PACKAGING"/>
    <s v="H000005597"/>
    <s v="New"/>
    <x v="0"/>
    <x v="0"/>
    <s v="HC"/>
    <m/>
    <m/>
    <s v="Anna Maria Urbano"/>
  </r>
  <r>
    <n v="3496"/>
    <s v="F2"/>
    <x v="108"/>
    <s v="H000005602"/>
    <s v="1261DA - MANUFACTURING"/>
    <s v="H000005597"/>
    <s v="New"/>
    <x v="0"/>
    <x v="0"/>
    <s v="HC"/>
    <m/>
    <m/>
    <s v="Anna Maria Urbano"/>
  </r>
  <r>
    <n v="3497"/>
    <s v="F2"/>
    <x v="108"/>
    <s v="H000005603"/>
    <s v="1261DA - SITE SERVICES"/>
    <s v="H000005598"/>
    <s v="New"/>
    <x v="0"/>
    <x v="0"/>
    <s v="HC"/>
    <m/>
    <m/>
    <s v="Anna Maria Urbano"/>
  </r>
  <r>
    <n v="3498"/>
    <s v="F2"/>
    <x v="108"/>
    <s v="H000005604"/>
    <s v="1261DA - SUPPLY AND PLANNING"/>
    <s v="H000005598"/>
    <s v="New"/>
    <x v="0"/>
    <x v="0"/>
    <s v="HC"/>
    <m/>
    <m/>
    <s v="Anna Maria Urbano"/>
  </r>
  <r>
    <n v="3499"/>
    <s v="F2"/>
    <x v="108"/>
    <s v="H000005605"/>
    <s v="1261DA - MAINTENANCE AND ENGINEERING"/>
    <s v="H000005598"/>
    <s v="New"/>
    <x v="0"/>
    <x v="0"/>
    <s v="HC"/>
    <m/>
    <m/>
    <s v="Anna Maria Urbano"/>
  </r>
  <r>
    <n v="3500"/>
    <s v="F2"/>
    <x v="108"/>
    <s v="H000005606"/>
    <s v="1261DA - QA"/>
    <s v="H000005599"/>
    <s v="New"/>
    <x v="0"/>
    <x v="0"/>
    <s v="HC"/>
    <m/>
    <m/>
    <s v="Anna Maria Urbano"/>
  </r>
  <r>
    <n v="3501"/>
    <s v="F2"/>
    <x v="108"/>
    <s v="H000005607"/>
    <s v="1261DA - QC"/>
    <s v="H000005599"/>
    <s v="New"/>
    <x v="0"/>
    <x v="0"/>
    <s v="HC"/>
    <m/>
    <m/>
    <s v="Anna Maria Urbano"/>
  </r>
  <r>
    <n v="3502"/>
    <s v="F2"/>
    <x v="108"/>
    <s v="H000005608"/>
    <s v="1261DA - QS"/>
    <s v="H000005599"/>
    <s v="New"/>
    <x v="0"/>
    <x v="0"/>
    <s v="HC"/>
    <m/>
    <m/>
    <s v="Anna Maria Urbano"/>
  </r>
  <r>
    <n v="3503"/>
    <s v="F2"/>
    <x v="108"/>
    <s v="H000005609"/>
    <s v="1261DA - SOLID MFG"/>
    <s v="H000005602"/>
    <s v="New"/>
    <x v="0"/>
    <x v="0"/>
    <s v="HC"/>
    <m/>
    <m/>
    <s v="Anna Maria Urbano"/>
  </r>
  <r>
    <n v="3504"/>
    <s v="F2"/>
    <x v="108"/>
    <s v="H000005610"/>
    <s v="1261DA - SOLID PKG"/>
    <s v="H000005601"/>
    <s v="New"/>
    <x v="0"/>
    <x v="0"/>
    <s v="HC"/>
    <m/>
    <m/>
    <s v="Anna Maria Urbano"/>
  </r>
  <r>
    <n v="3505"/>
    <s v="F2"/>
    <x v="108"/>
    <s v="H000005611"/>
    <s v="1261DA - LIQUID"/>
    <s v="H000005602"/>
    <s v="New"/>
    <x v="0"/>
    <x v="0"/>
    <s v="HC"/>
    <m/>
    <m/>
    <s v="Anna Maria Urbano"/>
  </r>
  <r>
    <n v="3506"/>
    <s v="F2"/>
    <x v="108"/>
    <s v="H000005612"/>
    <s v="1261DA - LTC"/>
    <s v="H000005602"/>
    <s v="New"/>
    <x v="0"/>
    <x v="0"/>
    <s v="HC"/>
    <m/>
    <m/>
    <s v="Anna Maria Urbano"/>
  </r>
  <r>
    <n v="3507"/>
    <s v="F2"/>
    <x v="108"/>
    <s v="H000005613"/>
    <s v="1261DA - MCC"/>
    <s v="H000005609"/>
    <s v="New"/>
    <x v="0"/>
    <x v="0"/>
    <s v="HC"/>
    <m/>
    <m/>
    <s v="Anna Maria Urbano"/>
  </r>
  <r>
    <n v="3508"/>
    <s v="F2"/>
    <x v="108"/>
    <s v="H000005614"/>
    <s v="1261DA - EQUIPMENTS"/>
    <s v="H000005609"/>
    <s v="New"/>
    <x v="0"/>
    <x v="0"/>
    <s v="HC"/>
    <m/>
    <m/>
    <s v="Anna Maria Urbano"/>
  </r>
  <r>
    <n v="3509"/>
    <s v="F2"/>
    <x v="108"/>
    <s v="H000005615"/>
    <s v="1261DA - DIRECT LABOR"/>
    <s v="H000005609"/>
    <s v="New"/>
    <x v="0"/>
    <x v="0"/>
    <s v="HC"/>
    <m/>
    <m/>
    <s v="Anna Maria Urbano"/>
  </r>
  <r>
    <n v="3510"/>
    <s v="F2"/>
    <x v="108"/>
    <s v="H000005616"/>
    <s v="1261DA - INDIRECT SERVICES"/>
    <s v="H000005609"/>
    <s v="New"/>
    <x v="0"/>
    <x v="0"/>
    <s v="HC"/>
    <m/>
    <m/>
    <s v="Anna Maria Urbano"/>
  </r>
  <r>
    <n v="3511"/>
    <s v="F2"/>
    <x v="108"/>
    <s v="H000005617"/>
    <s v="1261DA - MAINTENANCE AND ENGINEERING"/>
    <s v="H000005609"/>
    <s v="New"/>
    <x v="0"/>
    <x v="0"/>
    <s v="HC"/>
    <m/>
    <m/>
    <s v="Anna Maria Urbano"/>
  </r>
  <r>
    <n v="3512"/>
    <s v="F2"/>
    <x v="108"/>
    <s v="H000005618"/>
    <s v="1261DA - SITE INFRASTRUCTURE"/>
    <s v="H000005609"/>
    <s v="New"/>
    <x v="0"/>
    <x v="0"/>
    <s v="HC"/>
    <m/>
    <m/>
    <s v="Anna Maria Urbano"/>
  </r>
  <r>
    <n v="3513"/>
    <s v="F2"/>
    <x v="108"/>
    <s v="H000005619"/>
    <s v="1261DA - SITE SERVICES"/>
    <s v="H000005609"/>
    <s v="New"/>
    <x v="0"/>
    <x v="0"/>
    <s v="HC"/>
    <m/>
    <m/>
    <s v="Anna Maria Urbano"/>
  </r>
  <r>
    <n v="3514"/>
    <s v="F2"/>
    <x v="108"/>
    <s v="H000005620"/>
    <s v="1261DA - MCC"/>
    <s v="H000005610"/>
    <s v="New"/>
    <x v="0"/>
    <x v="0"/>
    <s v="HC"/>
    <m/>
    <m/>
    <s v="Anna Maria Urbano"/>
  </r>
  <r>
    <n v="3515"/>
    <s v="F2"/>
    <x v="108"/>
    <s v="H000005621"/>
    <s v="1261DA - EQUIPMENTS"/>
    <s v="H000005610"/>
    <s v="New"/>
    <x v="0"/>
    <x v="0"/>
    <s v="HC"/>
    <m/>
    <m/>
    <s v="Anna Maria Urbano"/>
  </r>
  <r>
    <n v="3516"/>
    <s v="F2"/>
    <x v="108"/>
    <s v="H000005622"/>
    <s v="1261DA - DIRECT LABOR"/>
    <s v="H000005610"/>
    <s v="New"/>
    <x v="0"/>
    <x v="0"/>
    <s v="HC"/>
    <m/>
    <m/>
    <s v="Anna Maria Urbano"/>
  </r>
  <r>
    <n v="3517"/>
    <s v="F2"/>
    <x v="108"/>
    <s v="H000005623"/>
    <s v="1261DA - INDIRECT SERVICES"/>
    <s v="H000005610"/>
    <s v="New"/>
    <x v="0"/>
    <x v="0"/>
    <s v="HC"/>
    <m/>
    <m/>
    <s v="Anna Maria Urbano"/>
  </r>
  <r>
    <n v="3518"/>
    <s v="F2"/>
    <x v="108"/>
    <s v="H000005624"/>
    <s v="1261DA - MAINTENANCE AND ENGINEERING"/>
    <s v="H000005610"/>
    <s v="New"/>
    <x v="0"/>
    <x v="0"/>
    <s v="HC"/>
    <m/>
    <m/>
    <s v="Anna Maria Urbano"/>
  </r>
  <r>
    <n v="3519"/>
    <s v="F2"/>
    <x v="108"/>
    <s v="H000005625"/>
    <s v="1261DA - SITE INFRASTRUCTURE"/>
    <s v="H000005610"/>
    <s v="New"/>
    <x v="0"/>
    <x v="0"/>
    <s v="HC"/>
    <m/>
    <m/>
    <s v="Anna Maria Urbano"/>
  </r>
  <r>
    <n v="3520"/>
    <s v="F2"/>
    <x v="108"/>
    <s v="H000005626"/>
    <s v="1261DA - SITE SERVICES"/>
    <s v="H000005610"/>
    <s v="New"/>
    <x v="0"/>
    <x v="0"/>
    <s v="HC"/>
    <m/>
    <m/>
    <s v="Anna Maria Urbano"/>
  </r>
  <r>
    <n v="3521"/>
    <s v="F2"/>
    <x v="108"/>
    <s v="H000005627"/>
    <s v="1261DA - MCC"/>
    <s v="H000005611"/>
    <s v="New"/>
    <x v="0"/>
    <x v="0"/>
    <s v="HC"/>
    <m/>
    <m/>
    <s v="Anna Maria Urbano"/>
  </r>
  <r>
    <n v="3522"/>
    <s v="F2"/>
    <x v="108"/>
    <s v="H000005628"/>
    <s v="1261DA - EQUIPMENTS"/>
    <s v="H000005611"/>
    <s v="New"/>
    <x v="0"/>
    <x v="0"/>
    <s v="HC"/>
    <m/>
    <m/>
    <s v="Anna Maria Urbano"/>
  </r>
  <r>
    <n v="3523"/>
    <s v="F2"/>
    <x v="108"/>
    <s v="H000005629"/>
    <s v="1261DA - DIRECT LABOR"/>
    <s v="H000005611"/>
    <s v="New"/>
    <x v="0"/>
    <x v="0"/>
    <s v="HC"/>
    <m/>
    <m/>
    <s v="Anna Maria Urbano"/>
  </r>
  <r>
    <n v="3524"/>
    <s v="F2"/>
    <x v="108"/>
    <s v="H000005630"/>
    <s v="1261DA - INDIRECT SERVICES"/>
    <s v="H000005611"/>
    <s v="New"/>
    <x v="0"/>
    <x v="0"/>
    <s v="HC"/>
    <m/>
    <m/>
    <s v="Anna Maria Urbano"/>
  </r>
  <r>
    <n v="3525"/>
    <s v="F2"/>
    <x v="108"/>
    <s v="H000005631"/>
    <s v="1261DA - MAINTENANCE AND ENGINEERING"/>
    <s v="H000005611"/>
    <s v="New"/>
    <x v="0"/>
    <x v="0"/>
    <s v="HC"/>
    <m/>
    <m/>
    <s v="Anna Maria Urbano"/>
  </r>
  <r>
    <n v="3526"/>
    <s v="F2"/>
    <x v="108"/>
    <s v="H000005632"/>
    <s v="1261DA - SITE INFRASTRUCTURE"/>
    <s v="H000005611"/>
    <s v="New"/>
    <x v="0"/>
    <x v="0"/>
    <s v="HC"/>
    <m/>
    <m/>
    <s v="Anna Maria Urbano"/>
  </r>
  <r>
    <n v="3527"/>
    <s v="F2"/>
    <x v="108"/>
    <s v="H000005633"/>
    <s v="1261DA - SITE SERVICES"/>
    <s v="H000005611"/>
    <s v="New"/>
    <x v="0"/>
    <x v="0"/>
    <s v="HC"/>
    <m/>
    <m/>
    <s v="Anna Maria Urbano"/>
  </r>
  <r>
    <n v="3528"/>
    <s v="F2"/>
    <x v="108"/>
    <s v="H000005634"/>
    <s v="1261DA - MCC"/>
    <s v="H000005612"/>
    <s v="New"/>
    <x v="0"/>
    <x v="0"/>
    <s v="HC"/>
    <m/>
    <m/>
    <s v="Anna Maria Urbano"/>
  </r>
  <r>
    <n v="3529"/>
    <s v="F2"/>
    <x v="108"/>
    <s v="H000005635"/>
    <s v="1261DA - EQUIPMENTS"/>
    <s v="H000005612"/>
    <s v="New"/>
    <x v="0"/>
    <x v="0"/>
    <s v="HC"/>
    <m/>
    <m/>
    <s v="Anna Maria Urbano"/>
  </r>
  <r>
    <n v="3530"/>
    <s v="F2"/>
    <x v="108"/>
    <s v="H000005636"/>
    <s v="1261DA - DIRECT LABOR"/>
    <s v="H000005612"/>
    <s v="New"/>
    <x v="0"/>
    <x v="0"/>
    <s v="HC"/>
    <m/>
    <m/>
    <s v="Anna Maria Urbano"/>
  </r>
  <r>
    <n v="3531"/>
    <s v="F2"/>
    <x v="108"/>
    <s v="H000005637"/>
    <s v="1261DA - INDIRECT SERVICES"/>
    <s v="H000005612"/>
    <s v="New"/>
    <x v="0"/>
    <x v="0"/>
    <s v="HC"/>
    <m/>
    <m/>
    <s v="Anna Maria Urbano"/>
  </r>
  <r>
    <n v="3532"/>
    <s v="F2"/>
    <x v="108"/>
    <s v="H000005638"/>
    <s v="1261DA - MAINTENANCE AND ENGINEERING"/>
    <s v="H000005612"/>
    <s v="New"/>
    <x v="0"/>
    <x v="0"/>
    <s v="HC"/>
    <m/>
    <m/>
    <s v="Anna Maria Urbano"/>
  </r>
  <r>
    <n v="3533"/>
    <s v="F2"/>
    <x v="108"/>
    <s v="H000005639"/>
    <s v="1261DA - SITE INFRASTRUCTURE"/>
    <s v="H000005612"/>
    <s v="New"/>
    <x v="0"/>
    <x v="0"/>
    <s v="HC"/>
    <m/>
    <m/>
    <s v="Anna Maria Urbano"/>
  </r>
  <r>
    <n v="3534"/>
    <s v="F2"/>
    <x v="108"/>
    <s v="H000005640"/>
    <s v="1261DA - SITE SERVICES"/>
    <s v="H000005612"/>
    <s v="New"/>
    <x v="0"/>
    <x v="0"/>
    <s v="HC"/>
    <m/>
    <m/>
    <s v="Anna Maria Urbano"/>
  </r>
  <r>
    <n v="3535"/>
    <s v="F2"/>
    <x v="108"/>
    <s v="H000005641"/>
    <s v="MERCK GERMANY - DARMSTADT (BEFORE CCH)"/>
    <s v="H000000562"/>
    <s v="New"/>
    <x v="0"/>
    <x v="0"/>
    <s v="HC"/>
    <m/>
    <m/>
    <s v="Anna Maria Urbano"/>
  </r>
  <r>
    <n v="3536"/>
    <s v="F2"/>
    <x v="108"/>
    <s v="H000005642"/>
    <s v="MERCK SPAIN - MOLLET PHARMA (CCH)"/>
    <s v="H000000508"/>
    <s v="New"/>
    <x v="0"/>
    <x v="0"/>
    <s v="HC"/>
    <m/>
    <m/>
    <s v="Anna Maria Urbano"/>
  </r>
  <r>
    <n v="3537"/>
    <s v="F2"/>
    <x v="108"/>
    <s v="H000005643"/>
    <s v="1215MP - OPERATIONS"/>
    <s v="H000005642"/>
    <s v="New"/>
    <x v="0"/>
    <x v="0"/>
    <s v="HC"/>
    <m/>
    <m/>
    <s v="Anna Maria Urbano"/>
  </r>
  <r>
    <n v="3538"/>
    <s v="F2"/>
    <x v="108"/>
    <s v="H000005644"/>
    <s v="1215MP - OPERATIONS SUPPORT SERVICES"/>
    <s v="H000005642"/>
    <s v="New"/>
    <x v="0"/>
    <x v="0"/>
    <s v="HC"/>
    <m/>
    <m/>
    <s v="Anna Maria Urbano"/>
  </r>
  <r>
    <n v="3539"/>
    <s v="F2"/>
    <x v="108"/>
    <s v="H000005645"/>
    <s v="1215MP - SITE INFRASTRUCTURE"/>
    <s v="H000005642"/>
    <s v="New"/>
    <x v="0"/>
    <x v="0"/>
    <s v="HC"/>
    <m/>
    <m/>
    <s v="Anna Maria Urbano"/>
  </r>
  <r>
    <n v="3540"/>
    <s v="F2"/>
    <x v="108"/>
    <s v="H000005646"/>
    <s v="1215MP - QUALITY"/>
    <s v="H000005642"/>
    <s v="New"/>
    <x v="0"/>
    <x v="0"/>
    <s v="HC"/>
    <m/>
    <m/>
    <s v="Anna Maria Urbano"/>
  </r>
  <r>
    <n v="3541"/>
    <s v="F2"/>
    <x v="108"/>
    <s v="H000005647"/>
    <s v="1215MP - OTHERS"/>
    <s v="H000005642"/>
    <s v="New"/>
    <x v="0"/>
    <x v="0"/>
    <s v="HC"/>
    <m/>
    <m/>
    <s v="Anna Maria Urbano"/>
  </r>
  <r>
    <n v="3542"/>
    <s v="F2"/>
    <x v="108"/>
    <s v="H000005648"/>
    <s v="1215MP - MANUFACTURING"/>
    <s v="H000005643"/>
    <s v="New"/>
    <x v="0"/>
    <x v="0"/>
    <s v="HC"/>
    <m/>
    <m/>
    <s v="Anna Maria Urbano"/>
  </r>
  <r>
    <n v="3543"/>
    <s v="F2"/>
    <x v="108"/>
    <s v="H000005649"/>
    <s v="1215MP - PACKAGING"/>
    <s v="H000005643"/>
    <s v="New"/>
    <x v="0"/>
    <x v="0"/>
    <s v="HC"/>
    <m/>
    <m/>
    <s v="Anna Maria Urbano"/>
  </r>
  <r>
    <n v="3544"/>
    <s v="F2"/>
    <x v="108"/>
    <s v="H000005650"/>
    <s v="1215MP - SITE SERVICES"/>
    <s v="H000005644"/>
    <s v="New"/>
    <x v="0"/>
    <x v="0"/>
    <s v="HC"/>
    <m/>
    <m/>
    <s v="Anna Maria Urbano"/>
  </r>
  <r>
    <n v="3545"/>
    <s v="F2"/>
    <x v="108"/>
    <s v="H000005651"/>
    <s v="1215MP - SUPPLY AND PLANNING"/>
    <s v="H000005644"/>
    <s v="New"/>
    <x v="0"/>
    <x v="0"/>
    <s v="HC"/>
    <m/>
    <m/>
    <s v="Anna Maria Urbano"/>
  </r>
  <r>
    <n v="3546"/>
    <s v="F2"/>
    <x v="108"/>
    <s v="H000005652"/>
    <s v="1215MP - MAINTENANCE AND ENGINEERING"/>
    <s v="H000005644"/>
    <s v="New"/>
    <x v="0"/>
    <x v="0"/>
    <s v="HC"/>
    <m/>
    <m/>
    <s v="Anna Maria Urbano"/>
  </r>
  <r>
    <n v="3547"/>
    <s v="F2"/>
    <x v="108"/>
    <s v="H000005653"/>
    <s v="1215MP - QA"/>
    <s v="H000005646"/>
    <s v="New"/>
    <x v="0"/>
    <x v="0"/>
    <s v="HC"/>
    <m/>
    <m/>
    <s v="Anna Maria Urbano"/>
  </r>
  <r>
    <n v="3548"/>
    <s v="F2"/>
    <x v="108"/>
    <s v="H000005654"/>
    <s v="1215MP - QC"/>
    <s v="H000005646"/>
    <s v="New"/>
    <x v="0"/>
    <x v="0"/>
    <s v="HC"/>
    <m/>
    <m/>
    <s v="Anna Maria Urbano"/>
  </r>
  <r>
    <n v="3549"/>
    <s v="F2"/>
    <x v="108"/>
    <s v="H000005655"/>
    <s v="1215MP - OTHER FACILITIES"/>
    <s v="H000005645"/>
    <s v="New"/>
    <x v="0"/>
    <x v="0"/>
    <s v="HC"/>
    <m/>
    <m/>
    <s v="Anna Maria Urbano"/>
  </r>
  <r>
    <n v="3550"/>
    <s v="F2"/>
    <x v="108"/>
    <s v="H000005656"/>
    <s v="1215MP - MANUFACTURING FACILITIES"/>
    <s v="H000005645"/>
    <s v="New"/>
    <x v="0"/>
    <x v="0"/>
    <s v="HC"/>
    <m/>
    <m/>
    <s v="Anna Maria Urbano"/>
  </r>
  <r>
    <n v="3551"/>
    <s v="F2"/>
    <x v="108"/>
    <s v="H000005657"/>
    <s v="1215MP - SOLID"/>
    <s v="H000005648"/>
    <s v="New"/>
    <x v="0"/>
    <x v="0"/>
    <s v="HC"/>
    <m/>
    <m/>
    <s v="Anna Maria Urbano"/>
  </r>
  <r>
    <n v="3552"/>
    <s v="F2"/>
    <x v="108"/>
    <s v="H000005658"/>
    <s v="1215MP - PCK SOLID"/>
    <s v="H000005649"/>
    <s v="New"/>
    <x v="0"/>
    <x v="0"/>
    <s v="HC"/>
    <m/>
    <m/>
    <s v="Anna Maria Urbano"/>
  </r>
  <r>
    <n v="3553"/>
    <s v="F2"/>
    <x v="108"/>
    <s v="H000005659"/>
    <s v="1215MP - LABOR"/>
    <s v="H000005658"/>
    <s v="New"/>
    <x v="0"/>
    <x v="0"/>
    <s v="HC"/>
    <m/>
    <m/>
    <s v="Anna Maria Urbano"/>
  </r>
  <r>
    <n v="3554"/>
    <s v="F2"/>
    <x v="108"/>
    <s v="H000005660"/>
    <s v="1215MP - MCC"/>
    <s v="H000005658"/>
    <s v="New"/>
    <x v="0"/>
    <x v="0"/>
    <s v="HC"/>
    <m/>
    <m/>
    <s v="Anna Maria Urbano"/>
  </r>
  <r>
    <n v="3555"/>
    <s v="F2"/>
    <x v="108"/>
    <s v="H000005661"/>
    <s v="1215MP - EQUIPMENTS"/>
    <s v="H000005658"/>
    <s v="New"/>
    <x v="0"/>
    <x v="0"/>
    <s v="HC"/>
    <m/>
    <m/>
    <s v="Anna Maria Urbano"/>
  </r>
  <r>
    <n v="3556"/>
    <s v="F2"/>
    <x v="108"/>
    <s v="H000005662"/>
    <s v="1215MP - INDIRECT SERVICES"/>
    <s v="H000005658"/>
    <s v="New"/>
    <x v="0"/>
    <x v="0"/>
    <s v="HC"/>
    <m/>
    <m/>
    <s v="Anna Maria Urbano"/>
  </r>
  <r>
    <n v="3557"/>
    <s v="F2"/>
    <x v="108"/>
    <s v="H000005663"/>
    <s v="1215MP - LABOR"/>
    <s v="H000005657"/>
    <s v="New"/>
    <x v="0"/>
    <x v="0"/>
    <s v="HC"/>
    <m/>
    <m/>
    <s v="Anna Maria Urbano"/>
  </r>
  <r>
    <n v="3558"/>
    <s v="F2"/>
    <x v="108"/>
    <s v="H000005664"/>
    <s v="1215MP - MCC"/>
    <s v="H000005657"/>
    <s v="New"/>
    <x v="0"/>
    <x v="0"/>
    <s v="HC"/>
    <m/>
    <m/>
    <s v="Anna Maria Urbano"/>
  </r>
  <r>
    <n v="3559"/>
    <s v="F2"/>
    <x v="108"/>
    <s v="H000005665"/>
    <s v="1215MP - EQUIPMENTS"/>
    <s v="H000005657"/>
    <s v="New"/>
    <x v="0"/>
    <x v="0"/>
    <s v="HC"/>
    <m/>
    <m/>
    <s v="Anna Maria Urbano"/>
  </r>
  <r>
    <n v="3560"/>
    <s v="F2"/>
    <x v="108"/>
    <s v="H000005666"/>
    <s v="1215MP - INDIRECT SERVICES"/>
    <s v="H000005657"/>
    <s v="New"/>
    <x v="0"/>
    <x v="0"/>
    <s v="HC"/>
    <m/>
    <m/>
    <s v="Anna Maria Urbano"/>
  </r>
  <r>
    <n v="3561"/>
    <s v="F2"/>
    <x v="108"/>
    <s v="H000005667"/>
    <s v="MERCK SPAIN - MOLLET PHARMA (BEFORE CCH)"/>
    <s v="H000000508"/>
    <s v="New"/>
    <x v="0"/>
    <x v="0"/>
    <s v="HC"/>
    <m/>
    <m/>
    <s v="Anna Maria Urbano"/>
  </r>
  <r>
    <n v="3562"/>
    <s v="F2"/>
    <x v="108"/>
    <s v="H000005668"/>
    <s v="MERCK SPAIN - MOLLET CHEMICALS (CCH)"/>
    <s v="H000000517"/>
    <s v="New"/>
    <x v="0"/>
    <x v="0"/>
    <s v="HC"/>
    <m/>
    <m/>
    <s v="Anna Maria Urbano"/>
  </r>
  <r>
    <n v="3563"/>
    <s v="F2"/>
    <x v="108"/>
    <s v="H000005669"/>
    <s v="1215MC - OPERATIONS"/>
    <s v="H000005668"/>
    <s v="New"/>
    <x v="0"/>
    <x v="0"/>
    <s v="HC"/>
    <m/>
    <m/>
    <s v="Anna Maria Urbano"/>
  </r>
  <r>
    <n v="3564"/>
    <s v="F2"/>
    <x v="108"/>
    <s v="H000005670"/>
    <s v="1215MC - OPERATIONS SUPPORT SERVICES"/>
    <s v="H000005668"/>
    <s v="New"/>
    <x v="0"/>
    <x v="0"/>
    <s v="HC"/>
    <m/>
    <m/>
    <s v="Anna Maria Urbano"/>
  </r>
  <r>
    <n v="3565"/>
    <s v="F2"/>
    <x v="108"/>
    <s v="H000005671"/>
    <s v="1215MC - SITE INFRASTRUCTURE"/>
    <s v="H000005668"/>
    <s v="New"/>
    <x v="0"/>
    <x v="0"/>
    <s v="HC"/>
    <m/>
    <m/>
    <s v="Anna Maria Urbano"/>
  </r>
  <r>
    <n v="3566"/>
    <s v="F2"/>
    <x v="108"/>
    <s v="H000005672"/>
    <s v="1215MC - QUALITY"/>
    <s v="H000005668"/>
    <s v="New"/>
    <x v="0"/>
    <x v="0"/>
    <s v="HC"/>
    <m/>
    <m/>
    <s v="Anna Maria Urbano"/>
  </r>
  <r>
    <n v="3567"/>
    <s v="F2"/>
    <x v="108"/>
    <s v="H000005673"/>
    <s v="1215MC - OTHERS"/>
    <s v="H000005668"/>
    <s v="New"/>
    <x v="0"/>
    <x v="0"/>
    <s v="HC"/>
    <m/>
    <m/>
    <s v="Anna Maria Urbano"/>
  </r>
  <r>
    <n v="3568"/>
    <s v="F2"/>
    <x v="108"/>
    <s v="H000005674"/>
    <s v="1215MC - MANUFACTURING"/>
    <s v="H000005669"/>
    <s v="New"/>
    <x v="0"/>
    <x v="0"/>
    <s v="HC"/>
    <m/>
    <m/>
    <s v="Anna Maria Urbano"/>
  </r>
  <r>
    <n v="3569"/>
    <s v="F2"/>
    <x v="108"/>
    <s v="H000005675"/>
    <s v="1215MC - SITE SERVICES"/>
    <s v="H000005670"/>
    <s v="New"/>
    <x v="0"/>
    <x v="0"/>
    <s v="HC"/>
    <m/>
    <m/>
    <s v="Anna Maria Urbano"/>
  </r>
  <r>
    <n v="3570"/>
    <s v="F2"/>
    <x v="108"/>
    <s v="H000005676"/>
    <s v="1215MC - MAINTENANCE AND ENGINEERING"/>
    <s v="H000005670"/>
    <s v="New"/>
    <x v="0"/>
    <x v="0"/>
    <s v="HC"/>
    <m/>
    <m/>
    <s v="Anna Maria Urbano"/>
  </r>
  <r>
    <n v="3571"/>
    <s v="F2"/>
    <x v="108"/>
    <s v="H000005677"/>
    <s v="1215MC - SUPPLY AND PLANNING"/>
    <s v="H000005670"/>
    <s v="New"/>
    <x v="0"/>
    <x v="0"/>
    <s v="HC"/>
    <m/>
    <m/>
    <s v="Anna Maria Urbano"/>
  </r>
  <r>
    <n v="3572"/>
    <s v="F2"/>
    <x v="108"/>
    <s v="H000005678"/>
    <s v="1215MC - OTHER FACILITIES"/>
    <s v="H000005671"/>
    <s v="New"/>
    <x v="0"/>
    <x v="0"/>
    <s v="HC"/>
    <m/>
    <m/>
    <s v="Anna Maria Urbano"/>
  </r>
  <r>
    <n v="3573"/>
    <s v="F2"/>
    <x v="108"/>
    <s v="H000005679"/>
    <s v="1215MC - MANUFACTURING FACILITIES"/>
    <s v="H000005671"/>
    <s v="New"/>
    <x v="0"/>
    <x v="0"/>
    <s v="HC"/>
    <m/>
    <m/>
    <s v="Anna Maria Urbano"/>
  </r>
  <r>
    <n v="3574"/>
    <s v="F2"/>
    <x v="108"/>
    <s v="H000005680"/>
    <s v="1215MC - QA"/>
    <s v="H000005672"/>
    <s v="New"/>
    <x v="0"/>
    <x v="0"/>
    <s v="HC"/>
    <m/>
    <m/>
    <s v="Anna Maria Urbano"/>
  </r>
  <r>
    <n v="3575"/>
    <s v="F2"/>
    <x v="108"/>
    <s v="H000005681"/>
    <s v="1215MC - QC"/>
    <s v="H000005672"/>
    <s v="New"/>
    <x v="0"/>
    <x v="0"/>
    <s v="HC"/>
    <m/>
    <m/>
    <s v="Anna Maria Urbano"/>
  </r>
  <r>
    <n v="3576"/>
    <s v="F2"/>
    <x v="108"/>
    <s v="H000005682"/>
    <s v="1215MC - API"/>
    <s v="H000005674"/>
    <s v="New"/>
    <x v="0"/>
    <x v="0"/>
    <s v="HC"/>
    <m/>
    <m/>
    <s v="Anna Maria Urbano"/>
  </r>
  <r>
    <n v="3577"/>
    <s v="F2"/>
    <x v="108"/>
    <s v="H000005683"/>
    <s v="1215MC - ELECTRONICS"/>
    <s v="H000005674"/>
    <s v="New"/>
    <x v="0"/>
    <x v="0"/>
    <s v="HC"/>
    <m/>
    <m/>
    <s v="Anna Maria Urbano"/>
  </r>
  <r>
    <n v="3578"/>
    <s v="F2"/>
    <x v="108"/>
    <s v="H000005684"/>
    <s v="1215MC - LIFE SCIENCE"/>
    <s v="H000005674"/>
    <s v="New"/>
    <x v="0"/>
    <x v="0"/>
    <s v="HC"/>
    <m/>
    <m/>
    <s v="Anna Maria Urbano"/>
  </r>
  <r>
    <n v="3579"/>
    <s v="F2"/>
    <x v="108"/>
    <s v="H000005685"/>
    <s v="1215MC - MCC"/>
    <s v="H000005682"/>
    <s v="New"/>
    <x v="0"/>
    <x v="0"/>
    <s v="HC"/>
    <m/>
    <m/>
    <s v="Anna Maria Urbano"/>
  </r>
  <r>
    <n v="3580"/>
    <s v="F2"/>
    <x v="108"/>
    <s v="H000005686"/>
    <s v="1215MC - LABOR"/>
    <s v="H000005682"/>
    <s v="New"/>
    <x v="0"/>
    <x v="0"/>
    <s v="HC"/>
    <m/>
    <m/>
    <s v="Anna Maria Urbano"/>
  </r>
  <r>
    <n v="3581"/>
    <s v="F2"/>
    <x v="108"/>
    <s v="H000005687"/>
    <s v="1215MC - EQUIPMENTS"/>
    <s v="H000005682"/>
    <s v="New"/>
    <x v="0"/>
    <x v="0"/>
    <s v="HC"/>
    <m/>
    <m/>
    <s v="Anna Maria Urbano"/>
  </r>
  <r>
    <n v="3582"/>
    <s v="F2"/>
    <x v="108"/>
    <s v="H000005688"/>
    <s v="1215MC - INDIRECT SERVICES"/>
    <s v="H000005682"/>
    <s v="New"/>
    <x v="0"/>
    <x v="0"/>
    <s v="HC"/>
    <m/>
    <m/>
    <s v="Anna Maria Urbano"/>
  </r>
  <r>
    <n v="3583"/>
    <s v="F2"/>
    <x v="108"/>
    <s v="H000005689"/>
    <s v="1215MC - MCC"/>
    <s v="H000005683"/>
    <s v="New"/>
    <x v="0"/>
    <x v="0"/>
    <s v="HC"/>
    <m/>
    <m/>
    <s v="Anna Maria Urbano"/>
  </r>
  <r>
    <n v="3584"/>
    <s v="F2"/>
    <x v="108"/>
    <s v="H000005690"/>
    <s v="1215MC - LABOR"/>
    <s v="H000005683"/>
    <s v="New"/>
    <x v="0"/>
    <x v="0"/>
    <s v="HC"/>
    <m/>
    <m/>
    <s v="Anna Maria Urbano"/>
  </r>
  <r>
    <n v="3585"/>
    <s v="F2"/>
    <x v="108"/>
    <s v="H000005691"/>
    <s v="1215MC - EQUIPMENTS"/>
    <s v="H000005683"/>
    <s v="New"/>
    <x v="0"/>
    <x v="0"/>
    <s v="HC"/>
    <m/>
    <m/>
    <s v="Anna Maria Urbano"/>
  </r>
  <r>
    <n v="3586"/>
    <s v="F2"/>
    <x v="108"/>
    <s v="H000005692"/>
    <s v="1215MC - INDIRECT SERVICES"/>
    <s v="H000005683"/>
    <s v="New"/>
    <x v="0"/>
    <x v="0"/>
    <s v="HC"/>
    <m/>
    <m/>
    <s v="Anna Maria Urbano"/>
  </r>
  <r>
    <n v="3587"/>
    <s v="F2"/>
    <x v="108"/>
    <s v="H000005693"/>
    <s v="1215MC - MCC"/>
    <s v="H000005684"/>
    <s v="New"/>
    <x v="0"/>
    <x v="0"/>
    <s v="HC"/>
    <m/>
    <m/>
    <s v="Anna Maria Urbano"/>
  </r>
  <r>
    <n v="3588"/>
    <s v="F2"/>
    <x v="108"/>
    <s v="H000005694"/>
    <s v="1215MC - LABOR"/>
    <s v="H000005684"/>
    <s v="New"/>
    <x v="0"/>
    <x v="0"/>
    <s v="HC"/>
    <m/>
    <m/>
    <s v="Anna Maria Urbano"/>
  </r>
  <r>
    <n v="3589"/>
    <s v="F2"/>
    <x v="108"/>
    <s v="H000005695"/>
    <s v="1215MC - EQUIPMENTS"/>
    <s v="H000005684"/>
    <s v="New"/>
    <x v="0"/>
    <x v="0"/>
    <s v="HC"/>
    <m/>
    <m/>
    <s v="Anna Maria Urbano"/>
  </r>
  <r>
    <n v="3590"/>
    <s v="F2"/>
    <x v="108"/>
    <s v="H000005696"/>
    <s v="1215MC - INDIRECT SERVICES"/>
    <s v="H000005684"/>
    <s v="New"/>
    <x v="0"/>
    <x v="0"/>
    <s v="HC"/>
    <m/>
    <m/>
    <s v="Anna Maria Urbano"/>
  </r>
  <r>
    <n v="3591"/>
    <s v="F2"/>
    <x v="108"/>
    <s v="H000005697"/>
    <s v="MERCK SPAIN - MOLLET CHEMICALS (BEF CCH)"/>
    <s v="H000000517"/>
    <s v="New"/>
    <x v="0"/>
    <x v="0"/>
    <s v="HC"/>
    <m/>
    <m/>
    <s v="Anna Maria Urbano"/>
  </r>
  <r>
    <n v="3592"/>
    <s v="F2"/>
    <x v="108"/>
    <s v="H000005698"/>
    <s v="MERCK SPAIN - TRES CANTOS (CCH)"/>
    <s v="H000000462"/>
    <s v="New"/>
    <x v="0"/>
    <x v="0"/>
    <s v="HC"/>
    <m/>
    <m/>
    <s v="Anna Maria Urbano"/>
  </r>
  <r>
    <n v="3593"/>
    <s v="F2"/>
    <x v="108"/>
    <s v="H000005699"/>
    <s v="1215TC - OPERATIONS"/>
    <s v="H000005698"/>
    <s v="New"/>
    <x v="0"/>
    <x v="0"/>
    <s v="HC"/>
    <m/>
    <m/>
    <s v="Anna Maria Urbano"/>
  </r>
  <r>
    <n v="3594"/>
    <s v="F2"/>
    <x v="108"/>
    <s v="H000005700"/>
    <s v="1215TC - OPERATIONS SUPPORT SERVICES"/>
    <s v="H000005698"/>
    <s v="New"/>
    <x v="0"/>
    <x v="0"/>
    <s v="HC"/>
    <m/>
    <m/>
    <s v="Anna Maria Urbano"/>
  </r>
  <r>
    <n v="3595"/>
    <s v="F2"/>
    <x v="108"/>
    <s v="H000005701"/>
    <s v="1215TC - SITE INFRASTRUCTURE"/>
    <s v="H000005698"/>
    <s v="New"/>
    <x v="0"/>
    <x v="0"/>
    <s v="HC"/>
    <m/>
    <m/>
    <s v="Anna Maria Urbano"/>
  </r>
  <r>
    <n v="3596"/>
    <s v="F2"/>
    <x v="108"/>
    <s v="H000005702"/>
    <s v="1215TC - QUALITY"/>
    <s v="H000005698"/>
    <s v="New"/>
    <x v="0"/>
    <x v="0"/>
    <s v="HC"/>
    <m/>
    <m/>
    <s v="Anna Maria Urbano"/>
  </r>
  <r>
    <n v="3597"/>
    <s v="F2"/>
    <x v="108"/>
    <s v="H000005703"/>
    <s v="1215TC - OTHERS"/>
    <s v="H000005698"/>
    <s v="New"/>
    <x v="0"/>
    <x v="0"/>
    <s v="HC"/>
    <m/>
    <m/>
    <s v="Anna Maria Urbano"/>
  </r>
  <r>
    <n v="3598"/>
    <s v="F2"/>
    <x v="108"/>
    <s v="H000005704"/>
    <s v="1215TC - MANUFACTURING"/>
    <s v="H000005699"/>
    <s v="New"/>
    <x v="0"/>
    <x v="0"/>
    <s v="HC"/>
    <m/>
    <m/>
    <s v="Anna Maria Urbano"/>
  </r>
  <r>
    <n v="3599"/>
    <s v="F2"/>
    <x v="108"/>
    <s v="H000005705"/>
    <s v="1215TC - SITE SERVICES"/>
    <s v="H000005700"/>
    <s v="New"/>
    <x v="0"/>
    <x v="0"/>
    <s v="HC"/>
    <m/>
    <m/>
    <s v="Anna Maria Urbano"/>
  </r>
  <r>
    <n v="3600"/>
    <s v="F2"/>
    <x v="108"/>
    <s v="H000005706"/>
    <s v="1215TC - MAINTENANCE AND ENGINEERING"/>
    <s v="H000005700"/>
    <s v="New"/>
    <x v="0"/>
    <x v="0"/>
    <s v="HC"/>
    <m/>
    <m/>
    <s v="Anna Maria Urbano"/>
  </r>
  <r>
    <n v="3601"/>
    <s v="F2"/>
    <x v="108"/>
    <s v="H000005707"/>
    <s v="1215TC - SUPPLY AND PLANNING"/>
    <s v="H000005700"/>
    <s v="New"/>
    <x v="0"/>
    <x v="0"/>
    <s v="HC"/>
    <m/>
    <m/>
    <s v="Anna Maria Urbano"/>
  </r>
  <r>
    <n v="3602"/>
    <s v="F2"/>
    <x v="108"/>
    <s v="H000005708"/>
    <s v="1215TC - QA"/>
    <s v="H000005702"/>
    <s v="New"/>
    <x v="0"/>
    <x v="0"/>
    <s v="HC"/>
    <m/>
    <m/>
    <s v="Anna Maria Urbano"/>
  </r>
  <r>
    <n v="3603"/>
    <s v="F2"/>
    <x v="108"/>
    <s v="H000005709"/>
    <s v="1215TC - QC"/>
    <s v="H000005702"/>
    <s v="New"/>
    <x v="0"/>
    <x v="0"/>
    <s v="HC"/>
    <m/>
    <m/>
    <s v="Anna Maria Urbano"/>
  </r>
  <r>
    <n v="3604"/>
    <s v="F2"/>
    <x v="108"/>
    <s v="H000005710"/>
    <s v="1215TC - MANUFACTURING FACILITIES"/>
    <s v="H000005701"/>
    <s v="New"/>
    <x v="0"/>
    <x v="0"/>
    <s v="HC"/>
    <m/>
    <m/>
    <s v="Anna Maria Urbano"/>
  </r>
  <r>
    <n v="3605"/>
    <s v="F2"/>
    <x v="108"/>
    <s v="H000005711"/>
    <s v="1215TC - DS"/>
    <s v="H000005704"/>
    <s v="New"/>
    <x v="0"/>
    <x v="0"/>
    <s v="HC"/>
    <m/>
    <m/>
    <s v="Anna Maria Urbano"/>
  </r>
  <r>
    <n v="3606"/>
    <s v="F2"/>
    <x v="108"/>
    <s v="H000005712"/>
    <s v="1215TC - MSAT MFG"/>
    <s v="H000005704"/>
    <s v="New"/>
    <x v="0"/>
    <x v="0"/>
    <s v="HC"/>
    <m/>
    <m/>
    <s v="Anna Maria Urbano"/>
  </r>
  <r>
    <n v="3607"/>
    <s v="F2"/>
    <x v="108"/>
    <s v="H000005713"/>
    <s v="1215TC - MCC"/>
    <s v="H000005711"/>
    <s v="New"/>
    <x v="0"/>
    <x v="0"/>
    <s v="HC"/>
    <m/>
    <m/>
    <s v="Anna Maria Urbano"/>
  </r>
  <r>
    <n v="3608"/>
    <s v="F2"/>
    <x v="108"/>
    <s v="H000005714"/>
    <s v="1215TC - EQUIPMENTS"/>
    <s v="H000005711"/>
    <s v="New"/>
    <x v="0"/>
    <x v="0"/>
    <s v="HC"/>
    <m/>
    <m/>
    <s v="Anna Maria Urbano"/>
  </r>
  <r>
    <n v="3609"/>
    <s v="F2"/>
    <x v="108"/>
    <s v="H000005715"/>
    <s v="1215TC - INDIRECT SERVICES"/>
    <s v="H000005711"/>
    <s v="New"/>
    <x v="0"/>
    <x v="0"/>
    <s v="HC"/>
    <m/>
    <m/>
    <s v="Anna Maria Urbano"/>
  </r>
  <r>
    <n v="3610"/>
    <s v="F2"/>
    <x v="108"/>
    <s v="H000005716"/>
    <s v="1215TC - LABOR"/>
    <s v="H000005711"/>
    <s v="New"/>
    <x v="0"/>
    <x v="0"/>
    <s v="HC"/>
    <m/>
    <m/>
    <s v="Anna Maria Urbano"/>
  </r>
  <r>
    <n v="3611"/>
    <s v="F2"/>
    <x v="108"/>
    <s v="H000005717"/>
    <s v="MERCK SPAIN - TRES CANTOS (BEFORE CCH)"/>
    <s v="H000000462"/>
    <s v="New"/>
    <x v="0"/>
    <x v="0"/>
    <s v="HC"/>
    <m/>
    <m/>
    <s v="Anna Maria Urbano"/>
  </r>
  <r>
    <n v="3612"/>
    <s v="F2"/>
    <x v="109"/>
    <s v="L000013970"/>
    <m/>
    <m/>
    <s v="Remove"/>
    <x v="0"/>
    <x v="2"/>
    <s v="LS"/>
    <m/>
    <m/>
    <s v="Kalyani Raju"/>
  </r>
  <r>
    <n v="3613"/>
    <s v="F2"/>
    <x v="109"/>
    <s v="L000008335"/>
    <m/>
    <m/>
    <s v="Remove"/>
    <x v="0"/>
    <x v="2"/>
    <s v="LS"/>
    <m/>
    <m/>
    <s v="Kalyani Raju"/>
  </r>
  <r>
    <n v="3614"/>
    <s v="F2"/>
    <x v="109"/>
    <s v="L000005092"/>
    <m/>
    <m/>
    <s v="Remove"/>
    <x v="0"/>
    <x v="2"/>
    <s v="LS"/>
    <m/>
    <m/>
    <s v="Kalyani Raju"/>
  </r>
  <r>
    <n v="3615"/>
    <s v="F2"/>
    <x v="109"/>
    <s v="L000012791"/>
    <m/>
    <m/>
    <s v="Remove"/>
    <x v="0"/>
    <x v="2"/>
    <s v="LS"/>
    <m/>
    <m/>
    <s v="Kalyani Raju"/>
  </r>
  <r>
    <n v="3616"/>
    <s v="F2"/>
    <x v="109"/>
    <s v="L000008336"/>
    <m/>
    <m/>
    <s v="Remove"/>
    <x v="0"/>
    <x v="2"/>
    <s v="LS"/>
    <m/>
    <m/>
    <s v="Kalyani Raju"/>
  </r>
  <r>
    <n v="3617"/>
    <s v="F2"/>
    <x v="109"/>
    <s v="L000011868 "/>
    <m/>
    <m/>
    <s v="Remove"/>
    <x v="0"/>
    <x v="2"/>
    <s v="LS"/>
    <m/>
    <m/>
    <s v="Kalyani Raju"/>
  </r>
  <r>
    <n v="3618"/>
    <s v="F2"/>
    <x v="109"/>
    <s v="L000008349"/>
    <m/>
    <m/>
    <s v="Remove"/>
    <x v="0"/>
    <x v="2"/>
    <s v="LS"/>
    <m/>
    <m/>
    <s v="Kalyani Raju"/>
  </r>
  <r>
    <n v="3619"/>
    <s v="F2"/>
    <x v="109"/>
    <s v="L000013973 "/>
    <m/>
    <m/>
    <s v="Remove"/>
    <x v="0"/>
    <x v="2"/>
    <s v="LS"/>
    <m/>
    <m/>
    <s v="Kalyani Raju"/>
  </r>
  <r>
    <n v="3620"/>
    <s v="F2"/>
    <x v="109"/>
    <s v="L000013974 "/>
    <m/>
    <m/>
    <s v="Remove"/>
    <x v="0"/>
    <x v="2"/>
    <s v="LS"/>
    <m/>
    <m/>
    <s v="Kalyani Raju"/>
  </r>
  <r>
    <n v="3621"/>
    <s v="F2"/>
    <x v="109"/>
    <s v="L000008320"/>
    <m/>
    <m/>
    <s v="Remove"/>
    <x v="0"/>
    <x v="2"/>
    <s v="LS"/>
    <m/>
    <m/>
    <s v="Kalyani Raju"/>
  </r>
  <r>
    <n v="3622"/>
    <s v="F2"/>
    <x v="109"/>
    <s v="L000008323"/>
    <m/>
    <m/>
    <s v="Remove"/>
    <x v="0"/>
    <x v="2"/>
    <s v="LS"/>
    <m/>
    <m/>
    <s v="Kalyani Raju"/>
  </r>
  <r>
    <n v="3623"/>
    <s v="F2"/>
    <x v="109"/>
    <s v="L000008345"/>
    <s v="DE Commercial Excellence &amp; Tech Servc"/>
    <m/>
    <s v="Rename"/>
    <x v="0"/>
    <x v="2"/>
    <s v="LS"/>
    <m/>
    <m/>
    <s v="Kalyani Raju"/>
  </r>
  <r>
    <n v="3624"/>
    <s v="F2"/>
    <x v="109"/>
    <s v="L000008331"/>
    <s v="DF Customer Success &amp; Digital Ecosystem"/>
    <m/>
    <s v="Rename"/>
    <x v="0"/>
    <x v="2"/>
    <s v="LS"/>
    <m/>
    <m/>
    <s v="Kalyani Raju"/>
  </r>
  <r>
    <n v="3625"/>
    <s v="F2"/>
    <x v="109"/>
    <s v="L000013971"/>
    <s v="DA Regional Territories"/>
    <m/>
    <s v="Rename"/>
    <x v="0"/>
    <x v="2"/>
    <s v="LS"/>
    <m/>
    <m/>
    <s v="Kalyani Raju"/>
  </r>
  <r>
    <n v="3626"/>
    <s v="F2"/>
    <x v="109"/>
    <s v="L000013972"/>
    <s v="DB Major Accounts"/>
    <m/>
    <s v="Rename"/>
    <x v="0"/>
    <x v="2"/>
    <s v="LS"/>
    <m/>
    <m/>
    <s v="Kalyani Raju"/>
  </r>
  <r>
    <n v="3627"/>
    <s v="F2"/>
    <x v="109"/>
    <s v="L000013975"/>
    <s v="DG Business Planning &amp; Implementation"/>
    <m/>
    <s v="Rename"/>
    <x v="0"/>
    <x v="2"/>
    <s v="LS"/>
    <m/>
    <m/>
    <s v="Kalyani Raju"/>
  </r>
  <r>
    <n v="3628"/>
    <s v="F2"/>
    <x v="109"/>
    <s v="L000013976 "/>
    <s v="DD Sales Development"/>
    <m/>
    <s v="Rename"/>
    <x v="0"/>
    <x v="2"/>
    <s v="LS"/>
    <m/>
    <m/>
    <s v="Kalyani Raju"/>
  </r>
  <r>
    <n v="3629"/>
    <s v="F2"/>
    <x v="110"/>
    <s v="PL_ED_USE9"/>
    <s v="ProcOrd_US  Chandler"/>
    <s v="P000000976"/>
    <s v="New"/>
    <x v="0"/>
    <x v="0"/>
    <s v="EL"/>
    <m/>
    <m/>
    <s v="John Rowie Del Rosario"/>
  </r>
  <r>
    <n v="3630"/>
    <s v="F2"/>
    <x v="110"/>
    <s v="PL_ED_TWC5"/>
    <s v="ProcOrd_TW DS&amp;S Kaohsiung"/>
    <s v="P000000990"/>
    <s v="New"/>
    <x v="0"/>
    <x v="0"/>
    <s v="EL"/>
    <m/>
    <m/>
    <s v="John Rowie Del Rosario"/>
  </r>
  <r>
    <n v="3631"/>
    <s v="F2"/>
    <x v="110"/>
    <s v="PL_ED_KRC5"/>
    <s v="ProcOrd_KR Eumseong"/>
    <s v="P000000807"/>
    <s v="New"/>
    <x v="0"/>
    <x v="0"/>
    <s v="EL"/>
    <m/>
    <m/>
    <s v="John Rowie Del Rosario"/>
  </r>
  <r>
    <n v="3632"/>
    <s v="F2"/>
    <x v="110"/>
    <s v="PL_ED_CND3"/>
    <s v="ProcOrd_CN Zhangjiagang,"/>
    <s v="P000001562"/>
    <s v="New"/>
    <x v="0"/>
    <x v="0"/>
    <s v="EL"/>
    <m/>
    <m/>
    <s v="John Rowie Del Rosario"/>
  </r>
  <r>
    <n v="3633"/>
    <s v="F2"/>
    <x v="110"/>
    <s v="PL_E1_USBA"/>
    <s v="ProcOrd_US Sheboygan"/>
    <s v="P000001415"/>
    <s v="New"/>
    <x v="0"/>
    <x v="0"/>
    <s v="EL"/>
    <m/>
    <m/>
    <s v="John Rowie Del Rosario"/>
  </r>
  <r>
    <n v="3634"/>
    <s v="F2"/>
    <x v="110"/>
    <s v="PL_ED_KRC6"/>
    <s v="ProcOrd_KR DAEJEON R&amp;D Plant"/>
    <s v="P000000578"/>
    <s v="New"/>
    <x v="0"/>
    <x v="0"/>
    <s v="EL"/>
    <m/>
    <m/>
    <s v="John Rowie Del Rosario"/>
  </r>
  <r>
    <n v="3635"/>
    <s v="F2"/>
    <x v="111"/>
    <s v="G000001563"/>
    <s v="FTI GES Region EMEA"/>
    <m/>
    <s v="Rename"/>
    <x v="0"/>
    <x v="0"/>
    <s v="MGF"/>
    <m/>
    <m/>
    <s v="Jojeff Tagnong"/>
  </r>
  <r>
    <n v="3636"/>
    <s v="F2"/>
    <x v="112"/>
    <s v="IT6B12000"/>
    <s v="EF-DS-TB Business Domain Solutions"/>
    <s v="G000001496"/>
    <s v="New"/>
    <x v="0"/>
    <x v="0"/>
    <s v="LS"/>
    <m/>
    <m/>
    <s v="Jay-R Lizardo"/>
  </r>
  <r>
    <n v="3637"/>
    <s v="F2"/>
    <x v="112"/>
    <s v="IT6B12001"/>
    <s v="EF-DS-TBC Supply Chain"/>
    <s v="G000001497"/>
    <s v="New"/>
    <x v="0"/>
    <x v="0"/>
    <s v="LS"/>
    <m/>
    <m/>
    <s v="Jay-R Lizardo"/>
  </r>
  <r>
    <n v="3638"/>
    <s v="F2"/>
    <x v="112"/>
    <s v="IT6B12002"/>
    <s v="EF-DS-TBD Cross-Domain Capabilities"/>
    <s v="G000001498"/>
    <s v="New"/>
    <x v="0"/>
    <x v="0"/>
    <s v="LS"/>
    <m/>
    <m/>
    <s v="Jay-R Lizardo"/>
  </r>
  <r>
    <n v="3639"/>
    <s v="F2"/>
    <x v="112"/>
    <s v="IT6B12003"/>
    <s v="EF-DS-TBL Lab Technologies"/>
    <s v="G000001499"/>
    <s v="New"/>
    <x v="0"/>
    <x v="0"/>
    <s v="LS"/>
    <m/>
    <m/>
    <s v="Jay-R Lizardo"/>
  </r>
  <r>
    <n v="3640"/>
    <s v="F2"/>
    <x v="112"/>
    <s v="IT6B12004"/>
    <s v="EF-DS-TBM Manufacturing"/>
    <s v="G000001500"/>
    <s v="New"/>
    <x v="0"/>
    <x v="0"/>
    <s v="LS"/>
    <m/>
    <m/>
    <s v="Jay-R Lizardo"/>
  </r>
  <r>
    <n v="3641"/>
    <s v="F2"/>
    <x v="112"/>
    <s v="IT6B12005"/>
    <s v="EF-DS-TBQ Quality &amp; Compliance"/>
    <s v="G000001501"/>
    <s v="New"/>
    <x v="0"/>
    <x v="0"/>
    <s v="LS"/>
    <m/>
    <m/>
    <s v="Jay-R Lizardo"/>
  </r>
  <r>
    <n v="3642"/>
    <s v="F2"/>
    <x v="112"/>
    <s v="IT6B12006"/>
    <s v="EF-DS-TBS Marketing &amp; Sales"/>
    <s v="G000001502"/>
    <s v="New"/>
    <x v="0"/>
    <x v="0"/>
    <s v="LS"/>
    <m/>
    <m/>
    <s v="Jay-R Lizardo"/>
  </r>
  <r>
    <n v="3643"/>
    <s v="F2"/>
    <x v="112"/>
    <s v="IT6B12007"/>
    <s v="EF-DS-TBW Web Capabilities"/>
    <s v="G000001503"/>
    <s v="New"/>
    <x v="0"/>
    <x v="0"/>
    <s v="LS"/>
    <m/>
    <m/>
    <s v="Jay-R Lizardo"/>
  </r>
  <r>
    <n v="3644"/>
    <s v="F2"/>
    <x v="112"/>
    <s v="IT6B13000"/>
    <s v="EF-DS-TI Integrated Entp Solutions"/>
    <s v="G000001505"/>
    <s v="New"/>
    <x v="0"/>
    <x v="0"/>
    <s v="LS"/>
    <m/>
    <m/>
    <s v="Jay-R Lizardo"/>
  </r>
  <r>
    <n v="3645"/>
    <s v="F2"/>
    <x v="112"/>
    <s v="IT6B13001"/>
    <s v="EF-DS-TIA ERP Architec &amp; Cross Services"/>
    <s v="G000001506"/>
    <s v="New"/>
    <x v="0"/>
    <x v="0"/>
    <s v="LS"/>
    <m/>
    <m/>
    <s v="Jay-R Lizardo"/>
  </r>
  <r>
    <n v="3646"/>
    <s v="F2"/>
    <x v="112"/>
    <s v="IT6B13002"/>
    <s v="EF-DS-TIC SAP Center of Competence"/>
    <s v="G000001507"/>
    <s v="New"/>
    <x v="0"/>
    <x v="0"/>
    <s v="LS"/>
    <m/>
    <m/>
    <s v="Jay-R Lizardo"/>
  </r>
  <r>
    <n v="3647"/>
    <s v="F2"/>
    <x v="112"/>
    <s v="IT6B13003"/>
    <s v="EF-DS-TID Data Migration &amp; Integration "/>
    <s v="G000001508"/>
    <s v="New"/>
    <x v="0"/>
    <x v="0"/>
    <s v="LS"/>
    <m/>
    <m/>
    <s v="Jay-R Lizardo"/>
  </r>
  <r>
    <n v="3648"/>
    <s v="F2"/>
    <x v="112"/>
    <s v="IT6B13004"/>
    <s v="EF-DS-TIE Enterprise Value Chain Apps"/>
    <s v="G000001509"/>
    <s v="New"/>
    <x v="0"/>
    <x v="0"/>
    <s v="LS"/>
    <m/>
    <m/>
    <s v="Jay-R Lizardo"/>
  </r>
  <r>
    <n v="3649"/>
    <s v="F2"/>
    <x v="112"/>
    <s v="IT6B13005"/>
    <s v="EF-DS-TIG Group Solutions"/>
    <s v="G000001510"/>
    <s v="New"/>
    <x v="0"/>
    <x v="0"/>
    <s v="LS"/>
    <m/>
    <m/>
    <s v="Jay-R Lizardo"/>
  </r>
  <r>
    <n v="3650"/>
    <s v="F2"/>
    <x v="112"/>
    <s v="IT6B13006"/>
    <s v="EF-DS-TIS Strategy Realization &amp; BTP"/>
    <s v="G000001511"/>
    <s v="New"/>
    <x v="0"/>
    <x v="0"/>
    <s v="LS"/>
    <m/>
    <m/>
    <s v="Jay-R Lizardo"/>
  </r>
  <r>
    <n v="3651"/>
    <s v="F2"/>
    <x v="112"/>
    <s v="IT6B14000"/>
    <s v="EF-DS-TE Entp Technology Platforms"/>
    <s v="G000001513"/>
    <s v="New"/>
    <x v="0"/>
    <x v="0"/>
    <s v="LS"/>
    <m/>
    <m/>
    <s v="Jay-R Lizardo"/>
  </r>
  <r>
    <n v="3652"/>
    <s v="F2"/>
    <x v="112"/>
    <s v="IT6B14001"/>
    <s v="EF-DS-TEA Platform Archi &amp; Automation"/>
    <s v="G000001514"/>
    <s v="New"/>
    <x v="0"/>
    <x v="0"/>
    <s v="LS"/>
    <m/>
    <m/>
    <s v="Jay-R Lizardo"/>
  </r>
  <r>
    <n v="3653"/>
    <s v="F2"/>
    <x v="112"/>
    <s v="IT6B14002"/>
    <s v="EF-DS-TEC Cloud Platforms"/>
    <s v="G000001515"/>
    <s v="New"/>
    <x v="0"/>
    <x v="0"/>
    <s v="LS"/>
    <m/>
    <m/>
    <s v="Jay-R Lizardo"/>
  </r>
  <r>
    <n v="3654"/>
    <s v="F2"/>
    <x v="112"/>
    <s v="IT6B14003"/>
    <s v="EF-DS-TED Database, Citrix &amp; Datacenter"/>
    <s v="G000001516"/>
    <s v="New"/>
    <x v="0"/>
    <x v="0"/>
    <s v="LS"/>
    <m/>
    <m/>
    <s v="Jay-R Lizardo"/>
  </r>
  <r>
    <n v="3655"/>
    <s v="F2"/>
    <x v="112"/>
    <s v="IT6B14004"/>
    <s v="EF-DS-TEE Edge Strategy"/>
    <s v="G000001517"/>
    <s v="New"/>
    <x v="0"/>
    <x v="0"/>
    <s v="LS"/>
    <m/>
    <m/>
    <s v="Jay-R Lizardo"/>
  </r>
  <r>
    <n v="3656"/>
    <s v="F2"/>
    <x v="112"/>
    <s v="IT6B14005"/>
    <s v="EF-DS-TEL Storage Backup &amp; Linux Unix"/>
    <s v="G000001518"/>
    <s v="New"/>
    <x v="0"/>
    <x v="0"/>
    <s v="LS"/>
    <m/>
    <m/>
    <s v="Jay-R Lizardo"/>
  </r>
  <r>
    <n v="3657"/>
    <s v="F2"/>
    <x v="112"/>
    <s v="IT6B14006"/>
    <s v="EF-DS-TEP Performance Management"/>
    <s v="G000001519"/>
    <s v="New"/>
    <x v="0"/>
    <x v="0"/>
    <s v="LS"/>
    <m/>
    <m/>
    <s v="Jay-R Lizardo"/>
  </r>
  <r>
    <n v="3658"/>
    <s v="F2"/>
    <x v="112"/>
    <s v="IT6B14007"/>
    <s v="EF-DS-TES Strategy Realization Office"/>
    <s v="G000001520"/>
    <s v="New"/>
    <x v="0"/>
    <x v="0"/>
    <s v="LS"/>
    <m/>
    <m/>
    <s v="Jay-R Lizardo"/>
  </r>
  <r>
    <n v="3659"/>
    <s v="F2"/>
    <x v="112"/>
    <s v="IT6B14008"/>
    <s v="EF-DS-TEW Windows &amp; Virtualization Plat"/>
    <s v="G000001521"/>
    <s v="New"/>
    <x v="0"/>
    <x v="0"/>
    <s v="LS"/>
    <m/>
    <m/>
    <s v="Jay-R Lizardo"/>
  </r>
  <r>
    <n v="3660"/>
    <s v="F2"/>
    <x v="112"/>
    <s v="IT6B15000"/>
    <s v="EF-DS-TN Entp Network &amp; Telecom Pl"/>
    <s v="G000001523"/>
    <s v="New"/>
    <x v="0"/>
    <x v="0"/>
    <s v="LS"/>
    <m/>
    <m/>
    <s v="Jay-R Lizardo"/>
  </r>
  <r>
    <n v="3661"/>
    <s v="F2"/>
    <x v="112"/>
    <s v="IT6B15001"/>
    <s v="EF-DS-TNA Network APAC"/>
    <s v="G000001524"/>
    <s v="New"/>
    <x v="0"/>
    <x v="0"/>
    <s v="LS"/>
    <m/>
    <m/>
    <s v="Jay-R Lizardo"/>
  </r>
  <r>
    <n v="3662"/>
    <s v="F2"/>
    <x v="112"/>
    <s v="IT6B15002"/>
    <s v="EF-DS-TND Global DC Network"/>
    <s v="G000001525"/>
    <s v="New"/>
    <x v="0"/>
    <x v="0"/>
    <s v="LS"/>
    <m/>
    <m/>
    <s v="Jay-R Lizardo"/>
  </r>
  <r>
    <n v="3663"/>
    <s v="F2"/>
    <x v="112"/>
    <s v="IT6B15003"/>
    <s v="EF-DS-TNE Network EMEA"/>
    <s v="G000001526"/>
    <s v="New"/>
    <x v="0"/>
    <x v="0"/>
    <s v="LS"/>
    <m/>
    <m/>
    <s v="Jay-R Lizardo"/>
  </r>
  <r>
    <n v="3664"/>
    <s v="F2"/>
    <x v="112"/>
    <s v="IT6B15004"/>
    <s v="EF-DS-TNG Network Germany"/>
    <s v="G000001527"/>
    <s v="New"/>
    <x v="0"/>
    <x v="0"/>
    <s v="LS"/>
    <m/>
    <m/>
    <s v="Jay-R Lizardo"/>
  </r>
  <r>
    <n v="3665"/>
    <s v="F2"/>
    <x v="112"/>
    <s v="IT6B15005"/>
    <s v="EF-DS-TNL LATAM NOC"/>
    <s v="G000001528"/>
    <s v="New"/>
    <x v="0"/>
    <x v="0"/>
    <s v="LS"/>
    <m/>
    <m/>
    <s v="Jay-R Lizardo"/>
  </r>
  <r>
    <n v="3666"/>
    <s v="F2"/>
    <x v="112"/>
    <s v="IT6B15006"/>
    <s v="EF-DS-TNN Network NASA"/>
    <s v="G000001529"/>
    <s v="New"/>
    <x v="0"/>
    <x v="0"/>
    <s v="LS"/>
    <m/>
    <m/>
    <s v="Jay-R Lizardo"/>
  </r>
  <r>
    <n v="3667"/>
    <s v="F2"/>
    <x v="112"/>
    <s v="IT6B15007"/>
    <s v="EF-DS-TNO Network Operations Center"/>
    <s v="G000001530"/>
    <s v="New"/>
    <x v="0"/>
    <x v="0"/>
    <s v="LS"/>
    <m/>
    <m/>
    <s v="Jay-R Lizardo"/>
  </r>
  <r>
    <n v="3668"/>
    <s v="F2"/>
    <x v="112"/>
    <s v="IT6B15008"/>
    <s v="EF-DS-TNT Telecommunications Platforms"/>
    <s v="G000001531"/>
    <s v="New"/>
    <x v="0"/>
    <x v="0"/>
    <s v="LS"/>
    <m/>
    <m/>
    <s v="Jay-R Lizardo"/>
  </r>
  <r>
    <n v="3669"/>
    <s v="F2"/>
    <x v="112"/>
    <s v="IT6B16000"/>
    <s v="EF-DS-TP Process, Portfolio &amp; Perform"/>
    <s v="G000001533"/>
    <s v="New"/>
    <x v="0"/>
    <x v="0"/>
    <s v="LS"/>
    <m/>
    <m/>
    <s v="Jay-R Lizardo"/>
  </r>
  <r>
    <n v="3670"/>
    <s v="F2"/>
    <x v="112"/>
    <s v="IT6B16001"/>
    <s v="EF-DS-TPC IT Compliance, Process &amp; Perf"/>
    <s v="G000001534"/>
    <s v="New"/>
    <x v="0"/>
    <x v="0"/>
    <s v="LS"/>
    <m/>
    <m/>
    <s v="Jay-R Lizardo"/>
  </r>
  <r>
    <n v="3671"/>
    <s v="F2"/>
    <x v="112"/>
    <s v="IT6B16002"/>
    <s v="EF-DS-TPD IT Demand Mgmt &amp; Solution Des"/>
    <s v="G000001535"/>
    <s v="New"/>
    <x v="0"/>
    <x v="0"/>
    <s v="LS"/>
    <m/>
    <m/>
    <s v="Jay-R Lizardo"/>
  </r>
  <r>
    <n v="3672"/>
    <s v="F2"/>
    <x v="112"/>
    <s v="IT6B16003"/>
    <s v="EF-DS-TPF IT Finance"/>
    <s v="G000001536"/>
    <s v="New"/>
    <x v="0"/>
    <x v="0"/>
    <s v="LS"/>
    <m/>
    <m/>
    <s v="Jay-R Lizardo"/>
  </r>
  <r>
    <n v="3673"/>
    <s v="F2"/>
    <x v="112"/>
    <s v="IT6B16004"/>
    <s v="EF-DS-TPP IT Project Delivery"/>
    <s v="G000001537"/>
    <s v="New"/>
    <x v="0"/>
    <x v="0"/>
    <s v="LS"/>
    <m/>
    <m/>
    <s v="Jay-R Lizardo"/>
  </r>
  <r>
    <n v="3674"/>
    <s v="F2"/>
    <x v="112"/>
    <s v="IT6B16005"/>
    <s v="EF-DS-TPR IT-I RUN"/>
    <s v="G000001538"/>
    <s v="New"/>
    <x v="0"/>
    <x v="0"/>
    <s v="LS"/>
    <m/>
    <m/>
    <s v="Jay-R Lizardo"/>
  </r>
  <r>
    <n v="3675"/>
    <s v="F2"/>
    <x v="112"/>
    <s v="IT6B17000"/>
    <s v="EF-DS-TT Technology Office"/>
    <s v="G000001540"/>
    <s v="New"/>
    <x v="0"/>
    <x v="0"/>
    <s v="LS"/>
    <m/>
    <m/>
    <s v="Jay-R Lizardo"/>
  </r>
  <r>
    <n v="3676"/>
    <s v="F2"/>
    <x v="112"/>
    <s v="IT6B17001"/>
    <s v="EF-DS-TTC Cyber Build"/>
    <s v="G000001541"/>
    <s v="New"/>
    <x v="0"/>
    <x v="0"/>
    <s v="LS"/>
    <m/>
    <m/>
    <s v="Jay-R Lizardo"/>
  </r>
  <r>
    <n v="3677"/>
    <s v="F2"/>
    <x v="112"/>
    <s v="IT6B17002"/>
    <s v="EF-DS-TTD DevOps"/>
    <s v="G000001542"/>
    <s v="New"/>
    <x v="0"/>
    <x v="0"/>
    <s v="LS"/>
    <m/>
    <m/>
    <s v="Jay-R Lizardo"/>
  </r>
  <r>
    <n v="3678"/>
    <s v="F2"/>
    <x v="112"/>
    <s v="IT6B17003"/>
    <s v="EF-DS-TTG GIAM"/>
    <s v="G000001543"/>
    <s v="New"/>
    <x v="0"/>
    <x v="0"/>
    <s v="LS"/>
    <m/>
    <m/>
    <s v="Jay-R Lizardo"/>
  </r>
  <r>
    <n v="3679"/>
    <s v="F2"/>
    <x v="112"/>
    <s v="IT6B17004"/>
    <s v="EF-DS-TTI InfoSec"/>
    <s v="G000001544"/>
    <s v="New"/>
    <x v="0"/>
    <x v="0"/>
    <s v="LS"/>
    <m/>
    <m/>
    <s v="Jay-R Lizardo"/>
  </r>
  <r>
    <n v="3680"/>
    <s v="F2"/>
    <x v="112"/>
    <s v="IT6B17005"/>
    <s v="EF-DS-TTS Directory Services"/>
    <s v="G000001545"/>
    <s v="New"/>
    <x v="0"/>
    <x v="0"/>
    <s v="LS"/>
    <m/>
    <m/>
    <s v="Jay-R Lizardo"/>
  </r>
  <r>
    <n v="3681"/>
    <s v="F2"/>
    <x v="112"/>
    <s v="IT6B18000"/>
    <s v="EF-DS-TW Digital Workplace"/>
    <s v="G000001547"/>
    <s v="New"/>
    <x v="0"/>
    <x v="0"/>
    <s v="LS"/>
    <m/>
    <m/>
    <s v="Jay-R Lizardo"/>
  </r>
  <r>
    <n v="3682"/>
    <s v="F2"/>
    <x v="112"/>
    <s v="IT6B18001"/>
    <s v="EF-DS-TWC Messaging &amp; Collaboration"/>
    <s v="G000001548"/>
    <s v="New"/>
    <x v="0"/>
    <x v="0"/>
    <s v="LS"/>
    <m/>
    <m/>
    <s v="Jay-R Lizardo"/>
  </r>
  <r>
    <n v="3683"/>
    <s v="F2"/>
    <x v="112"/>
    <s v="IT6B18002"/>
    <s v="EF-DS-TWD Digital Workplace Solutions"/>
    <s v="G000001549"/>
    <s v="New"/>
    <x v="0"/>
    <x v="0"/>
    <s v="LS"/>
    <m/>
    <m/>
    <s v="Jay-R Lizardo"/>
  </r>
  <r>
    <n v="3684"/>
    <s v="F2"/>
    <x v="112"/>
    <s v="IT6B18003"/>
    <s v="EF-DS-TWE Client Computing"/>
    <s v="G000001550"/>
    <s v="New"/>
    <x v="0"/>
    <x v="0"/>
    <s v="LS"/>
    <m/>
    <m/>
    <s v="Jay-R Lizardo"/>
  </r>
  <r>
    <n v="3685"/>
    <s v="F2"/>
    <x v="112"/>
    <s v="IT6B18004"/>
    <s v="EF-DS-TWM Enterprise Mobile Device Mgmt"/>
    <s v="G000001551"/>
    <s v="New"/>
    <x v="0"/>
    <x v="0"/>
    <s v="LS"/>
    <m/>
    <m/>
    <s v="Jay-R Lizardo"/>
  </r>
  <r>
    <n v="3686"/>
    <s v="F2"/>
    <x v="113"/>
    <s v="H000005718"/>
    <s v="Rare TA Indirect Costs"/>
    <s v="H000004396"/>
    <s v="New"/>
    <x v="0"/>
    <x v="0"/>
    <s v="EL"/>
    <m/>
    <m/>
    <s v="Eivy Denine Cruz"/>
  </r>
  <r>
    <n v="3687"/>
    <s v="F2"/>
    <x v="113"/>
    <s v="H000005719"/>
    <s v="Rare TA Direct Costs"/>
    <s v="H000004396"/>
    <s v="New"/>
    <x v="0"/>
    <x v="0"/>
    <s v="EL"/>
    <m/>
    <m/>
    <s v="Eivy Denine Cruz"/>
  </r>
  <r>
    <n v="3688"/>
    <s v="F2"/>
    <x v="113"/>
    <s v="H000005720"/>
    <s v="Rare TA Other"/>
    <s v="H000004396"/>
    <s v="New"/>
    <x v="0"/>
    <x v="0"/>
    <s v="EL"/>
    <m/>
    <m/>
    <s v="Eivy Denine Cruz"/>
  </r>
  <r>
    <n v="3689"/>
    <s v="F2"/>
    <x v="114"/>
    <s v="H000005721"/>
    <s v="Artwork - CH"/>
    <s v="H000000644"/>
    <s v="New"/>
    <x v="0"/>
    <x v="0"/>
    <s v="HC"/>
    <m/>
    <m/>
    <s v="Henry Jr Ifurung"/>
  </r>
  <r>
    <n v="3690"/>
    <s v="F2"/>
    <x v="114"/>
    <s v="H000005722"/>
    <s v="Artwork - DE"/>
    <s v="H000000644"/>
    <s v="New"/>
    <x v="0"/>
    <x v="0"/>
    <s v="HC"/>
    <m/>
    <m/>
    <s v="Henry Jr Ifurung"/>
  </r>
  <r>
    <n v="3691"/>
    <s v="F2"/>
    <x v="114"/>
    <s v="H000005723"/>
    <s v="GHO SNO_Others - CH"/>
    <s v="H000000653"/>
    <s v="New"/>
    <x v="0"/>
    <x v="0"/>
    <s v="HC"/>
    <m/>
    <m/>
    <s v="Henry Jr Ifurung"/>
  </r>
  <r>
    <n v="3692"/>
    <s v="F2"/>
    <x v="114"/>
    <s v="H000005724"/>
    <s v="GHO SNO_Others - CN"/>
    <s v="H000000653"/>
    <s v="New"/>
    <x v="0"/>
    <x v="0"/>
    <s v="HC"/>
    <m/>
    <m/>
    <s v="Henry Jr Ifurung"/>
  </r>
  <r>
    <n v="3693"/>
    <s v="F2"/>
    <x v="114"/>
    <s v="H000005725"/>
    <s v="Global HCQ - Head - DE"/>
    <s v="H000000679"/>
    <s v="New"/>
    <x v="0"/>
    <x v="0"/>
    <s v="HC"/>
    <m/>
    <m/>
    <s v="Henry Jr Ifurung"/>
  </r>
  <r>
    <n v="3694"/>
    <s v="F2"/>
    <x v="114"/>
    <s v="H000005726"/>
    <s v="Global HCQ - Head - ES"/>
    <s v="H000000679"/>
    <s v="New"/>
    <x v="0"/>
    <x v="0"/>
    <s v="HC"/>
    <m/>
    <m/>
    <s v="Henry Jr Ifurung"/>
  </r>
  <r>
    <n v="3695"/>
    <s v="F2"/>
    <x v="114"/>
    <s v="H000005727"/>
    <s v="Qualtiy - Development sites - CH"/>
    <s v="H000004264"/>
    <s v="New"/>
    <x v="0"/>
    <x v="0"/>
    <s v="HC"/>
    <m/>
    <m/>
    <s v="Henry Jr Ifurung"/>
  </r>
  <r>
    <n v="3696"/>
    <s v="F2"/>
    <x v="114"/>
    <s v="H000005728"/>
    <s v="Qualtiy - Development sites - IT"/>
    <s v="H000004264"/>
    <s v="New"/>
    <x v="0"/>
    <x v="0"/>
    <s v="HC"/>
    <m/>
    <m/>
    <s v="Henry Jr Ifurung"/>
  </r>
  <r>
    <n v="3697"/>
    <s v="F2"/>
    <x v="114"/>
    <s v="H000005729"/>
    <s v="PPV Intersite Shipments - CH"/>
    <s v="H000004260"/>
    <s v="New"/>
    <x v="0"/>
    <x v="0"/>
    <s v="HC"/>
    <m/>
    <m/>
    <s v="Henry Jr Ifurung"/>
  </r>
  <r>
    <n v="3698"/>
    <s v="F2"/>
    <x v="114"/>
    <s v="H000005730"/>
    <s v="PPV Intersite Shipments - DE"/>
    <s v="H000004260"/>
    <s v="New"/>
    <x v="0"/>
    <x v="0"/>
    <s v="HC"/>
    <m/>
    <m/>
    <s v="Henry Jr Ifurung"/>
  </r>
  <r>
    <n v="3699"/>
    <s v="F2"/>
    <x v="115"/>
    <s v="H000004952"/>
    <m/>
    <m/>
    <s v="Remove"/>
    <x v="0"/>
    <x v="0"/>
    <s v="HC"/>
    <m/>
    <m/>
    <s v="Henry Jr Ifurung"/>
  </r>
  <r>
    <n v="3700"/>
    <s v="F2"/>
    <x v="115"/>
    <s v="H000004953"/>
    <m/>
    <m/>
    <s v="Remove"/>
    <x v="0"/>
    <x v="0"/>
    <s v="HC"/>
    <m/>
    <m/>
    <s v="Henry Jr Ifurung"/>
  </r>
  <r>
    <n v="3701"/>
    <s v="F2"/>
    <x v="116"/>
    <s v="H000000164"/>
    <m/>
    <s v="G000001674"/>
    <s v="Move"/>
    <x v="0"/>
    <x v="0"/>
    <s v="EL"/>
    <m/>
    <m/>
    <s v="Eivy Denine Cruz"/>
  </r>
  <r>
    <n v="3702"/>
    <s v="F2"/>
    <x v="117"/>
    <s v="IT6B19000"/>
    <m/>
    <s v="G000000744"/>
    <s v="New"/>
    <x v="0"/>
    <x v="0"/>
    <s v="LS"/>
    <m/>
    <m/>
    <s v="Jay-R Lizardo"/>
  </r>
  <r>
    <n v="3703"/>
    <s v="F2"/>
    <x v="118"/>
    <s v="H000005731"/>
    <s v="ATSA URUGUAY - MONTEVIDEO (CCH)"/>
    <s v="H000000598"/>
    <s v="New"/>
    <x v="0"/>
    <x v="0"/>
    <s v="HC"/>
    <m/>
    <m/>
    <s v="Sven Schulze"/>
  </r>
  <r>
    <n v="3704"/>
    <s v="F2"/>
    <x v="118"/>
    <s v="H000005732"/>
    <s v="1823MV - OPERATIONS"/>
    <s v="H000005731"/>
    <s v="New"/>
    <x v="0"/>
    <x v="0"/>
    <s v="HC"/>
    <m/>
    <m/>
    <s v="Sven Schulze"/>
  </r>
  <r>
    <n v="3705"/>
    <s v="F2"/>
    <x v="118"/>
    <s v="H000005733"/>
    <s v="1823MV - OPERATIONS SUPPORT SERVICES"/>
    <s v="H000005731"/>
    <s v="New"/>
    <x v="0"/>
    <x v="0"/>
    <s v="HC"/>
    <m/>
    <m/>
    <s v="Sven Schulze"/>
  </r>
  <r>
    <n v="3706"/>
    <s v="F2"/>
    <x v="118"/>
    <s v="H000005734"/>
    <s v="1823MV - SITE INFRASTRUCTURE"/>
    <s v="H000005731"/>
    <s v="New"/>
    <x v="0"/>
    <x v="0"/>
    <s v="HC"/>
    <m/>
    <m/>
    <s v="Sven Schulze"/>
  </r>
  <r>
    <n v="3707"/>
    <s v="F2"/>
    <x v="118"/>
    <s v="H000005735"/>
    <s v="1823MV - QUALITY"/>
    <s v="H000005731"/>
    <s v="New"/>
    <x v="0"/>
    <x v="0"/>
    <s v="HC"/>
    <m/>
    <m/>
    <s v="Sven Schulze"/>
  </r>
  <r>
    <n v="3708"/>
    <s v="F2"/>
    <x v="118"/>
    <s v="H000005736"/>
    <s v="1823MV - PACKAGING"/>
    <s v="H000005732"/>
    <s v="New"/>
    <x v="0"/>
    <x v="0"/>
    <s v="HC"/>
    <m/>
    <m/>
    <s v="Sven Schulze"/>
  </r>
  <r>
    <n v="3709"/>
    <s v="F2"/>
    <x v="118"/>
    <s v="H000005737"/>
    <s v="1823MV - SITE SERVICES"/>
    <s v="H000005733"/>
    <s v="New"/>
    <x v="0"/>
    <x v="0"/>
    <s v="HC"/>
    <m/>
    <m/>
    <s v="Sven Schulze"/>
  </r>
  <r>
    <n v="3710"/>
    <s v="F2"/>
    <x v="118"/>
    <s v="H000005738"/>
    <s v="1823MV - SUPPLY AND PLANNING"/>
    <s v="H000005733"/>
    <s v="New"/>
    <x v="0"/>
    <x v="0"/>
    <s v="HC"/>
    <m/>
    <m/>
    <s v="Sven Schulze"/>
  </r>
  <r>
    <n v="3711"/>
    <s v="F2"/>
    <x v="118"/>
    <s v="H000005739"/>
    <s v="1823MV - MAINTENANCE AND ENGINEERING"/>
    <s v="H000005733"/>
    <s v="New"/>
    <x v="0"/>
    <x v="0"/>
    <s v="HC"/>
    <m/>
    <m/>
    <s v="Sven Schulze"/>
  </r>
  <r>
    <n v="3712"/>
    <s v="F2"/>
    <x v="118"/>
    <s v="H000005740"/>
    <s v="1823MV - QA"/>
    <s v="H000005735"/>
    <s v="New"/>
    <x v="0"/>
    <x v="0"/>
    <s v="HC"/>
    <m/>
    <m/>
    <s v="Sven Schulze"/>
  </r>
  <r>
    <n v="3713"/>
    <s v="F2"/>
    <x v="118"/>
    <s v="H000005741"/>
    <s v="1823MV - OTHER FACILITIES"/>
    <s v="H000005734"/>
    <s v="New"/>
    <x v="0"/>
    <x v="0"/>
    <s v="HC"/>
    <m/>
    <m/>
    <s v="Sven Schulze"/>
  </r>
  <r>
    <n v="3714"/>
    <s v="F2"/>
    <x v="118"/>
    <s v="H000005742"/>
    <s v="1823MV - PKG BIOTECH"/>
    <s v="H000005736"/>
    <s v="New"/>
    <x v="0"/>
    <x v="0"/>
    <s v="HC"/>
    <m/>
    <m/>
    <s v="Sven Schulze"/>
  </r>
  <r>
    <n v="3715"/>
    <s v="F2"/>
    <x v="118"/>
    <s v="H000005743"/>
    <s v="1823MV - EQUIPMENTS"/>
    <s v="H000005742"/>
    <s v="New"/>
    <x v="0"/>
    <x v="0"/>
    <s v="HC"/>
    <m/>
    <m/>
    <s v="Sven Schulze"/>
  </r>
  <r>
    <n v="3716"/>
    <s v="F2"/>
    <x v="118"/>
    <s v="H000005744"/>
    <s v="1823MV - LABOR"/>
    <s v="H000005742"/>
    <s v="New"/>
    <x v="0"/>
    <x v="0"/>
    <s v="HC"/>
    <m/>
    <m/>
    <s v="Sven Schulze"/>
  </r>
  <r>
    <n v="3717"/>
    <s v="F2"/>
    <x v="118"/>
    <s v="H000005745"/>
    <s v="1823MV - INDIRECT SERVICES"/>
    <s v="H000005742"/>
    <s v="New"/>
    <x v="0"/>
    <x v="0"/>
    <s v="HC"/>
    <m/>
    <m/>
    <s v="Sven Schulze"/>
  </r>
  <r>
    <n v="3718"/>
    <s v="F2"/>
    <x v="118"/>
    <s v="H000005746"/>
    <s v="1823MV - MCC"/>
    <s v="H000005742"/>
    <s v="New"/>
    <x v="0"/>
    <x v="0"/>
    <s v="HC"/>
    <m/>
    <m/>
    <s v="Sven Schulze"/>
  </r>
  <r>
    <n v="3719"/>
    <s v="F2"/>
    <x v="118"/>
    <s v="H000005747"/>
    <s v="ATSA URUGUAY - MONTEVIDEO (BEFORE CCH)"/>
    <s v="H000000598"/>
    <s v="New"/>
    <x v="0"/>
    <x v="0"/>
    <s v="HC"/>
    <m/>
    <m/>
    <s v="Sven Schulze"/>
  </r>
  <r>
    <n v="3720"/>
    <s v="F2"/>
    <x v="119"/>
    <s v="H000005748"/>
    <s v="US-Market Access Rare Diseases"/>
    <s v="H000003834"/>
    <s v="New"/>
    <x v="0"/>
    <x v="0"/>
    <s v="HC"/>
    <m/>
    <m/>
    <s v="Dan John Magada"/>
  </r>
  <r>
    <n v="3721"/>
    <s v="F2"/>
    <x v="119"/>
    <s v="H000005749"/>
    <s v="US-Data, Analytics &amp; Insights Rare Disea"/>
    <s v="H000003834"/>
    <s v="New"/>
    <x v="0"/>
    <x v="0"/>
    <s v="HC"/>
    <m/>
    <m/>
    <s v="Dan John Magada"/>
  </r>
  <r>
    <n v="3722"/>
    <s v="F2"/>
    <x v="119"/>
    <s v="H000005750"/>
    <s v="US - Rare Diseases - People/OH"/>
    <s v="H000005748"/>
    <s v="New"/>
    <x v="0"/>
    <x v="0"/>
    <s v="HC"/>
    <m/>
    <m/>
    <s v="Dan John Magada"/>
  </r>
  <r>
    <n v="3723"/>
    <s v="F2"/>
    <x v="119"/>
    <s v="H000005751"/>
    <s v="US - Rare Diseases - People/OH"/>
    <s v="H000005749"/>
    <s v="New"/>
    <x v="0"/>
    <x v="0"/>
    <s v="HC"/>
    <m/>
    <m/>
    <s v="Dan John Magada"/>
  </r>
  <r>
    <n v="3724"/>
    <s v="F2"/>
    <x v="120"/>
    <s v="H000005752"/>
    <s v="HC HDD Head"/>
    <s v="H000000456"/>
    <s v="New"/>
    <x v="0"/>
    <x v="0"/>
    <s v="HC"/>
    <m/>
    <m/>
    <s v="Luis Rivoir"/>
  </r>
  <r>
    <n v="3725"/>
    <s v="F2"/>
    <x v="120"/>
    <s v="H000005753"/>
    <s v="HC HDD GHO"/>
    <s v="H000000456"/>
    <s v="New"/>
    <x v="0"/>
    <x v="0"/>
    <s v="HC"/>
    <m/>
    <m/>
    <s v="Luis Rivoir"/>
  </r>
  <r>
    <n v="3726"/>
    <s v="F2"/>
    <x v="120"/>
    <s v="H000005754"/>
    <s v="HC HDD GCS"/>
    <s v="H000000456"/>
    <s v="New"/>
    <x v="0"/>
    <x v="0"/>
    <s v="HC"/>
    <m/>
    <m/>
    <s v="Luis Rivoir"/>
  </r>
  <r>
    <n v="3727"/>
    <s v="F2"/>
    <x v="120"/>
    <s v="H000005755"/>
    <s v="HC HDD R&amp;D"/>
    <s v="H000000456"/>
    <s v="New"/>
    <x v="0"/>
    <x v="0"/>
    <s v="HC"/>
    <m/>
    <m/>
    <s v="Luis Rivoir"/>
  </r>
  <r>
    <n v="3728"/>
    <s v="F2"/>
    <x v="120"/>
    <s v="H000005756"/>
    <s v="HC HDD NAM"/>
    <s v="H000000456"/>
    <s v="New"/>
    <x v="0"/>
    <x v="0"/>
    <s v="HC"/>
    <m/>
    <m/>
    <s v="Luis Rivoir"/>
  </r>
  <r>
    <n v="3729"/>
    <s v="F2"/>
    <x v="120"/>
    <s v="H000005757"/>
    <s v="HC HDD BMA &amp; CS"/>
    <s v="H000000456"/>
    <s v="New"/>
    <x v="0"/>
    <x v="0"/>
    <s v="HC"/>
    <m/>
    <m/>
    <s v="Luis Rivoir"/>
  </r>
  <r>
    <n v="3730"/>
    <s v="F2"/>
    <x v="120"/>
    <s v="H000000456"/>
    <s v="HC Digital &amp; Data"/>
    <m/>
    <s v="Rename"/>
    <x v="0"/>
    <x v="0"/>
    <s v="HC"/>
    <m/>
    <m/>
    <s v="Luis Rivoir"/>
  </r>
  <r>
    <n v="3731"/>
    <s v="F2"/>
    <x v="121"/>
    <s v="H000005758"/>
    <s v="CN - Medical Team Ogsiveo "/>
    <s v="H000001526"/>
    <s v="New"/>
    <x v="0"/>
    <x v="0"/>
    <s v="HC"/>
    <m/>
    <m/>
    <s v="John Poulie Borromeo"/>
  </r>
  <r>
    <n v="3732"/>
    <s v="F2"/>
    <x v="121"/>
    <s v="H000005759"/>
    <s v="CN - Medical activities Ogsiveo "/>
    <s v="H000001539"/>
    <s v="New"/>
    <x v="0"/>
    <x v="0"/>
    <s v="HC"/>
    <m/>
    <m/>
    <s v="John Poulie Borromeo"/>
  </r>
  <r>
    <n v="3733"/>
    <s v="F2"/>
    <x v="121"/>
    <s v="H000005760"/>
    <s v="CN - Local studies Ogsiveo "/>
    <s v="H000001549"/>
    <s v="New"/>
    <x v="0"/>
    <x v="0"/>
    <s v="HC"/>
    <m/>
    <m/>
    <s v="John Poulie Borromeo"/>
  </r>
  <r>
    <n v="3734"/>
    <s v="F2"/>
    <x v="121"/>
    <s v="H000005761"/>
    <s v="CN - Medical Team Gomekli/Ezmekly "/>
    <s v="H000001526"/>
    <s v="New"/>
    <x v="0"/>
    <x v="0"/>
    <s v="HC"/>
    <m/>
    <m/>
    <s v="John Poulie Borromeo"/>
  </r>
  <r>
    <n v="3735"/>
    <s v="F2"/>
    <x v="121"/>
    <s v="H000005762"/>
    <s v="CN - Medical activities Gomekli/Ezmekly"/>
    <s v="H000001539"/>
    <s v="New"/>
    <x v="0"/>
    <x v="0"/>
    <s v="HC"/>
    <m/>
    <m/>
    <s v="John Poulie Borromeo"/>
  </r>
  <r>
    <n v="3736"/>
    <s v="F2"/>
    <x v="121"/>
    <s v="H000005763"/>
    <s v="CN - Local studies Gomekli/Ezmekly "/>
    <s v="H000001549"/>
    <s v="New"/>
    <x v="0"/>
    <x v="0"/>
    <s v="HC"/>
    <m/>
    <m/>
    <s v="John Poulie Borromeo"/>
  </r>
  <r>
    <n v="3737"/>
    <s v="F2"/>
    <x v="122"/>
    <s v="H000005050"/>
    <s v="US - Rare Diseases - Marketing Ops"/>
    <m/>
    <s v="Rename"/>
    <x v="1"/>
    <x v="4"/>
    <s v="HC"/>
    <m/>
    <m/>
    <s v="Dan John Magada"/>
  </r>
  <r>
    <n v="3738"/>
    <s v="F2"/>
    <x v="122"/>
    <s v="H000005053"/>
    <s v="US - Rare Diseases - Patient Access"/>
    <m/>
    <s v="Rename"/>
    <x v="1"/>
    <x v="4"/>
    <s v="HC"/>
    <m/>
    <m/>
    <s v="Dan John Magada"/>
  </r>
  <r>
    <n v="3739"/>
    <s v="F2"/>
    <x v="122"/>
    <s v="H000005054"/>
    <s v="US - Rare Diseases -  Access Mktg"/>
    <m/>
    <s v="Rename"/>
    <x v="1"/>
    <x v="4"/>
    <s v="HC"/>
    <m/>
    <m/>
    <s v="Dan John Magada"/>
  </r>
  <r>
    <n v="3740"/>
    <s v="F2"/>
    <x v="122"/>
    <s v="H000005055"/>
    <s v="US - Rare Diseases - Data Strat"/>
    <m/>
    <s v="Rename"/>
    <x v="1"/>
    <x v="4"/>
    <s v="HC"/>
    <m/>
    <m/>
    <s v="Dan John Magada"/>
  </r>
  <r>
    <n v="3741"/>
    <s v="F2"/>
    <x v="122"/>
    <s v="H000005067"/>
    <s v="US - Rare - Market Insights &amp; Frcst"/>
    <m/>
    <s v="Rename"/>
    <x v="1"/>
    <x v="4"/>
    <s v="HC"/>
    <m/>
    <m/>
    <s v="Dan John Magada"/>
  </r>
  <r>
    <n v="3742"/>
    <s v="F2"/>
    <x v="122"/>
    <s v="H000005068"/>
    <s v="US - Rare - Cap. Bldg Eng. &amp; Events"/>
    <m/>
    <s v="Rename"/>
    <x v="1"/>
    <x v="4"/>
    <s v="HC"/>
    <m/>
    <m/>
    <s v="Dan John Magada"/>
  </r>
  <r>
    <n v="3743"/>
    <s v="F2"/>
    <x v="122"/>
    <s v="H000005075"/>
    <s v="US - Rare Diseases - Comm Ops"/>
    <m/>
    <s v="Rename"/>
    <x v="1"/>
    <x v="4"/>
    <s v="HC"/>
    <m/>
    <m/>
    <s v="Dan John Magada"/>
  </r>
  <r>
    <n v="3744"/>
    <s v="F2"/>
    <x v="122"/>
    <s v="H000005076"/>
    <s v="US - Rare Diseases - Market Access FF"/>
    <m/>
    <s v="Rename"/>
    <x v="1"/>
    <x v="4"/>
    <s v="HC"/>
    <m/>
    <m/>
    <s v="Dan John Magada"/>
  </r>
  <r>
    <n v="3745"/>
    <s v="F2"/>
    <x v="122"/>
    <s v="H000005077"/>
    <s v="US - Rare - Field Patient Svcs"/>
    <m/>
    <s v="Rename"/>
    <x v="1"/>
    <x v="4"/>
    <s v="HC"/>
    <m/>
    <m/>
    <s v="Dan John Magada"/>
  </r>
  <r>
    <n v="3746"/>
    <s v="F2"/>
    <x v="123"/>
    <s v="H000005764"/>
    <s v="US - Rare Diseases - Program"/>
    <s v="H000005748"/>
    <s v="New"/>
    <x v="1"/>
    <x v="4"/>
    <s v="HC"/>
    <m/>
    <m/>
    <s v="Dan John Magada"/>
  </r>
  <r>
    <n v="3747"/>
    <s v="F2"/>
    <x v="123"/>
    <s v="H000005765"/>
    <s v="US - Rare Diseases - Program"/>
    <s v="H000005749"/>
    <s v="New"/>
    <x v="1"/>
    <x v="4"/>
    <s v="HC"/>
    <m/>
    <m/>
    <s v="Dan John Magada"/>
  </r>
  <r>
    <n v="3748"/>
    <s v="F2"/>
    <x v="123"/>
    <s v="H000005766"/>
    <s v="US-Market Access Rare Diseases FF "/>
    <s v="H000005750"/>
    <s v="New"/>
    <x v="1"/>
    <x v="4"/>
    <s v="HC"/>
    <m/>
    <m/>
    <s v="Dan John Magada"/>
  </r>
  <r>
    <n v="3749"/>
    <s v="F2"/>
    <x v="123"/>
    <s v="H000005767"/>
    <s v="US-Market Access Rare Diseases ISS"/>
    <s v="H000005750"/>
    <s v="New"/>
    <x v="1"/>
    <x v="4"/>
    <s v="HC"/>
    <m/>
    <m/>
    <s v="Dan John Magada"/>
  </r>
  <r>
    <n v="3750"/>
    <s v="F2"/>
    <x v="123"/>
    <s v="H000005768"/>
    <s v="US-Data, Analytics &amp; Insights RD ISS"/>
    <s v="H000005751"/>
    <s v="New"/>
    <x v="1"/>
    <x v="4"/>
    <s v="HC"/>
    <m/>
    <m/>
    <s v="Dan John Magada"/>
  </r>
  <r>
    <n v="3751"/>
    <s v="F2"/>
    <x v="123"/>
    <s v="H000005769"/>
    <s v="US - Rare Diseases - RMLs"/>
    <s v="H000005048"/>
    <s v="New"/>
    <x v="1"/>
    <x v="4"/>
    <s v="HC"/>
    <m/>
    <m/>
    <s v="Dan John Magada"/>
  </r>
  <r>
    <n v="3752"/>
    <s v="F2"/>
    <x v="123"/>
    <s v="H000005770"/>
    <s v="US-Market Access Rare Diseases Program"/>
    <s v="H000005764"/>
    <s v="New"/>
    <x v="1"/>
    <x v="4"/>
    <s v="HC"/>
    <m/>
    <m/>
    <s v="Dan John Magada"/>
  </r>
  <r>
    <n v="3753"/>
    <s v="F2"/>
    <x v="123"/>
    <s v="H000005771"/>
    <s v="US-Data, Analytics &amp; Insights RD Program"/>
    <s v="H000005765"/>
    <s v="New"/>
    <x v="1"/>
    <x v="4"/>
    <s v="HC"/>
    <m/>
    <m/>
    <s v="Dan John Magad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8" firstHeaderRow="1" firstDataRow="1" firstDataCol="1" rowPageCount="1" colPageCount="1"/>
  <pivotFields count="13">
    <pivotField showAll="0"/>
    <pivotField showAll="0"/>
    <pivotField axis="axisRow" showAll="0">
      <items count="216">
        <item m="1" x="180"/>
        <item m="1" x="134"/>
        <item m="1" x="152"/>
        <item m="1" x="189"/>
        <item m="1" x="148"/>
        <item m="1" x="192"/>
        <item m="1" x="138"/>
        <item m="1" x="202"/>
        <item m="1" x="131"/>
        <item m="1" x="163"/>
        <item m="1" x="173"/>
        <item m="1" x="193"/>
        <item m="1" x="178"/>
        <item m="1" x="156"/>
        <item m="1" x="174"/>
        <item m="1" x="149"/>
        <item m="1" x="210"/>
        <item m="1" x="146"/>
        <item m="1" x="208"/>
        <item m="1" x="139"/>
        <item m="1" x="194"/>
        <item m="1" x="209"/>
        <item m="1" x="195"/>
        <item m="1" x="164"/>
        <item m="1" x="212"/>
        <item m="1" x="168"/>
        <item m="1" x="157"/>
        <item m="1" x="214"/>
        <item m="1" x="153"/>
        <item m="1" x="175"/>
        <item m="1" x="170"/>
        <item m="1" x="154"/>
        <item m="1" x="176"/>
        <item m="1" x="128"/>
        <item m="1" x="158"/>
        <item m="1" x="183"/>
        <item m="1" x="150"/>
        <item m="1" x="205"/>
        <item m="1" x="199"/>
        <item m="1" x="207"/>
        <item m="1" x="129"/>
        <item m="1" x="181"/>
        <item m="1" x="124"/>
        <item m="1" x="167"/>
        <item m="1" x="206"/>
        <item m="1" x="186"/>
        <item m="1" x="147"/>
        <item m="1" x="166"/>
        <item m="1" x="179"/>
        <item m="1" x="169"/>
        <item m="1" x="132"/>
        <item m="1" x="144"/>
        <item m="1" x="140"/>
        <item m="1" x="213"/>
        <item m="1" x="160"/>
        <item m="1" x="125"/>
        <item m="1" x="200"/>
        <item m="1" x="162"/>
        <item m="1" x="155"/>
        <item m="1" x="191"/>
        <item m="1" x="161"/>
        <item m="1" x="130"/>
        <item m="1" x="196"/>
        <item m="1" x="165"/>
        <item m="1" x="141"/>
        <item m="1" x="171"/>
        <item m="1" x="145"/>
        <item m="1" x="184"/>
        <item m="1" x="188"/>
        <item m="1" x="135"/>
        <item m="1" x="133"/>
        <item m="1" x="172"/>
        <item m="1" x="211"/>
        <item m="1" x="143"/>
        <item m="1" x="136"/>
        <item m="1" x="187"/>
        <item m="1" x="182"/>
        <item m="1" x="185"/>
        <item m="1" x="201"/>
        <item m="1" x="151"/>
        <item m="1" x="127"/>
        <item m="1" x="197"/>
        <item m="1" x="142"/>
        <item m="1" x="137"/>
        <item m="1" x="198"/>
        <item m="1" x="203"/>
        <item m="1" x="159"/>
        <item m="1" x="204"/>
        <item m="1" x="190"/>
        <item m="1" x="17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26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7">
        <item m="1" x="5"/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5">
    <i>
      <x v="213"/>
    </i>
    <i r="1">
      <x v="5"/>
    </i>
    <i>
      <x v="214"/>
    </i>
    <i r="1">
      <x v="5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3754" totalsRowShown="0">
  <autoFilter ref="A1:M3754" xr:uid="{00000000-000C-0000-FFFF-FFFF00000000}">
    <filterColumn colId="7">
      <filters blank="1"/>
    </filterColumn>
  </autoFilter>
  <sortState xmlns:xlrd2="http://schemas.microsoft.com/office/spreadsheetml/2017/richdata2" ref="A2102:M2237">
    <sortCondition ref="G1:G2237"/>
  </sortState>
  <tableColumns count="13">
    <tableColumn id="1" xr3:uid="{00000000-0010-0000-0000-000001000000}" name="No." dataDxfId="86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85">
      <calculatedColumnFormula>IFERROR(VLOOKUP(Table2[[#This Row], [Ticket]],Okey!A:B,2,0),"")</calculatedColumnFormula>
    </tableColumn>
    <tableColumn id="9" xr3:uid="{00000000-0010-0000-0000-000009000000}" name="STATUS Check" dataDxfId="84"/>
    <tableColumn id="10" xr3:uid="{00000000-0010-0000-0000-00000A000000}" name="Sector" dataDxfId="83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82"/>
    <tableColumn id="13" xr3:uid="{00000000-0010-0000-0000-00000D000000}" name="Author" dataDxfId="8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8"/>
  <sheetViews>
    <sheetView workbookViewId="0">
      <selection activeCell="E29" sqref="E29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8991</v>
      </c>
    </row>
    <row r="4" spans="1:2">
      <c r="A4" s="30" t="s">
        <v>12937</v>
      </c>
      <c r="B4" s="42">
        <v>9</v>
      </c>
    </row>
    <row r="5" spans="1:2">
      <c r="A5" s="65" t="s">
        <v>12962</v>
      </c>
      <c r="B5" s="42">
        <v>9</v>
      </c>
    </row>
    <row r="6" spans="1:2">
      <c r="A6" s="30" t="s">
        <v>12948</v>
      </c>
      <c r="B6" s="42">
        <v>8</v>
      </c>
    </row>
    <row r="7" spans="1:2">
      <c r="A7" s="65" t="s">
        <v>12962</v>
      </c>
      <c r="B7" s="42">
        <v>8</v>
      </c>
    </row>
    <row r="8" spans="1:2">
      <c r="A8" s="30" t="s">
        <v>10</v>
      </c>
      <c r="B8" s="42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408"/>
  <sheetViews>
    <sheetView workbookViewId="0">
      <selection activeCell="B1" sqref="B1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11463</v>
      </c>
      <c r="B365" s="34" t="s">
        <v>86</v>
      </c>
    </row>
    <row r="366" spans="1:2">
      <c r="A366" s="5" t="s">
        <v>11680</v>
      </c>
      <c r="B366" s="34" t="s">
        <v>86</v>
      </c>
    </row>
    <row r="367" spans="1:2">
      <c r="A367" s="5" t="s">
        <v>12116</v>
      </c>
      <c r="B367" s="34" t="s">
        <v>86</v>
      </c>
    </row>
    <row r="368" spans="1:2">
      <c r="A368" s="44" t="s">
        <v>12130</v>
      </c>
      <c r="B368" s="34" t="s">
        <v>86</v>
      </c>
    </row>
    <row r="369" spans="1:2">
      <c r="A369" s="5" t="s">
        <v>11679</v>
      </c>
      <c r="B369" s="34" t="s">
        <v>86</v>
      </c>
    </row>
    <row r="370" spans="1:2">
      <c r="A370" s="5" t="s">
        <v>12118</v>
      </c>
      <c r="B370" s="34" t="s">
        <v>86</v>
      </c>
    </row>
    <row r="371" spans="1:2">
      <c r="A371" s="5" t="s">
        <v>12115</v>
      </c>
      <c r="B371" s="34" t="s">
        <v>86</v>
      </c>
    </row>
    <row r="372" spans="1:2">
      <c r="A372" s="5" t="s">
        <v>12265</v>
      </c>
      <c r="B372" s="34" t="s">
        <v>86</v>
      </c>
    </row>
    <row r="373" spans="1:2">
      <c r="A373" s="5" t="s">
        <v>12266</v>
      </c>
      <c r="B373" s="34" t="s">
        <v>86</v>
      </c>
    </row>
    <row r="374" spans="1:2">
      <c r="A374" s="5" t="s">
        <v>12267</v>
      </c>
      <c r="B374" s="34" t="s">
        <v>86</v>
      </c>
    </row>
    <row r="375" spans="1:2">
      <c r="A375" s="5" t="s">
        <v>12273</v>
      </c>
      <c r="B375" s="34" t="s">
        <v>86</v>
      </c>
    </row>
    <row r="376" spans="1:2">
      <c r="A376" s="5" t="s">
        <v>12285</v>
      </c>
      <c r="B376" s="34" t="s">
        <v>86</v>
      </c>
    </row>
    <row r="377" spans="1:2">
      <c r="A377" s="5" t="s">
        <v>12290</v>
      </c>
      <c r="B377" s="34" t="s">
        <v>86</v>
      </c>
    </row>
    <row r="378" spans="1:2">
      <c r="A378" s="5" t="s">
        <v>12289</v>
      </c>
      <c r="B378" s="34" t="s">
        <v>86</v>
      </c>
    </row>
    <row r="379" spans="1:2">
      <c r="A379" s="5" t="s">
        <v>12291</v>
      </c>
      <c r="B379" s="34" t="s">
        <v>86</v>
      </c>
    </row>
    <row r="380" spans="1:2">
      <c r="A380" s="5" t="s">
        <v>12296</v>
      </c>
      <c r="B380" s="34" t="s">
        <v>86</v>
      </c>
    </row>
    <row r="381" spans="1:2">
      <c r="A381" s="5" t="s">
        <v>12298</v>
      </c>
      <c r="B381" s="34" t="s">
        <v>86</v>
      </c>
    </row>
    <row r="382" spans="1:2">
      <c r="A382" s="5" t="s">
        <v>12301</v>
      </c>
      <c r="B382" s="34" t="s">
        <v>86</v>
      </c>
    </row>
    <row r="383" spans="1:2">
      <c r="A383" s="5" t="s">
        <v>12302</v>
      </c>
      <c r="B383" s="34" t="s">
        <v>86</v>
      </c>
    </row>
    <row r="384" spans="1:2">
      <c r="A384" s="5" t="s">
        <v>12307</v>
      </c>
      <c r="B384" s="34" t="s">
        <v>86</v>
      </c>
    </row>
    <row r="385" spans="1:2">
      <c r="A385" s="5" t="s">
        <v>12310</v>
      </c>
      <c r="B385" s="34" t="s">
        <v>86</v>
      </c>
    </row>
    <row r="386" spans="1:2">
      <c r="A386" s="5" t="s">
        <v>12322</v>
      </c>
      <c r="B386" s="34" t="s">
        <v>86</v>
      </c>
    </row>
    <row r="387" spans="1:2">
      <c r="A387" s="5" t="s">
        <v>12334</v>
      </c>
      <c r="B387" s="34" t="s">
        <v>86</v>
      </c>
    </row>
    <row r="388" spans="1:2">
      <c r="A388" s="5" t="s">
        <v>12344</v>
      </c>
      <c r="B388" s="34" t="s">
        <v>86</v>
      </c>
    </row>
    <row r="389" spans="1:2">
      <c r="A389" s="5" t="s">
        <v>12346</v>
      </c>
      <c r="B389" s="34" t="s">
        <v>86</v>
      </c>
    </row>
    <row r="390" spans="1:2">
      <c r="A390" s="5" t="s">
        <v>12347</v>
      </c>
      <c r="B390" s="34" t="s">
        <v>86</v>
      </c>
    </row>
    <row r="391" spans="1:2">
      <c r="A391" s="5" t="s">
        <v>12383</v>
      </c>
      <c r="B391" s="34" t="s">
        <v>86</v>
      </c>
    </row>
    <row r="392" spans="1:2">
      <c r="A392" s="5" t="s">
        <v>12399</v>
      </c>
      <c r="B392" s="34" t="s">
        <v>86</v>
      </c>
    </row>
    <row r="393" spans="1:2">
      <c r="A393" s="5" t="s">
        <v>12559</v>
      </c>
      <c r="B393" s="34" t="s">
        <v>86</v>
      </c>
    </row>
    <row r="394" spans="1:2">
      <c r="A394" s="44" t="s">
        <v>12781</v>
      </c>
      <c r="B394" s="34" t="s">
        <v>86</v>
      </c>
    </row>
    <row r="395" spans="1:2">
      <c r="A395" s="44" t="s">
        <v>12782</v>
      </c>
      <c r="B395" s="34" t="s">
        <v>86</v>
      </c>
    </row>
    <row r="396" spans="1:2">
      <c r="A396" s="44" t="s">
        <v>12382</v>
      </c>
      <c r="B396" s="34" t="s">
        <v>86</v>
      </c>
    </row>
    <row r="397" spans="1:2">
      <c r="A397" s="44" t="s">
        <v>12400</v>
      </c>
      <c r="B397" s="34" t="s">
        <v>86</v>
      </c>
    </row>
    <row r="398" spans="1:2">
      <c r="A398" s="44" t="s">
        <v>12572</v>
      </c>
      <c r="B398" s="34" t="s">
        <v>86</v>
      </c>
    </row>
    <row r="399" spans="1:2">
      <c r="A399" s="5" t="s">
        <v>12381</v>
      </c>
      <c r="B399" s="34" t="s">
        <v>86</v>
      </c>
    </row>
    <row r="400" spans="1:2">
      <c r="A400" s="5" t="s">
        <v>12836</v>
      </c>
      <c r="B400" s="34" t="s">
        <v>86</v>
      </c>
    </row>
    <row r="401" spans="1:2">
      <c r="A401" s="5" t="s">
        <v>12852</v>
      </c>
      <c r="B401" s="34" t="s">
        <v>86</v>
      </c>
    </row>
    <row r="402" spans="1:2">
      <c r="A402" s="5" t="s">
        <v>12853</v>
      </c>
      <c r="B402" s="34" t="s">
        <v>86</v>
      </c>
    </row>
    <row r="403" spans="1:2">
      <c r="A403" s="5" t="s">
        <v>12854</v>
      </c>
      <c r="B403" s="34" t="s">
        <v>86</v>
      </c>
    </row>
    <row r="404" spans="1:2">
      <c r="A404" s="5" t="s">
        <v>12866</v>
      </c>
      <c r="B404" s="34" t="s">
        <v>86</v>
      </c>
    </row>
    <row r="405" spans="1:2">
      <c r="A405" s="5" t="s">
        <v>12884</v>
      </c>
      <c r="B405" s="34" t="s">
        <v>86</v>
      </c>
    </row>
    <row r="406" spans="1:2">
      <c r="A406" s="5" t="s">
        <v>12905</v>
      </c>
      <c r="B406" s="34" t="s">
        <v>86</v>
      </c>
    </row>
    <row r="407" spans="1:2">
      <c r="A407" s="5" t="s">
        <v>12906</v>
      </c>
      <c r="B407" s="34" t="s">
        <v>86</v>
      </c>
    </row>
    <row r="408" spans="1:2">
      <c r="A408" s="5" t="s">
        <v>12914</v>
      </c>
      <c r="B408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3754"/>
  <sheetViews>
    <sheetView tabSelected="1" zoomScaleNormal="100" workbookViewId="0">
      <selection activeCell="E3754" sqref="E3754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19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ref="A20:A83" si="1">1+A19</f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1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1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1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1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1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1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 hidden="1">
      <c r="A27" s="40">
        <f t="shared" si="1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 hidden="1">
      <c r="A28" s="40">
        <f t="shared" si="1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 hidden="1">
      <c r="A29" s="40">
        <f t="shared" si="1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 hidden="1">
      <c r="A30" s="40">
        <f t="shared" si="1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 hidden="1">
      <c r="A31" s="40">
        <f t="shared" si="1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 hidden="1">
      <c r="A32" s="40">
        <f t="shared" si="1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 hidden="1">
      <c r="A33" s="40">
        <f t="shared" si="1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 hidden="1">
      <c r="A34" s="40">
        <f t="shared" si="1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 hidden="1">
      <c r="A35" s="40">
        <f t="shared" si="1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 hidden="1">
      <c r="A36" s="40">
        <f t="shared" si="1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 hidden="1">
      <c r="A37" s="40">
        <f t="shared" si="1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 hidden="1">
      <c r="A38" s="40">
        <f t="shared" si="1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 hidden="1">
      <c r="A39" s="40">
        <f t="shared" si="1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 hidden="1">
      <c r="A40" s="40">
        <f t="shared" si="1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 hidden="1">
      <c r="A41" s="40">
        <f t="shared" si="1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 hidden="1">
      <c r="A42" s="40">
        <f t="shared" si="1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 hidden="1">
      <c r="A43" s="40">
        <f t="shared" si="1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 hidden="1">
      <c r="A44" s="40">
        <f t="shared" si="1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 hidden="1">
      <c r="A45" s="40">
        <f t="shared" si="1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 hidden="1">
      <c r="A46" s="40">
        <f t="shared" si="1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 hidden="1">
      <c r="A47" s="40">
        <f t="shared" si="1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 hidden="1">
      <c r="A48" s="40">
        <f t="shared" si="1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 hidden="1">
      <c r="A49" s="40">
        <f t="shared" si="1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 hidden="1">
      <c r="A50" s="40">
        <f t="shared" si="1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 hidden="1">
      <c r="A51" s="40">
        <f t="shared" si="1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 hidden="1">
      <c r="A52" s="40">
        <f t="shared" si="1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 hidden="1">
      <c r="A53" s="40">
        <f t="shared" si="1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 hidden="1">
      <c r="A54" s="40">
        <f t="shared" si="1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1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1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 hidden="1">
      <c r="A57" s="40">
        <f t="shared" si="1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 hidden="1">
      <c r="A58" s="40">
        <f t="shared" si="1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 hidden="1">
      <c r="A59" s="40">
        <f t="shared" si="1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 hidden="1">
      <c r="A60" s="40">
        <f t="shared" si="1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 hidden="1">
      <c r="A61" s="40">
        <f t="shared" si="1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 hidden="1">
      <c r="A62" s="40">
        <f t="shared" si="1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 hidden="1">
      <c r="A63" s="40">
        <f t="shared" si="1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 hidden="1">
      <c r="A64" s="40">
        <f t="shared" si="1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 hidden="1">
      <c r="A65" s="40">
        <f t="shared" si="1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 hidden="1">
      <c r="A66" s="40">
        <f t="shared" si="1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 hidden="1">
      <c r="A67" s="40">
        <f t="shared" si="1"/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 hidden="1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 hidden="1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 hidden="1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 hidden="1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 hidden="1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 hidden="1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 hidden="1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 hidden="1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 hidden="1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 hidden="1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 hidden="1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 hidden="1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 hidden="1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 hidden="1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 hidden="1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 hidden="1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 hidden="1">
      <c r="A84" s="40">
        <f t="shared" ref="A84:A147" si="2">1+A83</f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 hidden="1">
      <c r="A85" s="40">
        <f t="shared" si="2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 hidden="1">
      <c r="A86" s="40">
        <f t="shared" si="2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 hidden="1">
      <c r="A87" s="40">
        <f t="shared" si="2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 hidden="1">
      <c r="A88" s="40">
        <f t="shared" si="2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 hidden="1">
      <c r="A89" s="40">
        <f t="shared" si="2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 hidden="1">
      <c r="A90" s="40">
        <f t="shared" si="2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 hidden="1">
      <c r="A91" s="40">
        <f t="shared" si="2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 hidden="1">
      <c r="A92" s="40">
        <f t="shared" si="2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 hidden="1">
      <c r="A93" s="40">
        <f t="shared" si="2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 hidden="1">
      <c r="A94" s="40">
        <f t="shared" si="2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 hidden="1">
      <c r="A95" s="40">
        <f t="shared" si="2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 hidden="1">
      <c r="A96" s="40">
        <f t="shared" si="2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 hidden="1">
      <c r="A97" s="40">
        <f t="shared" si="2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 hidden="1">
      <c r="A98" s="40">
        <f t="shared" si="2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 hidden="1">
      <c r="A99" s="40">
        <f t="shared" si="2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 hidden="1">
      <c r="A100" s="40">
        <f t="shared" si="2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 hidden="1">
      <c r="A101" s="40">
        <f t="shared" si="2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 hidden="1">
      <c r="A102" s="40">
        <f t="shared" si="2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 hidden="1">
      <c r="A103" s="40">
        <f t="shared" si="2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 hidden="1">
      <c r="A104" s="40">
        <f t="shared" si="2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 hidden="1">
      <c r="A105" s="40">
        <f t="shared" si="2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 hidden="1">
      <c r="A106" s="40">
        <f t="shared" si="2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 hidden="1">
      <c r="A107" s="40">
        <f t="shared" si="2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 hidden="1">
      <c r="A108" s="40">
        <f t="shared" si="2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 hidden="1">
      <c r="A109" s="40">
        <f t="shared" si="2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 hidden="1">
      <c r="A110" s="40">
        <f t="shared" si="2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 hidden="1">
      <c r="A111" s="40">
        <f t="shared" si="2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 hidden="1">
      <c r="A112" s="40">
        <f t="shared" si="2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 hidden="1">
      <c r="A113" s="40">
        <f t="shared" si="2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 hidden="1">
      <c r="A114" s="40">
        <f t="shared" si="2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 hidden="1">
      <c r="A115" s="40">
        <f t="shared" si="2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 hidden="1">
      <c r="A116" s="40">
        <f t="shared" si="2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 hidden="1">
      <c r="A117" s="40">
        <f t="shared" si="2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 hidden="1">
      <c r="A118" s="40">
        <f t="shared" si="2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 hidden="1">
      <c r="A119" s="40">
        <f t="shared" si="2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 hidden="1">
      <c r="A120" s="40">
        <f t="shared" si="2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 hidden="1">
      <c r="A121" s="40">
        <f t="shared" si="2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 hidden="1">
      <c r="A122" s="40">
        <f t="shared" si="2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 hidden="1">
      <c r="A123" s="40">
        <f t="shared" si="2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 hidden="1">
      <c r="A124" s="40">
        <f t="shared" si="2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 hidden="1">
      <c r="A125" s="40">
        <f t="shared" si="2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 hidden="1">
      <c r="A126" s="40">
        <f t="shared" si="2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 hidden="1">
      <c r="A127" s="40">
        <f t="shared" si="2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 hidden="1">
      <c r="A128" s="40">
        <f t="shared" si="2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 hidden="1">
      <c r="A129" s="40">
        <f t="shared" si="2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 hidden="1">
      <c r="A130" s="40">
        <f t="shared" si="2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 hidden="1">
      <c r="A131" s="40">
        <f t="shared" si="2"/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 hidden="1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 hidden="1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 hidden="1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 hidden="1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 hidden="1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 hidden="1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 hidden="1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 hidden="1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 hidden="1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 hidden="1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 hidden="1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 hidden="1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 hidden="1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 hidden="1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 hidden="1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 hidden="1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 hidden="1">
      <c r="A148" s="40">
        <f t="shared" ref="A148:A211" si="3">1+A147</f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 hidden="1">
      <c r="A149" s="40">
        <f t="shared" si="3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 hidden="1">
      <c r="A150" s="40">
        <f t="shared" si="3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 hidden="1">
      <c r="A151" s="40">
        <f t="shared" si="3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 hidden="1">
      <c r="A152" s="40">
        <f t="shared" si="3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 hidden="1">
      <c r="A153" s="40">
        <f t="shared" si="3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 hidden="1">
      <c r="A154" s="40">
        <f t="shared" si="3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 hidden="1">
      <c r="A155" s="40">
        <f t="shared" si="3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 hidden="1">
      <c r="A156" s="40">
        <f t="shared" si="3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 hidden="1">
      <c r="A157" s="40">
        <f t="shared" si="3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 hidden="1">
      <c r="A158" s="40">
        <f t="shared" si="3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 hidden="1">
      <c r="A159" s="40">
        <f t="shared" si="3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 hidden="1">
      <c r="A160" s="40">
        <f t="shared" si="3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 hidden="1">
      <c r="A161" s="40">
        <f t="shared" si="3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 hidden="1">
      <c r="A162" s="40">
        <f t="shared" si="3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 hidden="1">
      <c r="A163" s="40">
        <f t="shared" si="3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 hidden="1">
      <c r="A164" s="40">
        <f t="shared" si="3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 hidden="1">
      <c r="A165" s="40">
        <f t="shared" si="3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 hidden="1">
      <c r="A166" s="40">
        <f t="shared" si="3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 hidden="1">
      <c r="A167" s="40">
        <f t="shared" si="3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 hidden="1">
      <c r="A168" s="40">
        <f t="shared" si="3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 hidden="1">
      <c r="A169" s="40">
        <f t="shared" si="3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 hidden="1">
      <c r="A170" s="40">
        <f t="shared" si="3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 hidden="1">
      <c r="A171" s="40">
        <f t="shared" si="3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 hidden="1">
      <c r="A172" s="40">
        <f t="shared" si="3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 hidden="1">
      <c r="A173" s="40">
        <f t="shared" si="3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 hidden="1">
      <c r="A174" s="40">
        <f t="shared" si="3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 hidden="1">
      <c r="A175" s="40">
        <f t="shared" si="3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 hidden="1">
      <c r="A176" s="40">
        <f t="shared" si="3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 hidden="1">
      <c r="A177" s="40">
        <f t="shared" si="3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 hidden="1">
      <c r="A178" s="40">
        <f t="shared" si="3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 hidden="1">
      <c r="A179" s="40">
        <f t="shared" si="3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 hidden="1">
      <c r="A180" s="40">
        <f t="shared" si="3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 hidden="1">
      <c r="A181" s="40">
        <f t="shared" si="3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 hidden="1">
      <c r="A182" s="40">
        <f t="shared" si="3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 hidden="1">
      <c r="A183" s="40">
        <f t="shared" si="3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 hidden="1">
      <c r="A184" s="40">
        <f t="shared" si="3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 hidden="1">
      <c r="A185" s="40">
        <f t="shared" si="3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 hidden="1">
      <c r="A186" s="40">
        <f t="shared" si="3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12133</v>
      </c>
    </row>
    <row r="187" spans="1:13" hidden="1">
      <c r="A187" s="40">
        <f t="shared" si="3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12133</v>
      </c>
    </row>
    <row r="188" spans="1:13" hidden="1">
      <c r="A188" s="40">
        <f t="shared" si="3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12133</v>
      </c>
    </row>
    <row r="189" spans="1:13" hidden="1">
      <c r="A189" s="40">
        <f t="shared" si="3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12133</v>
      </c>
    </row>
    <row r="190" spans="1:13" hidden="1">
      <c r="A190" s="40">
        <f t="shared" si="3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12133</v>
      </c>
    </row>
    <row r="191" spans="1:13" hidden="1">
      <c r="A191" s="40">
        <f t="shared" si="3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12133</v>
      </c>
    </row>
    <row r="192" spans="1:13" hidden="1">
      <c r="A192" s="40">
        <f t="shared" si="3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12133</v>
      </c>
    </row>
    <row r="193" spans="1:13" hidden="1">
      <c r="A193" s="40">
        <f t="shared" si="3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12133</v>
      </c>
    </row>
    <row r="194" spans="1:13" hidden="1">
      <c r="A194" s="40">
        <f t="shared" si="3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12133</v>
      </c>
    </row>
    <row r="195" spans="1:13" hidden="1">
      <c r="A195" s="40">
        <f t="shared" si="3"/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12133</v>
      </c>
    </row>
    <row r="196" spans="1:13" hidden="1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 hidden="1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 hidden="1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 hidden="1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 hidden="1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 hidden="1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 hidden="1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 hidden="1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 hidden="1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 hidden="1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ref="A212:A275" si="4">1+A211</f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4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4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4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4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4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4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4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4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4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4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4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4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4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4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4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4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4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4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4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4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4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4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4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4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4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4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4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4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4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4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4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4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4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4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4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4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4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4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4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4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4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4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4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4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4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4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si="4"/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ref="A276:A339" si="5">1+A275</f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5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5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5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5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5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5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5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5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5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5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5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5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5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5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5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5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5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5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5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5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5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5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5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5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5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5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5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5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5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5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5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5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5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5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5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5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5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5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5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5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5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5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5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5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5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5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si="5"/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ref="A340:A403" si="6">1+A339</f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6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6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6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6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6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6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6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6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6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6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6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6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6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6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6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6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6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6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6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6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6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6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6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6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6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6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6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6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6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6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6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6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6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6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6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6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6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6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6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6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6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6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6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6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6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6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si="6"/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ref="A404:A467" si="7">1+A403</f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7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7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7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7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7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7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7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7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7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7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7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7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7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7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7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7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7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7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7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7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7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7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7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7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7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7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7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7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7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7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7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7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7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7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7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7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7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7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7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7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7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7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7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7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7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7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si="7"/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ref="A468:A531" si="8">1+A467</f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8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8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8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8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8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8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8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8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8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8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8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8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8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8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8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8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8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8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8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8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8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8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8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8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8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8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8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8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8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8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8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8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8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8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8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8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8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8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8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8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8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8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8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8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8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8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si="8"/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ref="A532:A595" si="9">1+A531</f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9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9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9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9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9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9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9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9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9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9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9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9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9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9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9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9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9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9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9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9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9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9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9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9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9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9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9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9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9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9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9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9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9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9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9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9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9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9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9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9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9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9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9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9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9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9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si="9"/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ref="A596:A659" si="10">1+A595</f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10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10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10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10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 hidden="1">
      <c r="A601" s="40">
        <f t="shared" si="10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 hidden="1">
      <c r="A602" s="40">
        <f t="shared" si="10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 hidden="1">
      <c r="A603" s="40">
        <f t="shared" si="10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 hidden="1">
      <c r="A604" s="40">
        <f t="shared" si="10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 hidden="1">
      <c r="A605" s="40">
        <f t="shared" si="10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 hidden="1">
      <c r="A606" s="40">
        <f t="shared" si="10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 hidden="1">
      <c r="A607" s="40">
        <f t="shared" si="10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 hidden="1">
      <c r="A608" s="40">
        <f t="shared" si="10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 hidden="1">
      <c r="A609" s="40">
        <f t="shared" si="10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 hidden="1">
      <c r="A610" s="40">
        <f t="shared" si="10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 hidden="1">
      <c r="A611" s="40">
        <f t="shared" si="10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 hidden="1">
      <c r="A612" s="40">
        <f t="shared" si="10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 hidden="1">
      <c r="A613" s="40">
        <f t="shared" si="10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 hidden="1">
      <c r="A614" s="40">
        <f t="shared" si="10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 hidden="1">
      <c r="A615" s="40">
        <f t="shared" si="10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 hidden="1">
      <c r="A616" s="40">
        <f t="shared" si="10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 hidden="1">
      <c r="A617" s="40">
        <f t="shared" si="10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 hidden="1">
      <c r="A618" s="40">
        <f t="shared" si="10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 hidden="1">
      <c r="A619" s="40">
        <f t="shared" si="10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 hidden="1">
      <c r="A620" s="40">
        <f t="shared" si="10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 hidden="1">
      <c r="A621" s="40">
        <f t="shared" si="10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 hidden="1">
      <c r="A622" s="40">
        <f t="shared" si="10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 hidden="1">
      <c r="A623" s="40">
        <f t="shared" si="10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 hidden="1">
      <c r="A624" s="40">
        <f t="shared" si="10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 hidden="1">
      <c r="A625" s="40">
        <f t="shared" si="10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 hidden="1">
      <c r="A626" s="40">
        <f t="shared" si="10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 hidden="1">
      <c r="A627" s="40">
        <f t="shared" si="10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 hidden="1">
      <c r="A628" s="40">
        <f t="shared" si="10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 hidden="1">
      <c r="A629" s="40">
        <f t="shared" si="10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 hidden="1">
      <c r="A630" s="40">
        <f t="shared" si="10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 hidden="1">
      <c r="A631" s="40">
        <f t="shared" si="10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 hidden="1">
      <c r="A632" s="40">
        <f t="shared" si="10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 hidden="1">
      <c r="A633" s="40">
        <f t="shared" si="10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 hidden="1">
      <c r="A634" s="40">
        <f t="shared" si="10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 hidden="1">
      <c r="A635" s="40">
        <f t="shared" si="10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 hidden="1">
      <c r="A636" s="40">
        <f t="shared" si="10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 hidden="1">
      <c r="A637" s="40">
        <f t="shared" si="10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 hidden="1">
      <c r="A638" s="40">
        <f t="shared" si="10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 hidden="1">
      <c r="A639" s="40">
        <f t="shared" si="10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 hidden="1">
      <c r="A640" s="40">
        <f t="shared" si="10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 hidden="1">
      <c r="A641" s="40">
        <f t="shared" si="10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 hidden="1">
      <c r="A642" s="40">
        <f t="shared" si="10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 hidden="1">
      <c r="A643" s="40">
        <f t="shared" si="10"/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 hidden="1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 hidden="1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 hidden="1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 hidden="1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 hidden="1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 hidden="1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 hidden="1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 hidden="1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 hidden="1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 hidden="1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 hidden="1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 hidden="1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 hidden="1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 hidden="1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 hidden="1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 hidden="1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 hidden="1">
      <c r="A660" s="40">
        <f t="shared" ref="A660:A723" si="11">1+A659</f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 hidden="1">
      <c r="A661" s="40">
        <f t="shared" si="11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 hidden="1">
      <c r="A662" s="40">
        <f t="shared" si="11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 hidden="1">
      <c r="A663" s="40">
        <f t="shared" si="11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 hidden="1">
      <c r="A664" s="40">
        <f t="shared" si="11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 hidden="1">
      <c r="A665" s="40">
        <f t="shared" si="11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 hidden="1">
      <c r="A666" s="40">
        <f t="shared" si="11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 hidden="1">
      <c r="A667" s="40">
        <f t="shared" si="11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 hidden="1">
      <c r="A668" s="40">
        <f t="shared" si="11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 hidden="1">
      <c r="A669" s="40">
        <f t="shared" si="11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 hidden="1">
      <c r="A670" s="40">
        <f t="shared" si="11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 hidden="1">
      <c r="A671" s="40">
        <f t="shared" si="11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 hidden="1">
      <c r="A672" s="40">
        <f t="shared" si="11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 hidden="1">
      <c r="A673" s="40">
        <f t="shared" si="11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 hidden="1">
      <c r="A674" s="40">
        <f t="shared" si="11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 hidden="1">
      <c r="A675" s="40">
        <f t="shared" si="11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 hidden="1">
      <c r="A676" s="40">
        <f t="shared" si="11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 hidden="1">
      <c r="A677" s="40">
        <f t="shared" si="11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 hidden="1">
      <c r="A678" s="40">
        <f t="shared" si="11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 hidden="1">
      <c r="A679" s="40">
        <f t="shared" si="11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 hidden="1">
      <c r="A680" s="40">
        <f t="shared" si="11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 hidden="1">
      <c r="A681" s="40">
        <f t="shared" si="11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 hidden="1">
      <c r="A682" s="40">
        <f t="shared" si="11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 hidden="1">
      <c r="A683" s="40">
        <f t="shared" si="11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 hidden="1">
      <c r="A684" s="40">
        <f t="shared" si="11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 hidden="1">
      <c r="A685" s="40">
        <f t="shared" si="11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 hidden="1">
      <c r="A686" s="40">
        <f t="shared" si="11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 hidden="1">
      <c r="A687" s="40">
        <f t="shared" si="11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 hidden="1">
      <c r="A688" s="40">
        <f t="shared" si="11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 hidden="1">
      <c r="A689" s="40">
        <f t="shared" si="11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 hidden="1">
      <c r="A690" s="40">
        <f t="shared" si="11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 hidden="1">
      <c r="A691" s="40">
        <f t="shared" si="11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 hidden="1">
      <c r="A692" s="40">
        <f t="shared" si="11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 hidden="1">
      <c r="A693" s="40">
        <f t="shared" si="11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 hidden="1">
      <c r="A694" s="40">
        <f t="shared" si="11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 hidden="1">
      <c r="A695" s="40">
        <f t="shared" si="11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 hidden="1">
      <c r="A696" s="40">
        <f t="shared" si="11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 hidden="1">
      <c r="A697" s="40">
        <f t="shared" si="11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 hidden="1">
      <c r="A698" s="40">
        <f t="shared" si="11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 hidden="1">
      <c r="A699" s="40">
        <f t="shared" si="11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 hidden="1">
      <c r="A700" s="40">
        <f t="shared" si="11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 hidden="1">
      <c r="A701" s="40">
        <f t="shared" si="11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 hidden="1">
      <c r="A702" s="40">
        <f t="shared" si="11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 hidden="1">
      <c r="A703" s="40">
        <f t="shared" si="11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 hidden="1">
      <c r="A704" s="40">
        <f t="shared" si="11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 hidden="1">
      <c r="A705" s="40">
        <f t="shared" si="11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 hidden="1">
      <c r="A706" s="40">
        <f t="shared" si="11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 hidden="1">
      <c r="A707" s="40">
        <f t="shared" si="11"/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 hidden="1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 hidden="1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 hidden="1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 hidden="1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 hidden="1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 hidden="1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 hidden="1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 hidden="1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 hidden="1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 hidden="1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 hidden="1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 hidden="1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 hidden="1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 hidden="1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 hidden="1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 hidden="1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 hidden="1">
      <c r="A724" s="40">
        <f t="shared" ref="A724:A787" si="12">1+A723</f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 hidden="1">
      <c r="A725" s="40">
        <f t="shared" si="12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 hidden="1">
      <c r="A726" s="40">
        <f t="shared" si="12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 hidden="1">
      <c r="A727" s="40">
        <f t="shared" si="12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 hidden="1">
      <c r="A728" s="40">
        <f t="shared" si="12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 hidden="1">
      <c r="A729" s="40">
        <f t="shared" si="12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 hidden="1">
      <c r="A730" s="40">
        <f t="shared" si="12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 hidden="1">
      <c r="A731" s="40">
        <f t="shared" si="12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 hidden="1">
      <c r="A732" s="40">
        <f t="shared" si="12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 hidden="1">
      <c r="A733" s="40">
        <f t="shared" si="12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 hidden="1">
      <c r="A734" s="40">
        <f t="shared" si="12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 hidden="1">
      <c r="A735" s="40">
        <f t="shared" si="12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 hidden="1">
      <c r="A736" s="40">
        <f t="shared" si="12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 hidden="1">
      <c r="A737" s="40">
        <f t="shared" si="12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 hidden="1">
      <c r="A738" s="40">
        <f t="shared" si="12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 hidden="1">
      <c r="A739" s="40">
        <f t="shared" si="12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 hidden="1">
      <c r="A740" s="40">
        <f t="shared" si="12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 hidden="1">
      <c r="A741" s="40">
        <f t="shared" si="12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 hidden="1">
      <c r="A742" s="40">
        <f t="shared" si="12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 hidden="1">
      <c r="A743" s="40">
        <f t="shared" si="12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 hidden="1">
      <c r="A744" s="40">
        <f t="shared" si="12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 hidden="1">
      <c r="A745" s="40">
        <f t="shared" si="12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 hidden="1">
      <c r="A746" s="40">
        <f t="shared" si="12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 hidden="1">
      <c r="A747" s="40">
        <f t="shared" si="12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 hidden="1">
      <c r="A748" s="40">
        <f t="shared" si="12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 hidden="1">
      <c r="A749" s="40">
        <f t="shared" si="12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 hidden="1">
      <c r="A750" s="40">
        <f t="shared" si="12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 hidden="1">
      <c r="A751" s="40">
        <f t="shared" si="12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 hidden="1">
      <c r="A752" s="40">
        <f t="shared" si="12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 hidden="1">
      <c r="A753" s="40">
        <f t="shared" si="12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 hidden="1">
      <c r="A754" s="40">
        <f t="shared" si="12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 hidden="1">
      <c r="A755" s="40">
        <f t="shared" si="12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 hidden="1">
      <c r="A756" s="40">
        <f t="shared" si="12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 hidden="1">
      <c r="A757" s="40">
        <f t="shared" si="12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 hidden="1">
      <c r="A758" s="40">
        <f t="shared" si="12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 hidden="1">
      <c r="A759" s="40">
        <f t="shared" si="12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 hidden="1">
      <c r="A760" s="40">
        <f t="shared" si="12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 hidden="1">
      <c r="A761" s="40">
        <f t="shared" si="12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 hidden="1">
      <c r="A762" s="40">
        <f t="shared" si="12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 hidden="1">
      <c r="A763" s="40">
        <f t="shared" si="12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 hidden="1">
      <c r="A764" s="40">
        <f t="shared" si="12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 hidden="1">
      <c r="A765" s="40">
        <f t="shared" si="12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 hidden="1">
      <c r="A766" s="40">
        <f t="shared" si="12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 hidden="1">
      <c r="A767" s="40">
        <f t="shared" si="12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 hidden="1">
      <c r="A768" s="40">
        <f t="shared" si="12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 hidden="1">
      <c r="A769" s="40">
        <f t="shared" si="12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 hidden="1">
      <c r="A770" s="40">
        <f t="shared" si="12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 hidden="1">
      <c r="A771" s="40">
        <f t="shared" si="12"/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 hidden="1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 hidden="1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 hidden="1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 hidden="1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 hidden="1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 hidden="1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 hidden="1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 hidden="1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 hidden="1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 hidden="1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 hidden="1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 hidden="1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 hidden="1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 hidden="1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 hidden="1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 hidden="1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 hidden="1">
      <c r="A788" s="40">
        <f t="shared" ref="A788:A851" si="13">1+A787</f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 hidden="1">
      <c r="A789" s="40">
        <f t="shared" si="13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 hidden="1">
      <c r="A790" s="40">
        <f t="shared" si="13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 hidden="1">
      <c r="A791" s="40">
        <f t="shared" si="13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 hidden="1">
      <c r="A792" s="40">
        <f t="shared" si="13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 hidden="1">
      <c r="A793" s="40">
        <f t="shared" si="13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 hidden="1">
      <c r="A794" s="40">
        <f t="shared" si="13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 hidden="1">
      <c r="A795" s="40">
        <f t="shared" si="13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 hidden="1">
      <c r="A796" s="40">
        <f t="shared" si="13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 hidden="1">
      <c r="A797" s="40">
        <f t="shared" si="13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 hidden="1">
      <c r="A798" s="40">
        <f t="shared" si="13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 hidden="1">
      <c r="A799" s="40">
        <f t="shared" si="13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 hidden="1">
      <c r="A800" s="40">
        <f t="shared" si="13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 hidden="1">
      <c r="A801" s="40">
        <f t="shared" si="13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 hidden="1">
      <c r="A802" s="40">
        <f t="shared" si="13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3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3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3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3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3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3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3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3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3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3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3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3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3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3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3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3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3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3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3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3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3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3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3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3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3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3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3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3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3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3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3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3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si="13"/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 hidden="1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 hidden="1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 hidden="1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 hidden="1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 hidden="1">
      <c r="A852" s="40">
        <f t="shared" ref="A852:A915" si="14">1+A851</f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 hidden="1">
      <c r="A853" s="40">
        <f t="shared" si="14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 hidden="1">
      <c r="A854" s="40">
        <f t="shared" si="14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 hidden="1">
      <c r="A855" s="40">
        <f t="shared" si="14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 hidden="1">
      <c r="A856" s="40">
        <f t="shared" si="14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 hidden="1">
      <c r="A857" s="40">
        <f t="shared" si="14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 hidden="1">
      <c r="A858" s="40">
        <f t="shared" si="14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4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 hidden="1">
      <c r="A860" s="40">
        <f t="shared" si="14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4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 hidden="1">
      <c r="A862" s="40">
        <f t="shared" si="14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 hidden="1">
      <c r="A863" s="40">
        <f t="shared" si="14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 hidden="1">
      <c r="A864" s="40">
        <f t="shared" si="14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 hidden="1">
      <c r="A865" s="40">
        <f t="shared" si="14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 hidden="1">
      <c r="A866" s="40">
        <f t="shared" si="14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 hidden="1">
      <c r="A867" s="40">
        <f t="shared" si="14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 hidden="1">
      <c r="A868" s="40">
        <f t="shared" si="14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 hidden="1">
      <c r="A869" s="40">
        <f t="shared" si="14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 hidden="1">
      <c r="A870" s="40">
        <f t="shared" si="14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 hidden="1">
      <c r="A871" s="40">
        <f t="shared" si="14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 hidden="1">
      <c r="A872" s="40">
        <f t="shared" si="14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 hidden="1">
      <c r="A873" s="40">
        <f t="shared" si="14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 hidden="1">
      <c r="A874" s="40">
        <f t="shared" si="14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 hidden="1">
      <c r="A875" s="40">
        <f t="shared" si="14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 hidden="1">
      <c r="A876" s="40">
        <f t="shared" si="14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 hidden="1">
      <c r="A877" s="40">
        <f t="shared" si="14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 hidden="1">
      <c r="A878" s="40">
        <f t="shared" si="14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 hidden="1">
      <c r="A879" s="40">
        <f t="shared" si="14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 hidden="1">
      <c r="A880" s="40">
        <f t="shared" si="14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 hidden="1">
      <c r="A881" s="40">
        <f t="shared" si="14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 hidden="1">
      <c r="A882" s="40">
        <f t="shared" si="14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 hidden="1">
      <c r="A883" s="40">
        <f t="shared" si="14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 hidden="1">
      <c r="A884" s="40">
        <f t="shared" si="14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 hidden="1">
      <c r="A885" s="40">
        <f t="shared" si="14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 hidden="1">
      <c r="A886" s="40">
        <f t="shared" si="14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 hidden="1">
      <c r="A887" s="40">
        <f t="shared" si="14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 hidden="1">
      <c r="A888" s="40">
        <f t="shared" si="14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 hidden="1">
      <c r="A889" s="40">
        <f t="shared" si="14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 hidden="1">
      <c r="A890" s="40">
        <f t="shared" si="14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 hidden="1">
      <c r="A891" s="40">
        <f t="shared" si="14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 hidden="1">
      <c r="A892" s="40">
        <f t="shared" si="14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 hidden="1">
      <c r="A893" s="40">
        <f t="shared" si="14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 hidden="1">
      <c r="A894" s="40">
        <f t="shared" si="14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 hidden="1">
      <c r="A895" s="40">
        <f t="shared" si="14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 hidden="1">
      <c r="A896" s="40">
        <f t="shared" si="14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 hidden="1">
      <c r="A897" s="40">
        <f t="shared" si="14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 hidden="1">
      <c r="A898" s="40">
        <f t="shared" si="14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 hidden="1">
      <c r="A899" s="40">
        <f t="shared" si="14"/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 hidden="1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 hidden="1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 hidden="1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 hidden="1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 hidden="1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 hidden="1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 hidden="1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 hidden="1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 hidden="1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 hidden="1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 hidden="1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 hidden="1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 hidden="1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 hidden="1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 hidden="1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 hidden="1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 hidden="1">
      <c r="A916" s="40">
        <f t="shared" ref="A916:A979" si="15">1+A915</f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 hidden="1">
      <c r="A917" s="40">
        <f t="shared" si="15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 hidden="1">
      <c r="A918" s="40">
        <f t="shared" si="15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 hidden="1">
      <c r="A919" s="40">
        <f t="shared" si="15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 hidden="1">
      <c r="A920" s="40">
        <f t="shared" si="15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 hidden="1">
      <c r="A921" s="40">
        <f t="shared" si="15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 hidden="1">
      <c r="A922" s="40">
        <f t="shared" si="15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 hidden="1">
      <c r="A923" s="40">
        <f t="shared" si="15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 hidden="1">
      <c r="A924" s="40">
        <f t="shared" si="15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 hidden="1">
      <c r="A925" s="40">
        <f t="shared" si="15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 hidden="1">
      <c r="A926" s="40">
        <f t="shared" si="15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 hidden="1">
      <c r="A927" s="40">
        <f t="shared" si="15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 hidden="1">
      <c r="A928" s="40">
        <f t="shared" si="15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 hidden="1">
      <c r="A929" s="40">
        <f t="shared" si="15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 hidden="1">
      <c r="A930" s="40">
        <f t="shared" si="15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 hidden="1">
      <c r="A931" s="40">
        <f t="shared" si="15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 hidden="1">
      <c r="A932" s="40">
        <f t="shared" si="15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 hidden="1">
      <c r="A933" s="40">
        <f t="shared" si="15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 hidden="1">
      <c r="A934" s="40">
        <f t="shared" si="15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 hidden="1">
      <c r="A935" s="40">
        <f t="shared" si="15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 hidden="1">
      <c r="A936" s="40">
        <f t="shared" si="15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 hidden="1">
      <c r="A937" s="40">
        <f t="shared" si="15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 hidden="1">
      <c r="A938" s="40">
        <f t="shared" si="15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 hidden="1">
      <c r="A939" s="40">
        <f t="shared" si="15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 hidden="1">
      <c r="A940" s="40">
        <f t="shared" si="15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 hidden="1">
      <c r="A941" s="40">
        <f t="shared" si="15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 hidden="1">
      <c r="A942" s="40">
        <f t="shared" si="15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 hidden="1">
      <c r="A943" s="40">
        <f t="shared" si="15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 hidden="1">
      <c r="A944" s="40">
        <f t="shared" si="15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 hidden="1">
      <c r="A945" s="40">
        <f t="shared" si="15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 hidden="1">
      <c r="A946" s="40">
        <f t="shared" si="15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 hidden="1">
      <c r="A947" s="40">
        <f t="shared" si="15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 hidden="1">
      <c r="A948" s="40">
        <f t="shared" si="15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 hidden="1">
      <c r="A949" s="40">
        <f t="shared" si="15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 hidden="1">
      <c r="A950" s="40">
        <f t="shared" si="15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 hidden="1">
      <c r="A951" s="40">
        <f t="shared" si="15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 hidden="1">
      <c r="A952" s="40">
        <f t="shared" si="15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 hidden="1">
      <c r="A953" s="40">
        <f t="shared" si="15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 hidden="1">
      <c r="A954" s="40">
        <f t="shared" si="15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 hidden="1">
      <c r="A955" s="40">
        <f t="shared" si="15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 hidden="1">
      <c r="A956" s="40">
        <f t="shared" si="15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 hidden="1">
      <c r="A957" s="40">
        <f t="shared" si="15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 hidden="1">
      <c r="A958" s="40">
        <f t="shared" si="15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 hidden="1">
      <c r="A959" s="40">
        <f t="shared" si="15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 hidden="1">
      <c r="A960" s="40">
        <f t="shared" si="15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 hidden="1">
      <c r="A961" s="40">
        <f t="shared" si="15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 hidden="1">
      <c r="A962" s="40">
        <f t="shared" si="15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 hidden="1">
      <c r="A963" s="40">
        <f t="shared" si="15"/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 hidden="1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 hidden="1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 hidden="1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 hidden="1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 hidden="1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 hidden="1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 hidden="1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 hidden="1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 hidden="1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 hidden="1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 hidden="1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 hidden="1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 hidden="1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 hidden="1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 hidden="1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 hidden="1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 hidden="1">
      <c r="A980" s="40">
        <f t="shared" ref="A980:A1043" si="16">1+A979</f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 hidden="1">
      <c r="A981" s="40">
        <f t="shared" si="16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 hidden="1">
      <c r="A982" s="40">
        <f t="shared" si="16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 hidden="1">
      <c r="A983" s="40">
        <f t="shared" si="16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 hidden="1">
      <c r="A984" s="40">
        <f t="shared" si="16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 hidden="1">
      <c r="A985" s="40">
        <f t="shared" si="16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 hidden="1">
      <c r="A986" s="40">
        <f t="shared" si="16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 hidden="1">
      <c r="A987" s="40">
        <f t="shared" si="16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 hidden="1">
      <c r="A988" s="40">
        <f t="shared" si="16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 hidden="1">
      <c r="A989" s="40">
        <f t="shared" si="16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 hidden="1">
      <c r="A990" s="40">
        <f t="shared" si="16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 hidden="1">
      <c r="A991" s="40">
        <f t="shared" si="16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 hidden="1">
      <c r="A992" s="40">
        <f t="shared" si="16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 hidden="1">
      <c r="A993" s="40">
        <f t="shared" si="16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 hidden="1">
      <c r="A994" s="40">
        <f t="shared" si="16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 hidden="1">
      <c r="A995" s="40">
        <f t="shared" si="16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 hidden="1">
      <c r="A996" s="40">
        <f t="shared" si="16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 hidden="1">
      <c r="A997" s="40">
        <f t="shared" si="16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 hidden="1">
      <c r="A998" s="40">
        <f t="shared" si="16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 hidden="1">
      <c r="A999" s="40">
        <f t="shared" si="16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 hidden="1">
      <c r="A1000" s="40">
        <f t="shared" si="16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 hidden="1">
      <c r="A1001" s="40">
        <f t="shared" si="16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 hidden="1">
      <c r="A1002" s="40">
        <f t="shared" si="16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 hidden="1">
      <c r="A1003" s="40">
        <f t="shared" si="16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 hidden="1">
      <c r="A1004" s="40">
        <f t="shared" si="16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 hidden="1">
      <c r="A1005" s="40">
        <f t="shared" si="16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 hidden="1">
      <c r="A1006" s="40">
        <f t="shared" si="16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 hidden="1">
      <c r="A1007" s="40">
        <f t="shared" si="16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 hidden="1">
      <c r="A1008" s="40">
        <f t="shared" si="16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 hidden="1">
      <c r="A1009" s="40">
        <f t="shared" si="16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 hidden="1">
      <c r="A1010" s="40">
        <f t="shared" si="16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 hidden="1">
      <c r="A1011" s="40">
        <f t="shared" si="16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 hidden="1">
      <c r="A1012" s="40">
        <f t="shared" si="16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 hidden="1">
      <c r="A1013" s="40">
        <f t="shared" si="16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 hidden="1">
      <c r="A1014" s="40">
        <f t="shared" si="16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 hidden="1">
      <c r="A1015" s="40">
        <f t="shared" si="16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 hidden="1">
      <c r="A1016" s="40">
        <f t="shared" si="16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 hidden="1">
      <c r="A1017" s="40">
        <f t="shared" si="16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 hidden="1">
      <c r="A1018" s="40">
        <f t="shared" si="16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 hidden="1">
      <c r="A1019" s="40">
        <f t="shared" si="16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 hidden="1">
      <c r="A1020" s="40">
        <f t="shared" si="16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 hidden="1">
      <c r="A1021" s="40">
        <f t="shared" si="16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 hidden="1">
      <c r="A1022" s="40">
        <f t="shared" si="16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 hidden="1">
      <c r="A1023" s="40">
        <f t="shared" si="16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 hidden="1">
      <c r="A1024" s="40">
        <f t="shared" si="16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 hidden="1">
      <c r="A1025" s="40">
        <f t="shared" si="16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 hidden="1">
      <c r="A1026" s="40">
        <f t="shared" si="16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 hidden="1">
      <c r="A1027" s="40">
        <f t="shared" si="16"/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 hidden="1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 hidden="1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 hidden="1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 hidden="1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 hidden="1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 hidden="1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 hidden="1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 hidden="1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 hidden="1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 hidden="1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 hidden="1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 hidden="1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 hidden="1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 hidden="1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 hidden="1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 hidden="1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 hidden="1">
      <c r="A1044" s="40">
        <f t="shared" ref="A1044:A1107" si="17">1+A1043</f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 hidden="1">
      <c r="A1045" s="40">
        <f t="shared" si="17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 hidden="1">
      <c r="A1046" s="40">
        <f t="shared" si="17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 hidden="1">
      <c r="A1047" s="40">
        <f t="shared" si="17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 hidden="1">
      <c r="A1048" s="40">
        <f t="shared" si="17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 hidden="1">
      <c r="A1049" s="40">
        <f t="shared" si="17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 hidden="1">
      <c r="A1050" s="40">
        <f t="shared" si="17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 hidden="1">
      <c r="A1051" s="40">
        <f t="shared" si="17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 hidden="1">
      <c r="A1052" s="40">
        <f t="shared" si="17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 hidden="1">
      <c r="A1053" s="40">
        <f t="shared" si="17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 hidden="1">
      <c r="A1054" s="40">
        <f t="shared" si="17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 hidden="1">
      <c r="A1055" s="40">
        <f t="shared" si="17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 hidden="1">
      <c r="A1056" s="40">
        <f t="shared" si="17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 hidden="1">
      <c r="A1057" s="40">
        <f t="shared" si="17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 hidden="1">
      <c r="A1058" s="40">
        <f t="shared" si="17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 hidden="1">
      <c r="A1059" s="40">
        <f t="shared" si="17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 hidden="1">
      <c r="A1060" s="40">
        <f t="shared" si="17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 hidden="1">
      <c r="A1061" s="40">
        <f t="shared" si="17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 hidden="1">
      <c r="A1062" s="40">
        <f t="shared" si="17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 hidden="1">
      <c r="A1063" s="40">
        <f t="shared" si="17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 hidden="1">
      <c r="A1064" s="40">
        <f t="shared" si="17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 hidden="1">
      <c r="A1065" s="40">
        <f t="shared" si="17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 hidden="1">
      <c r="A1066" s="40">
        <f t="shared" si="17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 hidden="1">
      <c r="A1067" s="40">
        <f t="shared" si="17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 hidden="1">
      <c r="A1068" s="40">
        <f t="shared" si="17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 hidden="1">
      <c r="A1069" s="40">
        <f t="shared" si="17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 hidden="1">
      <c r="A1070" s="40">
        <f t="shared" si="17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 hidden="1">
      <c r="A1071" s="40">
        <f t="shared" si="17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 hidden="1">
      <c r="A1072" s="40">
        <f t="shared" si="17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 hidden="1">
      <c r="A1073" s="40">
        <f t="shared" si="17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 hidden="1">
      <c r="A1074" s="40">
        <f t="shared" si="17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 hidden="1">
      <c r="A1075" s="40">
        <f t="shared" si="17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 hidden="1">
      <c r="A1076" s="40">
        <f t="shared" si="17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 hidden="1">
      <c r="A1077" s="40">
        <f t="shared" si="17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 hidden="1">
      <c r="A1078" s="40">
        <f t="shared" si="17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 hidden="1">
      <c r="A1079" s="40">
        <f t="shared" si="17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 hidden="1">
      <c r="A1080" s="40">
        <f t="shared" si="17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 hidden="1">
      <c r="A1081" s="40">
        <f t="shared" si="17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 hidden="1">
      <c r="A1082" s="40">
        <f t="shared" si="17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 hidden="1">
      <c r="A1083" s="40">
        <f t="shared" si="17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 hidden="1">
      <c r="A1084" s="40">
        <f t="shared" si="17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 hidden="1">
      <c r="A1085" s="40">
        <f t="shared" si="17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 hidden="1">
      <c r="A1086" s="40">
        <f t="shared" si="17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 hidden="1">
      <c r="A1087" s="40">
        <f t="shared" si="17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 hidden="1">
      <c r="A1088" s="40">
        <f t="shared" si="17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 hidden="1">
      <c r="A1089" s="40">
        <f t="shared" si="17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 hidden="1">
      <c r="A1090" s="40">
        <f t="shared" si="17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 hidden="1">
      <c r="A1091" s="40">
        <f t="shared" si="17"/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 hidden="1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 hidden="1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 hidden="1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 hidden="1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 hidden="1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 hidden="1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 hidden="1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 hidden="1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 hidden="1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 hidden="1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 hidden="1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 hidden="1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 hidden="1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 hidden="1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 hidden="1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 hidden="1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 hidden="1">
      <c r="A1108" s="40">
        <f t="shared" ref="A1108:A1171" si="18">1+A1107</f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 hidden="1">
      <c r="A1109" s="40">
        <f t="shared" si="18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 hidden="1">
      <c r="A1110" s="40">
        <f t="shared" si="18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 hidden="1">
      <c r="A1111" s="40">
        <f t="shared" si="18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 hidden="1">
      <c r="A1112" s="40">
        <f t="shared" si="18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 hidden="1">
      <c r="A1113" s="40">
        <f t="shared" si="18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 hidden="1">
      <c r="A1114" s="40">
        <f t="shared" si="18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 hidden="1">
      <c r="A1115" s="40">
        <f t="shared" si="18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 hidden="1">
      <c r="A1116" s="40">
        <f t="shared" si="18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 hidden="1">
      <c r="A1117" s="40">
        <f t="shared" si="18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 hidden="1">
      <c r="A1118" s="40">
        <f t="shared" si="18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 hidden="1">
      <c r="A1119" s="40">
        <f t="shared" si="18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 hidden="1">
      <c r="A1120" s="40">
        <f t="shared" si="18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 hidden="1">
      <c r="A1121" s="40">
        <f t="shared" si="18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 hidden="1">
      <c r="A1122" s="40">
        <f t="shared" si="18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 hidden="1">
      <c r="A1123" s="40">
        <f t="shared" si="18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 hidden="1">
      <c r="A1124" s="40">
        <f t="shared" si="18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 hidden="1">
      <c r="A1125" s="40">
        <f t="shared" si="18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 hidden="1">
      <c r="A1126" s="40">
        <f t="shared" si="18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 hidden="1">
      <c r="A1127" s="40">
        <f t="shared" si="18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 hidden="1">
      <c r="A1128" s="40">
        <f t="shared" si="18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 hidden="1">
      <c r="A1129" s="40">
        <f t="shared" si="18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 hidden="1">
      <c r="A1130" s="40">
        <f t="shared" si="18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 hidden="1">
      <c r="A1131" s="40">
        <f t="shared" si="18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 hidden="1">
      <c r="A1132" s="40">
        <f t="shared" si="18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 hidden="1">
      <c r="A1133" s="40">
        <f t="shared" si="18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 hidden="1">
      <c r="A1134" s="40">
        <f t="shared" si="18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 hidden="1">
      <c r="A1135" s="40">
        <f t="shared" si="18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 hidden="1">
      <c r="A1136" s="40">
        <f t="shared" si="18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 hidden="1">
      <c r="A1137" s="40">
        <f t="shared" si="18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 hidden="1">
      <c r="A1138" s="40">
        <f t="shared" si="18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 hidden="1">
      <c r="A1139" s="40">
        <f t="shared" si="18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 hidden="1">
      <c r="A1140" s="40">
        <f t="shared" si="18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 hidden="1">
      <c r="A1141" s="40">
        <f t="shared" si="18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 hidden="1">
      <c r="A1142" s="40">
        <f t="shared" si="18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 hidden="1">
      <c r="A1143" s="40">
        <f t="shared" si="18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 hidden="1">
      <c r="A1144" s="40">
        <f t="shared" si="18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 hidden="1">
      <c r="A1145" s="40">
        <f t="shared" si="18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 hidden="1">
      <c r="A1146" s="40">
        <f t="shared" si="18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 hidden="1">
      <c r="A1147" s="40">
        <f t="shared" si="18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 hidden="1">
      <c r="A1148" s="40">
        <f t="shared" si="18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 hidden="1">
      <c r="A1149" s="40">
        <f t="shared" si="18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 hidden="1">
      <c r="A1150" s="40">
        <f t="shared" si="18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 hidden="1">
      <c r="A1151" s="40">
        <f t="shared" si="18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 hidden="1">
      <c r="A1152" s="40">
        <f t="shared" si="18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 hidden="1">
      <c r="A1153" s="40">
        <f t="shared" si="18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 hidden="1">
      <c r="A1154" s="40">
        <f t="shared" si="18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 hidden="1">
      <c r="A1155" s="40">
        <f t="shared" si="18"/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 hidden="1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 hidden="1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 hidden="1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 hidden="1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 hidden="1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 hidden="1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 hidden="1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 hidden="1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 hidden="1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 hidden="1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 hidden="1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 hidden="1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 hidden="1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 hidden="1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 hidden="1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 hidden="1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 hidden="1">
      <c r="A1172" s="40">
        <f t="shared" ref="A1172:A1235" si="19">1+A1171</f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 hidden="1">
      <c r="A1173" s="40">
        <f t="shared" si="19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 hidden="1">
      <c r="A1174" s="40">
        <f t="shared" si="19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 hidden="1">
      <c r="A1175" s="40">
        <f t="shared" si="19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 hidden="1">
      <c r="A1176" s="40">
        <f t="shared" si="19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 hidden="1">
      <c r="A1177" s="40">
        <f t="shared" si="19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 hidden="1">
      <c r="A1178" s="40">
        <f t="shared" si="19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 hidden="1">
      <c r="A1179" s="40">
        <f t="shared" si="19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 hidden="1">
      <c r="A1180" s="40">
        <f t="shared" si="19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 hidden="1">
      <c r="A1181" s="40">
        <f t="shared" si="19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 hidden="1">
      <c r="A1182" s="40">
        <f t="shared" si="19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 hidden="1">
      <c r="A1183" s="40">
        <f t="shared" si="19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 hidden="1">
      <c r="A1184" s="40">
        <f t="shared" si="19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 hidden="1">
      <c r="A1185" s="40">
        <f t="shared" si="19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 hidden="1">
      <c r="A1186" s="40">
        <f t="shared" si="19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 hidden="1">
      <c r="A1187" s="40">
        <f t="shared" si="19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 hidden="1">
      <c r="A1188" s="40">
        <f t="shared" si="19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 hidden="1">
      <c r="A1189" s="40">
        <f t="shared" si="19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 hidden="1">
      <c r="A1190" s="40">
        <f t="shared" si="19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 hidden="1">
      <c r="A1191" s="40">
        <f t="shared" si="19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 hidden="1">
      <c r="A1192" s="40">
        <f t="shared" si="19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 hidden="1">
      <c r="A1193" s="40">
        <f t="shared" si="19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 hidden="1">
      <c r="A1194" s="40">
        <f t="shared" si="19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 hidden="1">
      <c r="A1195" s="40">
        <f t="shared" si="19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 hidden="1">
      <c r="A1196" s="40">
        <f t="shared" si="19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 hidden="1">
      <c r="A1197" s="40">
        <f t="shared" si="19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 hidden="1">
      <c r="A1198" s="40">
        <f t="shared" si="19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 hidden="1">
      <c r="A1199" s="40">
        <f t="shared" si="19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 hidden="1">
      <c r="A1200" s="40">
        <f t="shared" si="19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 hidden="1">
      <c r="A1201" s="40">
        <f t="shared" si="19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 hidden="1">
      <c r="A1202" s="40">
        <f t="shared" si="19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 hidden="1">
      <c r="A1203" s="40">
        <f t="shared" si="19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 hidden="1">
      <c r="A1204" s="40">
        <f t="shared" si="19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 hidden="1">
      <c r="A1205" s="40">
        <f t="shared" si="19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 hidden="1">
      <c r="A1206" s="40">
        <f t="shared" si="19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 hidden="1">
      <c r="A1207" s="40">
        <f t="shared" si="19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 hidden="1">
      <c r="A1208" s="40">
        <f t="shared" si="19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 hidden="1">
      <c r="A1209" s="40">
        <f t="shared" si="19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 hidden="1">
      <c r="A1210" s="40">
        <f t="shared" si="19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 hidden="1">
      <c r="A1211" s="40">
        <f t="shared" si="19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 hidden="1">
      <c r="A1212" s="40">
        <f t="shared" si="19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 hidden="1">
      <c r="A1213" s="40">
        <f t="shared" si="19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 hidden="1">
      <c r="A1214" s="40">
        <f t="shared" si="19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 hidden="1">
      <c r="A1215" s="40">
        <f t="shared" si="19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 hidden="1">
      <c r="A1216" s="40">
        <f t="shared" si="19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 hidden="1">
      <c r="A1217" s="40">
        <f t="shared" si="19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 hidden="1">
      <c r="A1218" s="40">
        <f t="shared" si="19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 hidden="1">
      <c r="A1219" s="40">
        <f t="shared" si="19"/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 hidden="1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 hidden="1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 hidden="1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 hidden="1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 hidden="1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 hidden="1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 hidden="1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 hidden="1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 hidden="1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 hidden="1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 hidden="1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 hidden="1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 hidden="1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 hidden="1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 hidden="1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 hidden="1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 hidden="1">
      <c r="A1236" s="40">
        <f t="shared" ref="A1236:A1299" si="20">1+A1235</f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 hidden="1">
      <c r="A1237" s="40">
        <f t="shared" si="20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 hidden="1">
      <c r="A1238" s="40">
        <f t="shared" si="20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 hidden="1">
      <c r="A1239" s="40">
        <f t="shared" si="20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 hidden="1">
      <c r="A1240" s="40">
        <f t="shared" si="20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 hidden="1">
      <c r="A1241" s="40">
        <f t="shared" si="20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 hidden="1">
      <c r="A1242" s="40">
        <f t="shared" si="20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 hidden="1">
      <c r="A1243" s="40">
        <f t="shared" si="20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 hidden="1">
      <c r="A1244" s="40">
        <f t="shared" si="20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 hidden="1">
      <c r="A1245" s="40">
        <f t="shared" si="20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 hidden="1">
      <c r="A1246" s="40">
        <f t="shared" si="20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 hidden="1">
      <c r="A1247" s="40">
        <f t="shared" si="20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 hidden="1">
      <c r="A1248" s="40">
        <f t="shared" si="20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 hidden="1">
      <c r="A1249" s="40">
        <f t="shared" si="20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 hidden="1">
      <c r="A1250" s="40">
        <f t="shared" si="20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 hidden="1">
      <c r="A1251" s="40">
        <f t="shared" si="20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 hidden="1">
      <c r="A1252" s="40">
        <f t="shared" si="20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 hidden="1">
      <c r="A1253" s="40">
        <f t="shared" si="20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 hidden="1">
      <c r="A1254" s="40">
        <f t="shared" si="20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 hidden="1">
      <c r="A1255" s="40">
        <f t="shared" si="20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 hidden="1">
      <c r="A1256" s="40">
        <f t="shared" si="20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 hidden="1">
      <c r="A1257" s="40">
        <f t="shared" si="20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 hidden="1">
      <c r="A1258" s="40">
        <f t="shared" si="20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 hidden="1">
      <c r="A1259" s="40">
        <f t="shared" si="20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 hidden="1">
      <c r="A1260" s="40">
        <f t="shared" si="20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 hidden="1">
      <c r="A1261" s="40">
        <f t="shared" si="20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 hidden="1">
      <c r="A1262" s="40">
        <f t="shared" si="20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 hidden="1">
      <c r="A1263" s="40">
        <f t="shared" si="20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 hidden="1">
      <c r="A1264" s="40">
        <f t="shared" si="20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 hidden="1">
      <c r="A1265" s="40">
        <f t="shared" si="20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 hidden="1">
      <c r="A1266" s="40">
        <f t="shared" si="20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 hidden="1">
      <c r="A1267" s="40">
        <f t="shared" si="20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 hidden="1">
      <c r="A1268" s="40">
        <f t="shared" si="20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 hidden="1">
      <c r="A1269" s="40">
        <f t="shared" si="20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 hidden="1">
      <c r="A1270" s="40">
        <f t="shared" si="20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 hidden="1">
      <c r="A1271" s="40">
        <f t="shared" si="20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 hidden="1">
      <c r="A1272" s="40">
        <f t="shared" si="20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 hidden="1">
      <c r="A1273" s="40">
        <f t="shared" si="20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 hidden="1">
      <c r="A1274" s="40">
        <f t="shared" si="20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 hidden="1">
      <c r="A1275" s="40">
        <f t="shared" si="20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 hidden="1">
      <c r="A1276" s="40">
        <f t="shared" si="20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 hidden="1">
      <c r="A1277" s="40">
        <f t="shared" si="20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 hidden="1">
      <c r="A1278" s="40">
        <f t="shared" si="20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 hidden="1">
      <c r="A1279" s="40">
        <f t="shared" si="20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 hidden="1">
      <c r="A1280" s="40">
        <f t="shared" si="20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 hidden="1">
      <c r="A1281" s="40">
        <f t="shared" si="20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 hidden="1">
      <c r="A1282" s="40">
        <f t="shared" si="20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 hidden="1">
      <c r="A1283" s="40">
        <f t="shared" si="20"/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 hidden="1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 hidden="1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 hidden="1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 hidden="1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 hidden="1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 hidden="1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 hidden="1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 hidden="1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 hidden="1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 hidden="1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 hidden="1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 hidden="1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 hidden="1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 hidden="1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 hidden="1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 hidden="1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 hidden="1">
      <c r="A1300" s="40">
        <f t="shared" ref="A1300:A1363" si="21">1+A1299</f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 hidden="1">
      <c r="A1301" s="40">
        <f t="shared" si="21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 hidden="1">
      <c r="A1302" s="40">
        <f t="shared" si="21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 hidden="1">
      <c r="A1303" s="40">
        <f t="shared" si="21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 hidden="1">
      <c r="A1304" s="40">
        <f t="shared" si="21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 hidden="1">
      <c r="A1305" s="40">
        <f t="shared" si="21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 hidden="1">
      <c r="A1306" s="40">
        <f t="shared" si="21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 hidden="1">
      <c r="A1307" s="40">
        <f t="shared" si="21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 hidden="1">
      <c r="A1308" s="40">
        <f t="shared" si="21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 hidden="1">
      <c r="A1309" s="40">
        <f t="shared" si="21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 hidden="1">
      <c r="A1310" s="40">
        <f t="shared" si="21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 hidden="1">
      <c r="A1311" s="40">
        <f t="shared" si="21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 hidden="1">
      <c r="A1312" s="40">
        <f t="shared" si="21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 hidden="1">
      <c r="A1313" s="40">
        <f t="shared" si="21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 hidden="1">
      <c r="A1314" s="40">
        <f t="shared" si="21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 hidden="1">
      <c r="A1315" s="40">
        <f t="shared" si="21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 hidden="1">
      <c r="A1316" s="40">
        <f t="shared" si="21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 hidden="1">
      <c r="A1317" s="40">
        <f t="shared" si="21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 hidden="1">
      <c r="A1318" s="40">
        <f t="shared" si="21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 hidden="1">
      <c r="A1319" s="40">
        <f t="shared" si="21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 hidden="1">
      <c r="A1320" s="40">
        <f t="shared" si="21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 hidden="1">
      <c r="A1321" s="40">
        <f t="shared" si="21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 hidden="1">
      <c r="A1322" s="40">
        <f t="shared" si="21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 hidden="1">
      <c r="A1323" s="40">
        <f t="shared" si="21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 hidden="1">
      <c r="A1324" s="40">
        <f t="shared" si="21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 hidden="1">
      <c r="A1325" s="40">
        <f t="shared" si="21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 hidden="1">
      <c r="A1326" s="40">
        <f t="shared" si="21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 hidden="1">
      <c r="A1327" s="40">
        <f t="shared" si="21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 hidden="1">
      <c r="A1328" s="40">
        <f t="shared" si="21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 hidden="1">
      <c r="A1329" s="40">
        <f t="shared" si="21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 hidden="1">
      <c r="A1330" s="40">
        <f t="shared" si="21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 hidden="1">
      <c r="A1331" s="40">
        <f t="shared" si="21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 hidden="1">
      <c r="A1332" s="40">
        <f t="shared" si="21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 hidden="1">
      <c r="A1333" s="40">
        <f t="shared" si="21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 hidden="1">
      <c r="A1334" s="40">
        <f t="shared" si="21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 hidden="1">
      <c r="A1335" s="40">
        <f t="shared" si="21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 hidden="1">
      <c r="A1336" s="40">
        <f t="shared" si="21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 hidden="1">
      <c r="A1337" s="40">
        <f t="shared" si="21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 hidden="1">
      <c r="A1338" s="40">
        <f t="shared" si="21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 hidden="1">
      <c r="A1339" s="40">
        <f t="shared" si="21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 hidden="1">
      <c r="A1340" s="40">
        <f t="shared" si="21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 hidden="1">
      <c r="A1341" s="40">
        <f t="shared" si="21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 hidden="1">
      <c r="A1342" s="40">
        <f t="shared" si="21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 hidden="1">
      <c r="A1343" s="40">
        <f t="shared" si="21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 hidden="1">
      <c r="A1344" s="40">
        <f t="shared" si="21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 hidden="1">
      <c r="A1345" s="40">
        <f t="shared" si="21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 hidden="1">
      <c r="A1346" s="40">
        <f t="shared" si="21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 hidden="1">
      <c r="A1347" s="40">
        <f t="shared" si="21"/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 hidden="1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 hidden="1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 hidden="1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 hidden="1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 hidden="1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 hidden="1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 hidden="1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 hidden="1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 hidden="1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 hidden="1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 hidden="1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 hidden="1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 hidden="1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 hidden="1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 hidden="1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 hidden="1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 hidden="1">
      <c r="A1364" s="40">
        <f t="shared" ref="A1364:A1429" si="22">1+A1363</f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 hidden="1">
      <c r="A1365" s="40">
        <f t="shared" si="22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 hidden="1">
      <c r="A1366" s="40">
        <f t="shared" si="22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 hidden="1">
      <c r="A1367" s="40">
        <f t="shared" si="22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 hidden="1">
      <c r="A1368" s="40">
        <f t="shared" si="22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 hidden="1">
      <c r="A1369" s="40">
        <f t="shared" si="22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 hidden="1">
      <c r="A1370" s="40">
        <f t="shared" si="22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 hidden="1">
      <c r="A1371" s="40">
        <f t="shared" si="22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 hidden="1">
      <c r="A1372" s="40">
        <f t="shared" si="22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 hidden="1">
      <c r="A1373" s="40">
        <f t="shared" si="22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 hidden="1">
      <c r="A1374" s="40">
        <f t="shared" si="22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 hidden="1">
      <c r="A1375" s="40">
        <f t="shared" si="22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 hidden="1">
      <c r="A1376" s="40">
        <f t="shared" si="22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 hidden="1">
      <c r="A1377" s="40">
        <f t="shared" si="22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 hidden="1">
      <c r="A1378" s="40">
        <f t="shared" si="22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 hidden="1">
      <c r="A1379" s="40">
        <f t="shared" si="22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 hidden="1">
      <c r="A1380" s="40">
        <f t="shared" si="22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 hidden="1">
      <c r="A1381" s="40">
        <f t="shared" si="22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 hidden="1">
      <c r="A1382" s="40">
        <f t="shared" si="22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 hidden="1">
      <c r="A1383" s="40">
        <f t="shared" si="22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 hidden="1">
      <c r="A1384" s="40">
        <f t="shared" si="22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 hidden="1">
      <c r="A1385" s="40">
        <f t="shared" si="22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 hidden="1">
      <c r="A1386" s="40">
        <f t="shared" si="22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 hidden="1">
      <c r="A1387" s="40">
        <f t="shared" si="22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 hidden="1">
      <c r="A1388" s="40">
        <f t="shared" si="22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 hidden="1">
      <c r="A1389" s="40">
        <f t="shared" si="22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 hidden="1">
      <c r="A1390" s="40">
        <f t="shared" si="22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 hidden="1">
      <c r="A1391" s="40">
        <f t="shared" si="22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 hidden="1">
      <c r="A1392" s="40">
        <f t="shared" si="22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 hidden="1">
      <c r="A1393" s="40">
        <f t="shared" si="22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 hidden="1">
      <c r="A1394" s="40">
        <f t="shared" si="22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 hidden="1">
      <c r="A1395" s="40">
        <f t="shared" si="22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 hidden="1">
      <c r="A1396" s="40">
        <f t="shared" si="22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 hidden="1">
      <c r="A1397" s="40">
        <f t="shared" si="22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 hidden="1">
      <c r="A1398" s="40">
        <f t="shared" si="22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 hidden="1">
      <c r="A1399" s="40">
        <f t="shared" si="22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 hidden="1">
      <c r="A1400" s="40">
        <f t="shared" si="22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 hidden="1">
      <c r="A1401" s="40">
        <f t="shared" si="22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 hidden="1">
      <c r="A1402" s="40">
        <f t="shared" si="22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 hidden="1">
      <c r="A1403" s="40">
        <f t="shared" si="22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 hidden="1">
      <c r="A1404" s="40">
        <f t="shared" si="22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 hidden="1">
      <c r="A1405" s="40">
        <f t="shared" si="22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 hidden="1">
      <c r="A1406" s="40">
        <f t="shared" si="22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 hidden="1">
      <c r="A1407" s="40">
        <f t="shared" si="22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 hidden="1">
      <c r="A1408" s="40">
        <f t="shared" si="22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 hidden="1">
      <c r="A1409" s="40">
        <f t="shared" si="22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 hidden="1">
      <c r="A1410" s="40">
        <f t="shared" si="22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 hidden="1">
      <c r="A1411" s="40">
        <f t="shared" si="22"/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 hidden="1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 hidden="1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 hidden="1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 hidden="1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 hidden="1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 hidden="1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 hidden="1">
      <c r="A1430" s="40">
        <f t="shared" ref="A1430:A1492" si="23">1+A1429</f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 hidden="1">
      <c r="A1431" s="40">
        <f t="shared" si="23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 hidden="1">
      <c r="A1432" s="40">
        <f t="shared" si="23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 hidden="1">
      <c r="A1433" s="40">
        <f t="shared" si="23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 hidden="1">
      <c r="A1434" s="40">
        <f t="shared" si="23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 hidden="1">
      <c r="A1435" s="40">
        <f t="shared" si="23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 hidden="1">
      <c r="A1436" s="40">
        <f t="shared" si="23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 hidden="1">
      <c r="A1437" s="40">
        <f t="shared" si="23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 hidden="1">
      <c r="A1438" s="40">
        <f t="shared" si="23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 hidden="1">
      <c r="A1439" s="40">
        <f t="shared" si="23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 hidden="1">
      <c r="A1440" s="40">
        <f t="shared" si="23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 hidden="1">
      <c r="A1441" s="40">
        <f t="shared" si="23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 hidden="1">
      <c r="A1442" s="40">
        <f t="shared" si="23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 hidden="1">
      <c r="A1443" s="40">
        <f t="shared" si="23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 hidden="1">
      <c r="A1444" s="40">
        <f t="shared" si="23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 hidden="1">
      <c r="A1445" s="40">
        <f t="shared" si="23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 hidden="1">
      <c r="A1446" s="40">
        <f t="shared" si="23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 hidden="1">
      <c r="A1447" s="40">
        <f t="shared" si="23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 hidden="1">
      <c r="A1448" s="40">
        <f t="shared" si="23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 hidden="1">
      <c r="A1449" s="40">
        <f t="shared" si="23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 hidden="1">
      <c r="A1450" s="40">
        <f t="shared" si="23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 hidden="1">
      <c r="A1451" s="40">
        <f t="shared" si="23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 hidden="1">
      <c r="A1452" s="40">
        <f t="shared" si="23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 hidden="1">
      <c r="A1453" s="40">
        <f t="shared" si="23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 hidden="1">
      <c r="A1454" s="40">
        <f t="shared" si="23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 hidden="1">
      <c r="A1455" s="40">
        <f t="shared" si="23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 hidden="1">
      <c r="A1456" s="40">
        <f t="shared" si="23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 hidden="1">
      <c r="A1457" s="40">
        <f t="shared" si="23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 hidden="1">
      <c r="A1458" s="40">
        <f t="shared" si="23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 hidden="1">
      <c r="A1459" s="40">
        <f t="shared" si="23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 hidden="1">
      <c r="A1460" s="40">
        <f t="shared" si="23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 hidden="1">
      <c r="A1461" s="40">
        <f t="shared" si="23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 hidden="1">
      <c r="A1462" s="40">
        <f t="shared" si="23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 hidden="1">
      <c r="A1463" s="40">
        <f t="shared" si="23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 hidden="1">
      <c r="A1464" s="40">
        <f t="shared" si="23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 hidden="1">
      <c r="A1465" s="40">
        <f t="shared" si="23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3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3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3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 hidden="1">
      <c r="A1469" s="40">
        <f t="shared" si="23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 hidden="1">
      <c r="A1470" s="40">
        <f t="shared" si="23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 hidden="1">
      <c r="A1471" s="40">
        <f t="shared" si="23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 hidden="1">
      <c r="A1472" s="40">
        <f t="shared" si="23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 hidden="1">
      <c r="A1473" s="40">
        <f t="shared" si="23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 hidden="1">
      <c r="A1474" s="40">
        <f t="shared" si="23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 hidden="1">
      <c r="A1475" s="40">
        <f t="shared" si="23"/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 hidden="1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 hidden="1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 hidden="1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 hidden="1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 hidden="1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12132</v>
      </c>
    </row>
    <row r="1491" spans="1:13" hidden="1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12132</v>
      </c>
    </row>
    <row r="1492" spans="1:13" hidden="1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12132</v>
      </c>
    </row>
    <row r="1493" spans="1:13" hidden="1">
      <c r="A1493" s="40">
        <f t="shared" ref="A1493:A1556" si="24">1+A1492</f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12132</v>
      </c>
    </row>
    <row r="1494" spans="1:13" hidden="1">
      <c r="A1494" s="40">
        <f t="shared" si="24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12132</v>
      </c>
    </row>
    <row r="1495" spans="1:13" hidden="1">
      <c r="A1495" s="40">
        <f t="shared" si="24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12132</v>
      </c>
    </row>
    <row r="1496" spans="1:13" hidden="1">
      <c r="A1496" s="40">
        <f t="shared" si="24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12132</v>
      </c>
    </row>
    <row r="1497" spans="1:13" hidden="1">
      <c r="A1497" s="40">
        <f t="shared" si="24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12132</v>
      </c>
    </row>
    <row r="1498" spans="1:13" hidden="1">
      <c r="A1498" s="40">
        <f t="shared" si="24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12132</v>
      </c>
    </row>
    <row r="1499" spans="1:13" hidden="1">
      <c r="A1499" s="40">
        <f t="shared" si="24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12132</v>
      </c>
    </row>
    <row r="1500" spans="1:13" hidden="1">
      <c r="A1500" s="40">
        <f t="shared" si="24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 hidden="1">
      <c r="A1501" s="40">
        <f t="shared" si="24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 hidden="1">
      <c r="A1502" s="40">
        <f t="shared" si="24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 hidden="1">
      <c r="A1503" s="40">
        <f t="shared" si="24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 hidden="1">
      <c r="A1504" s="40">
        <f t="shared" si="24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 hidden="1">
      <c r="A1505" s="40">
        <f t="shared" si="24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 hidden="1">
      <c r="A1506" s="40">
        <f t="shared" si="24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 hidden="1">
      <c r="A1507" s="40">
        <f t="shared" si="24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 hidden="1">
      <c r="A1508" s="40">
        <f t="shared" si="24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 hidden="1">
      <c r="A1509" s="40">
        <f t="shared" si="24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 hidden="1">
      <c r="A1510" s="40">
        <f t="shared" si="24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 hidden="1">
      <c r="A1511" s="40">
        <f t="shared" si="24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 hidden="1">
      <c r="A1512" s="40">
        <f t="shared" si="24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 hidden="1">
      <c r="A1513" s="40">
        <f t="shared" si="24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 hidden="1">
      <c r="A1514" s="40">
        <f t="shared" si="24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 hidden="1">
      <c r="A1515" s="40">
        <f t="shared" si="24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 hidden="1">
      <c r="A1516" s="40">
        <f t="shared" si="24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 hidden="1">
      <c r="A1517" s="40">
        <f t="shared" si="24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 hidden="1">
      <c r="A1518" s="40">
        <f t="shared" si="24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 hidden="1">
      <c r="A1519" s="40">
        <f t="shared" si="24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 hidden="1">
      <c r="A1520" s="40">
        <f t="shared" si="24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 hidden="1">
      <c r="A1521" s="40">
        <f t="shared" si="24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 hidden="1">
      <c r="A1522" s="40">
        <f t="shared" si="24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 hidden="1">
      <c r="A1523" s="40">
        <f t="shared" si="24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 hidden="1">
      <c r="A1524" s="40">
        <f t="shared" si="24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 hidden="1">
      <c r="A1525" s="40">
        <f t="shared" si="24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 hidden="1">
      <c r="A1526" s="40">
        <f t="shared" si="24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 hidden="1">
      <c r="A1527" s="40">
        <f t="shared" si="24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 hidden="1">
      <c r="A1528" s="40">
        <f t="shared" si="24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 hidden="1">
      <c r="A1529" s="40">
        <f t="shared" si="24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 hidden="1">
      <c r="A1530" s="40">
        <f t="shared" si="24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 hidden="1">
      <c r="A1531" s="40">
        <f t="shared" si="24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 hidden="1">
      <c r="A1532" s="40">
        <f t="shared" si="24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 hidden="1">
      <c r="A1533" s="40">
        <f t="shared" si="24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 hidden="1">
      <c r="A1534" s="40">
        <f t="shared" si="24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 hidden="1">
      <c r="A1535" s="40">
        <f t="shared" si="24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 hidden="1">
      <c r="A1536" s="40">
        <f t="shared" si="24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 hidden="1">
      <c r="A1537" s="40">
        <f t="shared" si="24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 hidden="1">
      <c r="A1538" s="40">
        <f t="shared" si="24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 hidden="1">
      <c r="A1539" s="40">
        <f t="shared" si="24"/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 hidden="1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 hidden="1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 hidden="1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 hidden="1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 hidden="1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 hidden="1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 hidden="1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 hidden="1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 hidden="1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 hidden="1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 hidden="1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 hidden="1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 hidden="1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 hidden="1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 hidden="1">
      <c r="A1557" s="40">
        <f t="shared" ref="A1557:A1621" si="25">1+A1556</f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 hidden="1">
      <c r="A1558" s="40">
        <f t="shared" si="25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 hidden="1">
      <c r="A1559" s="40">
        <f t="shared" si="25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5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5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5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5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5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5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5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5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5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5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5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5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5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5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5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5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5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5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5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5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5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5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5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5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5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5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5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5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5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5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5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5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5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5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5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5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5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5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5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5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5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5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5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si="25"/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L1619" s="34"/>
      <c r="M1619" s="34" t="s">
        <v>9898</v>
      </c>
    </row>
    <row r="1620" spans="1:13" hidden="1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/>
      <c r="L1620" s="34"/>
      <c r="M1620" s="34" t="s">
        <v>9898</v>
      </c>
    </row>
    <row r="1621" spans="1:13" hidden="1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/>
      <c r="L1621" s="34"/>
      <c r="M1621" s="34" t="s">
        <v>4787</v>
      </c>
    </row>
    <row r="1622" spans="1:13" hidden="1">
      <c r="A1622" s="40">
        <f t="shared" ref="A1622:A1685" si="26">1+A1621</f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/>
      <c r="L1622" s="34"/>
      <c r="M1622" s="34" t="s">
        <v>4787</v>
      </c>
    </row>
    <row r="1623" spans="1:13" hidden="1">
      <c r="A1623" s="40">
        <f t="shared" si="26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/>
      <c r="L1623" s="34"/>
      <c r="M1623" s="34" t="s">
        <v>4787</v>
      </c>
    </row>
    <row r="1624" spans="1:13" hidden="1">
      <c r="A1624" s="40">
        <f t="shared" si="26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/>
      <c r="L1624" s="34"/>
      <c r="M1624" s="34" t="s">
        <v>4787</v>
      </c>
    </row>
    <row r="1625" spans="1:13" hidden="1">
      <c r="A1625" s="40">
        <f t="shared" si="26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/>
      <c r="L1625" s="34"/>
      <c r="M1625" s="34" t="s">
        <v>9027</v>
      </c>
    </row>
    <row r="1626" spans="1:13" hidden="1">
      <c r="A1626" s="40">
        <f t="shared" si="26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/>
      <c r="L1626" s="34"/>
      <c r="M1626" s="34" t="s">
        <v>9027</v>
      </c>
    </row>
    <row r="1627" spans="1:13" hidden="1">
      <c r="A1627" s="40">
        <f t="shared" si="26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/>
      <c r="L1627" s="34"/>
      <c r="M1627" s="34" t="s">
        <v>9027</v>
      </c>
    </row>
    <row r="1628" spans="1:13" hidden="1">
      <c r="A1628" s="40">
        <f t="shared" si="26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/>
      <c r="L1628" s="34"/>
      <c r="M1628" s="34" t="s">
        <v>9027</v>
      </c>
    </row>
    <row r="1629" spans="1:13" hidden="1">
      <c r="A1629" s="40">
        <f t="shared" si="26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/>
      <c r="L1629" s="34"/>
      <c r="M1629" s="34" t="s">
        <v>9027</v>
      </c>
    </row>
    <row r="1630" spans="1:13" hidden="1">
      <c r="A1630" s="40">
        <f t="shared" si="26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/>
      <c r="L1630" s="34"/>
      <c r="M1630" s="34" t="s">
        <v>9027</v>
      </c>
    </row>
    <row r="1631" spans="1:13" hidden="1">
      <c r="A1631" s="40">
        <f t="shared" si="26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/>
      <c r="L1631" s="34"/>
      <c r="M1631" s="34" t="s">
        <v>9027</v>
      </c>
    </row>
    <row r="1632" spans="1:13" hidden="1">
      <c r="A1632" s="40">
        <f t="shared" si="26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/>
      <c r="L1632" s="34"/>
      <c r="M1632" s="34" t="s">
        <v>9027</v>
      </c>
    </row>
    <row r="1633" spans="1:13" hidden="1">
      <c r="A1633" s="40">
        <f t="shared" si="26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/>
      <c r="L1633" s="34"/>
      <c r="M1633" s="34" t="s">
        <v>9027</v>
      </c>
    </row>
    <row r="1634" spans="1:13" hidden="1">
      <c r="A1634" s="40">
        <f t="shared" si="26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/>
      <c r="L1634" s="34"/>
      <c r="M1634" s="34" t="s">
        <v>9027</v>
      </c>
    </row>
    <row r="1635" spans="1:13" hidden="1">
      <c r="A1635" s="40">
        <f t="shared" si="26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/>
      <c r="L1635" s="34"/>
      <c r="M1635" s="34" t="s">
        <v>9027</v>
      </c>
    </row>
    <row r="1636" spans="1:13" hidden="1">
      <c r="A1636" s="40">
        <f t="shared" si="26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/>
      <c r="L1636" s="34"/>
      <c r="M1636" s="34" t="s">
        <v>9027</v>
      </c>
    </row>
    <row r="1637" spans="1:13" hidden="1">
      <c r="A1637" s="40">
        <f t="shared" si="26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/>
      <c r="L1637" s="34"/>
      <c r="M1637" s="34" t="s">
        <v>4782</v>
      </c>
    </row>
    <row r="1638" spans="1:13" hidden="1">
      <c r="A1638" s="40">
        <f t="shared" si="26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/>
      <c r="L1638" s="34"/>
      <c r="M1638" s="34" t="s">
        <v>4782</v>
      </c>
    </row>
    <row r="1639" spans="1:13" hidden="1">
      <c r="A1639" s="40">
        <f t="shared" si="26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/>
      <c r="L1639" s="34"/>
      <c r="M1639" s="34" t="s">
        <v>6104</v>
      </c>
    </row>
    <row r="1640" spans="1:13" hidden="1">
      <c r="A1640" s="40">
        <f t="shared" si="26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/>
      <c r="L1640" s="34"/>
      <c r="M1640" s="34" t="s">
        <v>6104</v>
      </c>
    </row>
    <row r="1641" spans="1:13" hidden="1">
      <c r="A1641" s="40">
        <f t="shared" si="26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/>
      <c r="L1641" s="34"/>
      <c r="M1641" s="34" t="s">
        <v>6104</v>
      </c>
    </row>
    <row r="1642" spans="1:13" hidden="1">
      <c r="A1642" s="40">
        <f t="shared" si="26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/>
      <c r="L1642" s="34"/>
      <c r="M1642" s="34" t="s">
        <v>6104</v>
      </c>
    </row>
    <row r="1643" spans="1:13" hidden="1">
      <c r="A1643" s="40">
        <f t="shared" si="26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/>
      <c r="L1643" s="34"/>
      <c r="M1643" s="34" t="s">
        <v>6104</v>
      </c>
    </row>
    <row r="1644" spans="1:13" hidden="1">
      <c r="A1644" s="40">
        <f t="shared" si="26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/>
      <c r="L1644" s="34"/>
      <c r="M1644" s="34" t="s">
        <v>6104</v>
      </c>
    </row>
    <row r="1645" spans="1:13" hidden="1">
      <c r="A1645" s="40">
        <f t="shared" si="26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/>
      <c r="L1645" s="34"/>
      <c r="M1645" s="34" t="s">
        <v>6104</v>
      </c>
    </row>
    <row r="1646" spans="1:13" hidden="1">
      <c r="A1646" s="40">
        <f t="shared" si="26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/>
      <c r="L1646" s="34"/>
      <c r="M1646" s="34" t="s">
        <v>6104</v>
      </c>
    </row>
    <row r="1647" spans="1:13" hidden="1">
      <c r="A1647" s="40">
        <f t="shared" si="26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/>
      <c r="L1647" s="34"/>
      <c r="M1647" s="34" t="s">
        <v>6104</v>
      </c>
    </row>
    <row r="1648" spans="1:13" hidden="1">
      <c r="A1648" s="40">
        <f t="shared" si="26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/>
      <c r="L1648" s="34"/>
      <c r="M1648" s="34" t="s">
        <v>6104</v>
      </c>
    </row>
    <row r="1649" spans="1:13" hidden="1">
      <c r="A1649" s="40">
        <f t="shared" si="26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/>
      <c r="L1649" s="34"/>
      <c r="M1649" s="34" t="s">
        <v>6104</v>
      </c>
    </row>
    <row r="1650" spans="1:13" hidden="1">
      <c r="A1650" s="40">
        <f t="shared" si="26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/>
      <c r="L1650" s="34"/>
      <c r="M1650" s="34" t="s">
        <v>6104</v>
      </c>
    </row>
    <row r="1651" spans="1:13" hidden="1">
      <c r="A1651" s="40">
        <f t="shared" si="26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/>
      <c r="L1651" s="34"/>
      <c r="M1651" s="34" t="s">
        <v>6104</v>
      </c>
    </row>
    <row r="1652" spans="1:13" hidden="1">
      <c r="A1652" s="40">
        <f t="shared" si="26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/>
      <c r="L1652" s="34"/>
      <c r="M1652" s="34" t="s">
        <v>6104</v>
      </c>
    </row>
    <row r="1653" spans="1:13" hidden="1">
      <c r="A1653" s="40">
        <f t="shared" si="26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/>
      <c r="L1653" s="34"/>
      <c r="M1653" s="34" t="s">
        <v>6104</v>
      </c>
    </row>
    <row r="1654" spans="1:13" hidden="1">
      <c r="A1654" s="40">
        <f t="shared" si="26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/>
      <c r="L1654" s="34"/>
      <c r="M1654" s="34" t="s">
        <v>6104</v>
      </c>
    </row>
    <row r="1655" spans="1:13" hidden="1">
      <c r="A1655" s="40">
        <f t="shared" si="26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/>
      <c r="L1655" s="34"/>
      <c r="M1655" s="34" t="s">
        <v>6104</v>
      </c>
    </row>
    <row r="1656" spans="1:13" hidden="1">
      <c r="A1656" s="40">
        <f t="shared" si="26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/>
      <c r="L1656" s="34"/>
      <c r="M1656" s="34" t="s">
        <v>6104</v>
      </c>
    </row>
    <row r="1657" spans="1:13" hidden="1">
      <c r="A1657" s="40">
        <f t="shared" si="26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/>
      <c r="L1657" s="34"/>
      <c r="M1657" s="34" t="s">
        <v>6104</v>
      </c>
    </row>
    <row r="1658" spans="1:13" hidden="1">
      <c r="A1658" s="40">
        <f t="shared" si="26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/>
      <c r="L1658" s="34"/>
      <c r="M1658" s="34" t="s">
        <v>6104</v>
      </c>
    </row>
    <row r="1659" spans="1:13" hidden="1">
      <c r="A1659" s="40">
        <f t="shared" si="26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/>
      <c r="L1659" s="34"/>
      <c r="M1659" s="34" t="s">
        <v>6104</v>
      </c>
    </row>
    <row r="1660" spans="1:13" hidden="1">
      <c r="A1660" s="40">
        <f t="shared" si="26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/>
      <c r="L1660" s="34"/>
      <c r="M1660" s="34" t="s">
        <v>6104</v>
      </c>
    </row>
    <row r="1661" spans="1:13" hidden="1">
      <c r="A1661" s="40">
        <f t="shared" si="26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/>
      <c r="L1661" s="34"/>
      <c r="M1661" s="34" t="s">
        <v>6104</v>
      </c>
    </row>
    <row r="1662" spans="1:13" hidden="1">
      <c r="A1662" s="40">
        <f t="shared" si="26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/>
      <c r="L1662" s="34"/>
      <c r="M1662" s="34" t="s">
        <v>6104</v>
      </c>
    </row>
    <row r="1663" spans="1:13" hidden="1">
      <c r="A1663" s="40">
        <f t="shared" si="26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/>
      <c r="L1663" s="34"/>
      <c r="M1663" s="34" t="s">
        <v>6104</v>
      </c>
    </row>
    <row r="1664" spans="1:13" hidden="1">
      <c r="A1664" s="40">
        <f t="shared" si="26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/>
      <c r="L1664" s="34"/>
      <c r="M1664" s="34" t="s">
        <v>6104</v>
      </c>
    </row>
    <row r="1665" spans="1:13" hidden="1">
      <c r="A1665" s="40">
        <f t="shared" si="26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/>
      <c r="L1665" s="34"/>
      <c r="M1665" s="34" t="s">
        <v>6104</v>
      </c>
    </row>
    <row r="1666" spans="1:13" hidden="1">
      <c r="A1666" s="40">
        <f t="shared" si="26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/>
      <c r="L1666" s="34"/>
      <c r="M1666" s="34" t="s">
        <v>6104</v>
      </c>
    </row>
    <row r="1667" spans="1:13" hidden="1">
      <c r="A1667" s="40">
        <f t="shared" si="26"/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/>
      <c r="L1667" s="34"/>
      <c r="M1667" s="34" t="s">
        <v>6104</v>
      </c>
    </row>
    <row r="1668" spans="1:13" hidden="1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/>
      <c r="L1668" s="34"/>
      <c r="M1668" s="34" t="s">
        <v>6104</v>
      </c>
    </row>
    <row r="1669" spans="1:13" hidden="1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/>
      <c r="L1669" s="34"/>
      <c r="M1669" s="34" t="s">
        <v>6104</v>
      </c>
    </row>
    <row r="1670" spans="1:13" hidden="1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/>
      <c r="L1670" s="34"/>
      <c r="M1670" s="34" t="s">
        <v>6104</v>
      </c>
    </row>
    <row r="1671" spans="1:13" hidden="1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/>
      <c r="L1671" s="34"/>
      <c r="M1671" s="34" t="s">
        <v>6104</v>
      </c>
    </row>
    <row r="1672" spans="1:13" hidden="1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/>
      <c r="L1672" s="34"/>
      <c r="M1672" s="34" t="s">
        <v>6104</v>
      </c>
    </row>
    <row r="1673" spans="1:13" hidden="1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/>
      <c r="L1673" s="34"/>
      <c r="M1673" s="34" t="s">
        <v>6104</v>
      </c>
    </row>
    <row r="1674" spans="1:13" hidden="1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/>
      <c r="L1674" s="34"/>
      <c r="M1674" s="34" t="s">
        <v>6104</v>
      </c>
    </row>
    <row r="1675" spans="1:13" hidden="1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/>
      <c r="L1675" s="34"/>
      <c r="M1675" s="34" t="s">
        <v>6104</v>
      </c>
    </row>
    <row r="1676" spans="1:13" hidden="1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/>
      <c r="L1676" s="34"/>
      <c r="M1676" s="34" t="s">
        <v>6104</v>
      </c>
    </row>
    <row r="1677" spans="1:13" hidden="1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/>
      <c r="L1677" s="34"/>
      <c r="M1677" s="34" t="s">
        <v>6104</v>
      </c>
    </row>
    <row r="1678" spans="1:13" hidden="1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/>
      <c r="L1678" s="34"/>
      <c r="M1678" s="34" t="s">
        <v>6104</v>
      </c>
    </row>
    <row r="1679" spans="1:13" hidden="1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/>
      <c r="L1679" s="34"/>
      <c r="M1679" s="34" t="s">
        <v>6104</v>
      </c>
    </row>
    <row r="1680" spans="1:13" hidden="1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/>
      <c r="L1680" s="34"/>
      <c r="M1680" s="34" t="s">
        <v>6104</v>
      </c>
    </row>
    <row r="1681" spans="1:13" hidden="1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/>
      <c r="L1681" s="34"/>
      <c r="M1681" s="34" t="s">
        <v>6104</v>
      </c>
    </row>
    <row r="1682" spans="1:13" hidden="1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/>
      <c r="L1682" s="34"/>
      <c r="M1682" s="34" t="s">
        <v>6104</v>
      </c>
    </row>
    <row r="1683" spans="1:13" hidden="1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/>
      <c r="L1683" s="34"/>
      <c r="M1683" s="34" t="s">
        <v>6104</v>
      </c>
    </row>
    <row r="1684" spans="1:13" hidden="1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/>
      <c r="L1684" s="34"/>
      <c r="M1684" s="34" t="s">
        <v>6104</v>
      </c>
    </row>
    <row r="1685" spans="1:13" hidden="1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/>
      <c r="L1685" s="34"/>
      <c r="M1685" s="34" t="s">
        <v>6104</v>
      </c>
    </row>
    <row r="1686" spans="1:13" hidden="1">
      <c r="A1686" s="40">
        <f t="shared" ref="A1686:A1749" si="27">1+A1685</f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/>
      <c r="L1686" s="34"/>
      <c r="M1686" s="34" t="s">
        <v>6104</v>
      </c>
    </row>
    <row r="1687" spans="1:13" hidden="1">
      <c r="A1687" s="40">
        <f t="shared" si="27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/>
      <c r="L1687" s="34"/>
      <c r="M1687" s="34" t="s">
        <v>6104</v>
      </c>
    </row>
    <row r="1688" spans="1:13" hidden="1">
      <c r="A1688" s="40">
        <f t="shared" si="27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/>
      <c r="L1688" s="34"/>
      <c r="M1688" s="34" t="s">
        <v>6104</v>
      </c>
    </row>
    <row r="1689" spans="1:13" hidden="1">
      <c r="A1689" s="40">
        <f t="shared" si="27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/>
      <c r="L1689" s="34"/>
      <c r="M1689" s="34" t="s">
        <v>6104</v>
      </c>
    </row>
    <row r="1690" spans="1:13" hidden="1">
      <c r="A1690" s="40">
        <f t="shared" si="27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/>
      <c r="L1690" s="34"/>
      <c r="M1690" s="34" t="s">
        <v>6104</v>
      </c>
    </row>
    <row r="1691" spans="1:13" hidden="1">
      <c r="A1691" s="40">
        <f t="shared" si="27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/>
      <c r="L1691" s="34"/>
      <c r="M1691" s="34" t="s">
        <v>6104</v>
      </c>
    </row>
    <row r="1692" spans="1:13" hidden="1">
      <c r="A1692" s="40">
        <f t="shared" si="27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/>
      <c r="L1692" s="34"/>
      <c r="M1692" s="34" t="s">
        <v>6104</v>
      </c>
    </row>
    <row r="1693" spans="1:13" hidden="1">
      <c r="A1693" s="40">
        <f t="shared" si="27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/>
      <c r="L1693" s="34"/>
      <c r="M1693" s="34" t="s">
        <v>6104</v>
      </c>
    </row>
    <row r="1694" spans="1:13" hidden="1">
      <c r="A1694" s="40">
        <f t="shared" si="27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/>
      <c r="L1694" s="34"/>
      <c r="M1694" s="34" t="s">
        <v>6104</v>
      </c>
    </row>
    <row r="1695" spans="1:13" hidden="1">
      <c r="A1695" s="40">
        <f t="shared" si="27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/>
      <c r="L1695" s="34"/>
      <c r="M1695" s="34" t="s">
        <v>6104</v>
      </c>
    </row>
    <row r="1696" spans="1:13" hidden="1">
      <c r="A1696" s="40">
        <f t="shared" si="27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/>
      <c r="L1696" s="34"/>
      <c r="M1696" s="34" t="s">
        <v>6104</v>
      </c>
    </row>
    <row r="1697" spans="1:13" hidden="1">
      <c r="A1697" s="40">
        <f t="shared" si="27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/>
      <c r="L1697" s="34"/>
      <c r="M1697" s="34" t="s">
        <v>6104</v>
      </c>
    </row>
    <row r="1698" spans="1:13" hidden="1">
      <c r="A1698" s="40">
        <f t="shared" si="27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/>
      <c r="L1698" s="34"/>
      <c r="M1698" s="34" t="s">
        <v>6104</v>
      </c>
    </row>
    <row r="1699" spans="1:13" hidden="1">
      <c r="A1699" s="40">
        <f t="shared" si="27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/>
      <c r="L1699" s="34"/>
      <c r="M1699" s="34" t="s">
        <v>6104</v>
      </c>
    </row>
    <row r="1700" spans="1:13" hidden="1">
      <c r="A1700" s="40">
        <f t="shared" si="27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/>
      <c r="L1700" s="34"/>
      <c r="M1700" s="34" t="s">
        <v>6104</v>
      </c>
    </row>
    <row r="1701" spans="1:13" hidden="1">
      <c r="A1701" s="40">
        <f t="shared" si="27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/>
      <c r="L1701" s="34"/>
      <c r="M1701" s="34" t="s">
        <v>6104</v>
      </c>
    </row>
    <row r="1702" spans="1:13" hidden="1">
      <c r="A1702" s="40">
        <f t="shared" si="27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/>
      <c r="L1702" s="34"/>
      <c r="M1702" s="34" t="s">
        <v>6104</v>
      </c>
    </row>
    <row r="1703" spans="1:13" hidden="1">
      <c r="A1703" s="40">
        <f t="shared" si="27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/>
      <c r="L1703" s="34"/>
      <c r="M1703" s="34" t="s">
        <v>6104</v>
      </c>
    </row>
    <row r="1704" spans="1:13" hidden="1">
      <c r="A1704" s="40">
        <f t="shared" si="27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/>
      <c r="L1704" s="34"/>
      <c r="M1704" s="34" t="s">
        <v>6104</v>
      </c>
    </row>
    <row r="1705" spans="1:13" hidden="1">
      <c r="A1705" s="40">
        <f t="shared" si="27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/>
      <c r="L1705" s="34"/>
      <c r="M1705" s="34" t="s">
        <v>6104</v>
      </c>
    </row>
    <row r="1706" spans="1:13" hidden="1">
      <c r="A1706" s="40">
        <f t="shared" si="27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/>
      <c r="L1706" s="34"/>
      <c r="M1706" s="34" t="s">
        <v>6104</v>
      </c>
    </row>
    <row r="1707" spans="1:13" hidden="1">
      <c r="A1707" s="40">
        <f t="shared" si="27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/>
      <c r="L1707" s="34"/>
      <c r="M1707" s="34" t="s">
        <v>6104</v>
      </c>
    </row>
    <row r="1708" spans="1:13" hidden="1">
      <c r="A1708" s="40">
        <f t="shared" si="27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/>
      <c r="L1708" s="34"/>
      <c r="M1708" s="34" t="s">
        <v>6104</v>
      </c>
    </row>
    <row r="1709" spans="1:13" hidden="1">
      <c r="A1709" s="40">
        <f t="shared" si="27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/>
      <c r="L1709" s="34"/>
      <c r="M1709" s="34" t="s">
        <v>6104</v>
      </c>
    </row>
    <row r="1710" spans="1:13" hidden="1">
      <c r="A1710" s="40">
        <f t="shared" si="27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/>
      <c r="L1710" s="34"/>
      <c r="M1710" s="34" t="s">
        <v>10026</v>
      </c>
    </row>
    <row r="1711" spans="1:13" hidden="1">
      <c r="A1711" s="40">
        <f t="shared" si="27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/>
      <c r="L1711" s="34"/>
      <c r="M1711" s="34" t="s">
        <v>12134</v>
      </c>
    </row>
    <row r="1712" spans="1:13" hidden="1">
      <c r="A1712" s="40">
        <f t="shared" si="27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/>
      <c r="L1712" s="34"/>
      <c r="M1712" s="34" t="s">
        <v>12134</v>
      </c>
    </row>
    <row r="1713" spans="1:13" hidden="1">
      <c r="A1713" s="40">
        <f t="shared" si="27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/>
      <c r="L1713" s="34"/>
      <c r="M1713" s="34" t="s">
        <v>12134</v>
      </c>
    </row>
    <row r="1714" spans="1:13" hidden="1">
      <c r="A1714" s="40">
        <f t="shared" si="27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/>
      <c r="L1714" s="34"/>
      <c r="M1714" s="34" t="s">
        <v>12134</v>
      </c>
    </row>
    <row r="1715" spans="1:13" hidden="1">
      <c r="A1715" s="40">
        <f t="shared" si="27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/>
      <c r="L1715" s="34"/>
      <c r="M1715" s="34" t="s">
        <v>9027</v>
      </c>
    </row>
    <row r="1716" spans="1:13" hidden="1">
      <c r="A1716" s="40">
        <f t="shared" si="27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/>
      <c r="L1716" s="34"/>
      <c r="M1716" s="34" t="s">
        <v>9027</v>
      </c>
    </row>
    <row r="1717" spans="1:13" hidden="1">
      <c r="A1717" s="40">
        <f t="shared" si="27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/>
      <c r="L1717" s="34"/>
      <c r="M1717" s="34" t="s">
        <v>9027</v>
      </c>
    </row>
    <row r="1718" spans="1:13" hidden="1">
      <c r="A1718" s="40">
        <f t="shared" si="27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/>
      <c r="L1718" s="34"/>
      <c r="M1718" s="34" t="s">
        <v>9027</v>
      </c>
    </row>
    <row r="1719" spans="1:13" hidden="1">
      <c r="A1719" s="40">
        <f t="shared" si="27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/>
      <c r="L1719" s="34"/>
      <c r="M1719" s="34" t="s">
        <v>9027</v>
      </c>
    </row>
    <row r="1720" spans="1:13" hidden="1">
      <c r="A1720" s="40">
        <f t="shared" si="27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/>
      <c r="L1720" s="34"/>
      <c r="M1720" s="34" t="s">
        <v>9027</v>
      </c>
    </row>
    <row r="1721" spans="1:13" hidden="1">
      <c r="A1721" s="40">
        <f t="shared" si="27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/>
      <c r="L1721" s="34"/>
      <c r="M1721" s="34" t="s">
        <v>9027</v>
      </c>
    </row>
    <row r="1722" spans="1:13" hidden="1">
      <c r="A1722" s="40">
        <f t="shared" si="27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/>
      <c r="L1722" s="34"/>
      <c r="M1722" s="34" t="s">
        <v>9027</v>
      </c>
    </row>
    <row r="1723" spans="1:13" hidden="1">
      <c r="A1723" s="40">
        <f t="shared" si="27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/>
      <c r="L1723" s="34"/>
      <c r="M1723" s="34" t="s">
        <v>9027</v>
      </c>
    </row>
    <row r="1724" spans="1:13" hidden="1">
      <c r="A1724" s="40">
        <f t="shared" si="27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/>
      <c r="L1724" s="34"/>
      <c r="M1724" s="34" t="s">
        <v>9027</v>
      </c>
    </row>
    <row r="1725" spans="1:13" hidden="1">
      <c r="A1725" s="40">
        <f t="shared" si="27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/>
      <c r="L1725" s="34"/>
      <c r="M1725" s="34" t="s">
        <v>9027</v>
      </c>
    </row>
    <row r="1726" spans="1:13" hidden="1">
      <c r="A1726" s="40">
        <f t="shared" si="27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/>
      <c r="L1726" s="34"/>
      <c r="M1726" s="34" t="s">
        <v>9027</v>
      </c>
    </row>
    <row r="1727" spans="1:13" hidden="1">
      <c r="A1727" s="40">
        <f t="shared" si="27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/>
      <c r="L1727" s="34"/>
      <c r="M1727" s="34" t="s">
        <v>9027</v>
      </c>
    </row>
    <row r="1728" spans="1:13" hidden="1">
      <c r="A1728" s="40">
        <f t="shared" si="27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/>
      <c r="L1728" s="34"/>
      <c r="M1728" s="34" t="s">
        <v>9027</v>
      </c>
    </row>
    <row r="1729" spans="1:13" hidden="1">
      <c r="A1729" s="40">
        <f t="shared" si="27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/>
      <c r="L1729" s="34"/>
      <c r="M1729" s="34" t="s">
        <v>9027</v>
      </c>
    </row>
    <row r="1730" spans="1:13" hidden="1">
      <c r="A1730" s="40">
        <f t="shared" si="27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/>
      <c r="L1730" s="34"/>
      <c r="M1730" s="34" t="s">
        <v>9027</v>
      </c>
    </row>
    <row r="1731" spans="1:13" hidden="1">
      <c r="A1731" s="40">
        <f t="shared" si="27"/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/>
      <c r="L1731" s="34"/>
      <c r="M1731" s="34" t="s">
        <v>9027</v>
      </c>
    </row>
    <row r="1732" spans="1:13" hidden="1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/>
      <c r="L1732" s="34"/>
      <c r="M1732" s="34" t="s">
        <v>9027</v>
      </c>
    </row>
    <row r="1733" spans="1:13" hidden="1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/>
      <c r="L1733" s="34"/>
      <c r="M1733" s="34" t="s">
        <v>9027</v>
      </c>
    </row>
    <row r="1734" spans="1:13" hidden="1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/>
      <c r="L1734" s="34"/>
      <c r="M1734" s="34" t="s">
        <v>9027</v>
      </c>
    </row>
    <row r="1735" spans="1:13" hidden="1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/>
      <c r="L1735" s="34"/>
      <c r="M1735" s="34" t="s">
        <v>9027</v>
      </c>
    </row>
    <row r="1736" spans="1:13" hidden="1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/>
      <c r="L1736" s="34"/>
      <c r="M1736" s="34" t="s">
        <v>9027</v>
      </c>
    </row>
    <row r="1737" spans="1:13" hidden="1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/>
      <c r="L1737" s="34"/>
      <c r="M1737" s="34" t="s">
        <v>9027</v>
      </c>
    </row>
    <row r="1738" spans="1:13" hidden="1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/>
      <c r="L1738" s="34"/>
      <c r="M1738" s="34" t="s">
        <v>9027</v>
      </c>
    </row>
    <row r="1739" spans="1:13" hidden="1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/>
      <c r="L1739" s="34"/>
      <c r="M1739" s="34" t="s">
        <v>9027</v>
      </c>
    </row>
    <row r="1740" spans="1:13" hidden="1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/>
      <c r="L1740" s="34"/>
      <c r="M1740" s="34" t="s">
        <v>9027</v>
      </c>
    </row>
    <row r="1741" spans="1:13" hidden="1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/>
      <c r="L1741" s="34"/>
      <c r="M1741" s="34" t="s">
        <v>9027</v>
      </c>
    </row>
    <row r="1742" spans="1:13" hidden="1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/>
      <c r="L1742" s="34"/>
      <c r="M1742" s="34" t="s">
        <v>9027</v>
      </c>
    </row>
    <row r="1743" spans="1:13" hidden="1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/>
      <c r="L1743" s="34"/>
      <c r="M1743" s="34" t="s">
        <v>9027</v>
      </c>
    </row>
    <row r="1744" spans="1:13" hidden="1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/>
      <c r="L1744" s="34"/>
      <c r="M1744" s="34" t="s">
        <v>9027</v>
      </c>
    </row>
    <row r="1745" spans="1:13" hidden="1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/>
      <c r="L1745" s="34"/>
      <c r="M1745" s="34" t="s">
        <v>9027</v>
      </c>
    </row>
    <row r="1746" spans="1:13" hidden="1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/>
      <c r="L1746" s="34"/>
      <c r="M1746" s="34" t="s">
        <v>9027</v>
      </c>
    </row>
    <row r="1747" spans="1:13" hidden="1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/>
      <c r="L1747" s="34"/>
      <c r="M1747" s="34" t="s">
        <v>9027</v>
      </c>
    </row>
    <row r="1748" spans="1:13" hidden="1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/>
      <c r="L1748" s="34"/>
      <c r="M1748" s="34" t="s">
        <v>9027</v>
      </c>
    </row>
    <row r="1749" spans="1:13" hidden="1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/>
      <c r="L1749" s="34"/>
      <c r="M1749" s="34" t="s">
        <v>9027</v>
      </c>
    </row>
    <row r="1750" spans="1:13" hidden="1">
      <c r="A1750" s="40">
        <f t="shared" ref="A1750:A1813" si="28">1+A1749</f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/>
      <c r="L1750" s="34"/>
      <c r="M1750" s="34" t="s">
        <v>9027</v>
      </c>
    </row>
    <row r="1751" spans="1:13" hidden="1">
      <c r="A1751" s="40">
        <f t="shared" si="28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/>
      <c r="L1751" s="34"/>
      <c r="M1751" s="34" t="s">
        <v>9027</v>
      </c>
    </row>
    <row r="1752" spans="1:13" hidden="1">
      <c r="A1752" s="40">
        <f t="shared" si="28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/>
      <c r="L1752" s="34"/>
      <c r="M1752" s="34" t="s">
        <v>9027</v>
      </c>
    </row>
    <row r="1753" spans="1:13" hidden="1">
      <c r="A1753" s="40">
        <f t="shared" si="28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/>
      <c r="L1753" s="34"/>
      <c r="M1753" s="34" t="s">
        <v>9027</v>
      </c>
    </row>
    <row r="1754" spans="1:13" hidden="1">
      <c r="A1754" s="40">
        <f t="shared" si="28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/>
      <c r="L1754" s="34"/>
      <c r="M1754" s="34" t="s">
        <v>9027</v>
      </c>
    </row>
    <row r="1755" spans="1:13" hidden="1">
      <c r="A1755" s="40">
        <f t="shared" si="28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/>
      <c r="L1755" s="34"/>
      <c r="M1755" s="34" t="s">
        <v>9027</v>
      </c>
    </row>
    <row r="1756" spans="1:13" hidden="1">
      <c r="A1756" s="40">
        <f t="shared" si="28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/>
      <c r="L1756" s="34"/>
      <c r="M1756" s="34" t="s">
        <v>9027</v>
      </c>
    </row>
    <row r="1757" spans="1:13" hidden="1">
      <c r="A1757" s="40">
        <f t="shared" si="28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/>
      <c r="L1757" s="34"/>
      <c r="M1757" s="34" t="s">
        <v>9027</v>
      </c>
    </row>
    <row r="1758" spans="1:13" hidden="1">
      <c r="A1758" s="40">
        <f t="shared" si="28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/>
      <c r="L1758" s="34"/>
      <c r="M1758" s="34" t="s">
        <v>9027</v>
      </c>
    </row>
    <row r="1759" spans="1:13" hidden="1">
      <c r="A1759" s="40">
        <f t="shared" si="28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/>
      <c r="L1759" s="34"/>
      <c r="M1759" s="34" t="s">
        <v>9027</v>
      </c>
    </row>
    <row r="1760" spans="1:13" hidden="1">
      <c r="A1760" s="40">
        <f t="shared" si="28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/>
      <c r="L1760" s="34"/>
      <c r="M1760" s="34" t="s">
        <v>9027</v>
      </c>
    </row>
    <row r="1761" spans="1:13" hidden="1">
      <c r="A1761" s="40">
        <f t="shared" si="28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/>
      <c r="L1761" s="34"/>
      <c r="M1761" s="34" t="s">
        <v>9027</v>
      </c>
    </row>
    <row r="1762" spans="1:13" hidden="1">
      <c r="A1762" s="40">
        <f t="shared" si="28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/>
      <c r="L1762" s="34"/>
      <c r="M1762" s="34" t="s">
        <v>9027</v>
      </c>
    </row>
    <row r="1763" spans="1:13" hidden="1">
      <c r="A1763" s="40">
        <f t="shared" si="28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/>
      <c r="L1763" s="34"/>
      <c r="M1763" s="34" t="s">
        <v>9027</v>
      </c>
    </row>
    <row r="1764" spans="1:13" hidden="1">
      <c r="A1764" s="40">
        <f t="shared" si="28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/>
      <c r="L1764" s="34"/>
      <c r="M1764" s="34" t="s">
        <v>9027</v>
      </c>
    </row>
    <row r="1765" spans="1:13" hidden="1">
      <c r="A1765" s="40">
        <f t="shared" si="28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/>
      <c r="L1765" s="34"/>
      <c r="M1765" s="34" t="s">
        <v>9027</v>
      </c>
    </row>
    <row r="1766" spans="1:13" hidden="1">
      <c r="A1766" s="40">
        <f t="shared" si="28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/>
      <c r="L1766" s="34"/>
      <c r="M1766" s="34" t="s">
        <v>9027</v>
      </c>
    </row>
    <row r="1767" spans="1:13" hidden="1">
      <c r="A1767" s="40">
        <f t="shared" si="28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/>
      <c r="L1767" s="34"/>
      <c r="M1767" s="34" t="s">
        <v>9027</v>
      </c>
    </row>
    <row r="1768" spans="1:13" hidden="1">
      <c r="A1768" s="40">
        <f t="shared" si="28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/>
      <c r="L1768" s="34"/>
      <c r="M1768" s="34" t="s">
        <v>9027</v>
      </c>
    </row>
    <row r="1769" spans="1:13" hidden="1">
      <c r="A1769" s="40">
        <f t="shared" si="28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/>
      <c r="L1769" s="34"/>
      <c r="M1769" s="34" t="s">
        <v>9027</v>
      </c>
    </row>
    <row r="1770" spans="1:13" hidden="1">
      <c r="A1770" s="40">
        <f t="shared" si="28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/>
      <c r="L1770" s="34"/>
      <c r="M1770" s="34" t="s">
        <v>9027</v>
      </c>
    </row>
    <row r="1771" spans="1:13" hidden="1">
      <c r="A1771" s="40">
        <f t="shared" si="28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/>
      <c r="L1771" s="34"/>
      <c r="M1771" s="34" t="s">
        <v>9027</v>
      </c>
    </row>
    <row r="1772" spans="1:13" hidden="1">
      <c r="A1772" s="40">
        <f t="shared" si="28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/>
      <c r="L1772" s="34"/>
      <c r="M1772" s="34" t="s">
        <v>9027</v>
      </c>
    </row>
    <row r="1773" spans="1:13" hidden="1">
      <c r="A1773" s="40">
        <f t="shared" si="28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/>
      <c r="L1773" s="34"/>
      <c r="M1773" s="34" t="s">
        <v>9027</v>
      </c>
    </row>
    <row r="1774" spans="1:13" hidden="1">
      <c r="A1774" s="40">
        <f t="shared" si="28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/>
      <c r="L1774" s="34"/>
      <c r="M1774" s="34" t="s">
        <v>9027</v>
      </c>
    </row>
    <row r="1775" spans="1:13" hidden="1">
      <c r="A1775" s="40">
        <f t="shared" si="28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/>
      <c r="L1775" s="34"/>
      <c r="M1775" s="34" t="s">
        <v>9027</v>
      </c>
    </row>
    <row r="1776" spans="1:13" hidden="1">
      <c r="A1776" s="40">
        <f t="shared" si="28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/>
      <c r="L1776" s="34"/>
      <c r="M1776" s="34" t="s">
        <v>9027</v>
      </c>
    </row>
    <row r="1777" spans="1:13" hidden="1">
      <c r="A1777" s="40">
        <f t="shared" si="28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/>
      <c r="L1777" s="34"/>
      <c r="M1777" s="34" t="s">
        <v>9027</v>
      </c>
    </row>
    <row r="1778" spans="1:13" hidden="1">
      <c r="A1778" s="40">
        <f t="shared" si="28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/>
      <c r="L1778" s="34"/>
      <c r="M1778" s="34" t="s">
        <v>9027</v>
      </c>
    </row>
    <row r="1779" spans="1:13" hidden="1">
      <c r="A1779" s="40">
        <f t="shared" si="28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/>
      <c r="L1779" s="34"/>
      <c r="M1779" s="34" t="s">
        <v>9027</v>
      </c>
    </row>
    <row r="1780" spans="1:13" hidden="1">
      <c r="A1780" s="40">
        <f t="shared" si="28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/>
      <c r="L1780" s="34"/>
      <c r="M1780" s="34" t="s">
        <v>9027</v>
      </c>
    </row>
    <row r="1781" spans="1:13" hidden="1">
      <c r="A1781" s="40">
        <f t="shared" si="28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/>
      <c r="L1781" s="34"/>
      <c r="M1781" s="34" t="s">
        <v>9027</v>
      </c>
    </row>
    <row r="1782" spans="1:13" hidden="1">
      <c r="A1782" s="40">
        <f t="shared" si="28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/>
      <c r="L1782" s="34"/>
      <c r="M1782" s="34" t="s">
        <v>9027</v>
      </c>
    </row>
    <row r="1783" spans="1:13" hidden="1">
      <c r="A1783" s="40">
        <f t="shared" si="28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/>
      <c r="L1783" s="34"/>
      <c r="M1783" s="34" t="s">
        <v>9027</v>
      </c>
    </row>
    <row r="1784" spans="1:13" hidden="1">
      <c r="A1784" s="40">
        <f t="shared" si="28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/>
      <c r="L1784" s="34"/>
      <c r="M1784" s="34" t="s">
        <v>9027</v>
      </c>
    </row>
    <row r="1785" spans="1:13" hidden="1">
      <c r="A1785" s="40">
        <f t="shared" si="28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/>
      <c r="L1785" s="34"/>
      <c r="M1785" s="34" t="s">
        <v>9027</v>
      </c>
    </row>
    <row r="1786" spans="1:13" hidden="1">
      <c r="A1786" s="40">
        <f t="shared" si="28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/>
      <c r="L1786" s="34"/>
      <c r="M1786" s="34" t="s">
        <v>9027</v>
      </c>
    </row>
    <row r="1787" spans="1:13" hidden="1">
      <c r="A1787" s="40">
        <f t="shared" si="28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/>
      <c r="L1787" s="34"/>
      <c r="M1787" s="34" t="s">
        <v>9027</v>
      </c>
    </row>
    <row r="1788" spans="1:13" hidden="1">
      <c r="A1788" s="40">
        <f t="shared" si="28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/>
      <c r="L1788" s="34"/>
      <c r="M1788" s="34" t="s">
        <v>9027</v>
      </c>
    </row>
    <row r="1789" spans="1:13" hidden="1">
      <c r="A1789" s="40">
        <f t="shared" si="28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/>
      <c r="L1789" s="34"/>
      <c r="M1789" s="34" t="s">
        <v>9027</v>
      </c>
    </row>
    <row r="1790" spans="1:13" hidden="1">
      <c r="A1790" s="40">
        <f t="shared" si="28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/>
      <c r="L1790" s="34"/>
      <c r="M1790" s="34" t="s">
        <v>9027</v>
      </c>
    </row>
    <row r="1791" spans="1:13" hidden="1">
      <c r="A1791" s="40">
        <f t="shared" si="28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/>
      <c r="L1791" s="34"/>
      <c r="M1791" s="34" t="s">
        <v>9027</v>
      </c>
    </row>
    <row r="1792" spans="1:13" hidden="1">
      <c r="A1792" s="40">
        <f t="shared" si="28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/>
      <c r="L1792" s="34"/>
      <c r="M1792" s="34" t="s">
        <v>9027</v>
      </c>
    </row>
    <row r="1793" spans="1:13" hidden="1">
      <c r="A1793" s="40">
        <f t="shared" si="28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/>
      <c r="L1793" s="34"/>
      <c r="M1793" s="34" t="s">
        <v>9027</v>
      </c>
    </row>
    <row r="1794" spans="1:13" hidden="1">
      <c r="A1794" s="40">
        <f t="shared" si="28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/>
      <c r="L1794" s="34"/>
      <c r="M1794" s="34" t="s">
        <v>9027</v>
      </c>
    </row>
    <row r="1795" spans="1:13" hidden="1">
      <c r="A1795" s="40">
        <f t="shared" si="28"/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/>
      <c r="L1795" s="34"/>
      <c r="M1795" s="34" t="s">
        <v>9027</v>
      </c>
    </row>
    <row r="1796" spans="1:13" hidden="1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/>
      <c r="L1796" s="34"/>
      <c r="M1796" s="34" t="s">
        <v>9027</v>
      </c>
    </row>
    <row r="1797" spans="1:13" hidden="1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/>
      <c r="L1797" s="34"/>
      <c r="M1797" s="34" t="s">
        <v>9027</v>
      </c>
    </row>
    <row r="1798" spans="1:13" hidden="1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/>
      <c r="L1798" s="34"/>
      <c r="M1798" s="34" t="s">
        <v>9027</v>
      </c>
    </row>
    <row r="1799" spans="1:13" hidden="1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/>
      <c r="L1799" s="34"/>
      <c r="M1799" s="34" t="s">
        <v>9027</v>
      </c>
    </row>
    <row r="1800" spans="1:13" hidden="1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/>
      <c r="L1800" s="34"/>
      <c r="M1800" s="34" t="s">
        <v>9027</v>
      </c>
    </row>
    <row r="1801" spans="1:13" hidden="1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/>
      <c r="L1801" s="34"/>
      <c r="M1801" s="34" t="s">
        <v>9027</v>
      </c>
    </row>
    <row r="1802" spans="1:13" hidden="1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/>
      <c r="L1802" s="34"/>
      <c r="M1802" s="34" t="s">
        <v>9027</v>
      </c>
    </row>
    <row r="1803" spans="1:13" hidden="1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/>
      <c r="L1803" s="34"/>
      <c r="M1803" s="34" t="s">
        <v>9027</v>
      </c>
    </row>
    <row r="1804" spans="1:13" hidden="1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/>
      <c r="L1804" s="34"/>
      <c r="M1804" s="34" t="s">
        <v>9027</v>
      </c>
    </row>
    <row r="1805" spans="1:13" hidden="1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/>
      <c r="L1805" s="34"/>
      <c r="M1805" s="34" t="s">
        <v>9027</v>
      </c>
    </row>
    <row r="1806" spans="1:13" hidden="1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/>
      <c r="L1806" s="34"/>
      <c r="M1806" s="34" t="s">
        <v>9027</v>
      </c>
    </row>
    <row r="1807" spans="1:13" hidden="1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/>
      <c r="L1807" s="34"/>
      <c r="M1807" s="34" t="s">
        <v>9027</v>
      </c>
    </row>
    <row r="1808" spans="1:13" hidden="1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/>
      <c r="L1808" s="34"/>
      <c r="M1808" s="34" t="s">
        <v>9027</v>
      </c>
    </row>
    <row r="1809" spans="1:13" hidden="1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/>
      <c r="L1809" s="34"/>
      <c r="M1809" s="34" t="s">
        <v>9027</v>
      </c>
    </row>
    <row r="1810" spans="1:13" hidden="1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/>
      <c r="L1810" s="34"/>
      <c r="M1810" s="34" t="s">
        <v>9027</v>
      </c>
    </row>
    <row r="1811" spans="1:13" hidden="1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/>
      <c r="L1811" s="34"/>
      <c r="M1811" s="34" t="s">
        <v>9027</v>
      </c>
    </row>
    <row r="1812" spans="1:13" hidden="1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/>
      <c r="L1812" s="34"/>
      <c r="M1812" s="34" t="s">
        <v>9027</v>
      </c>
    </row>
    <row r="1813" spans="1:13" hidden="1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/>
      <c r="L1813" s="34"/>
      <c r="M1813" s="34" t="s">
        <v>9027</v>
      </c>
    </row>
    <row r="1814" spans="1:13" hidden="1">
      <c r="A1814" s="40">
        <f t="shared" ref="A1814:A1877" si="29">1+A1813</f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/>
      <c r="L1814" s="34"/>
      <c r="M1814" s="34" t="s">
        <v>9027</v>
      </c>
    </row>
    <row r="1815" spans="1:13" hidden="1">
      <c r="A1815" s="40">
        <f t="shared" si="29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/>
      <c r="L1815" s="34"/>
      <c r="M1815" s="34" t="s">
        <v>9027</v>
      </c>
    </row>
    <row r="1816" spans="1:13" hidden="1">
      <c r="A1816" s="40">
        <f t="shared" si="29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/>
      <c r="L1816" s="34"/>
      <c r="M1816" s="34" t="s">
        <v>9027</v>
      </c>
    </row>
    <row r="1817" spans="1:13" hidden="1">
      <c r="A1817" s="40">
        <f t="shared" si="29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/>
      <c r="L1817" s="34"/>
      <c r="M1817" s="34" t="s">
        <v>9027</v>
      </c>
    </row>
    <row r="1818" spans="1:13" hidden="1">
      <c r="A1818" s="40">
        <f t="shared" si="29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/>
      <c r="L1818" s="34"/>
      <c r="M1818" s="34" t="s">
        <v>9027</v>
      </c>
    </row>
    <row r="1819" spans="1:13" hidden="1">
      <c r="A1819" s="40">
        <f t="shared" si="29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/>
      <c r="L1819" s="34"/>
      <c r="M1819" s="34" t="s">
        <v>9027</v>
      </c>
    </row>
    <row r="1820" spans="1:13" hidden="1">
      <c r="A1820" s="40">
        <f t="shared" si="29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/>
      <c r="L1820" s="34"/>
      <c r="M1820" s="34" t="s">
        <v>9027</v>
      </c>
    </row>
    <row r="1821" spans="1:13" hidden="1">
      <c r="A1821" s="40">
        <f t="shared" si="29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/>
      <c r="L1821" s="34"/>
      <c r="M1821" s="34" t="s">
        <v>9027</v>
      </c>
    </row>
    <row r="1822" spans="1:13" hidden="1">
      <c r="A1822" s="40">
        <f t="shared" si="29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/>
      <c r="L1822" s="34"/>
      <c r="M1822" s="34" t="s">
        <v>9027</v>
      </c>
    </row>
    <row r="1823" spans="1:13" hidden="1">
      <c r="A1823" s="40">
        <f t="shared" si="29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/>
      <c r="L1823" s="34"/>
      <c r="M1823" s="34" t="s">
        <v>9027</v>
      </c>
    </row>
    <row r="1824" spans="1:13" hidden="1">
      <c r="A1824" s="40">
        <f t="shared" si="29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/>
      <c r="L1824" s="34"/>
      <c r="M1824" s="34" t="s">
        <v>9027</v>
      </c>
    </row>
    <row r="1825" spans="1:13" hidden="1">
      <c r="A1825" s="40">
        <f t="shared" si="29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/>
      <c r="L1825" s="34"/>
      <c r="M1825" s="34" t="s">
        <v>9027</v>
      </c>
    </row>
    <row r="1826" spans="1:13" hidden="1">
      <c r="A1826" s="40">
        <f t="shared" si="29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/>
      <c r="L1826" s="34"/>
      <c r="M1826" s="34" t="s">
        <v>9027</v>
      </c>
    </row>
    <row r="1827" spans="1:13" hidden="1">
      <c r="A1827" s="40">
        <f t="shared" si="29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/>
      <c r="L1827" s="34"/>
      <c r="M1827" s="34" t="s">
        <v>9027</v>
      </c>
    </row>
    <row r="1828" spans="1:13" hidden="1">
      <c r="A1828" s="40">
        <f t="shared" si="29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/>
      <c r="L1828" s="34"/>
      <c r="M1828" s="34" t="s">
        <v>9027</v>
      </c>
    </row>
    <row r="1829" spans="1:13" hidden="1">
      <c r="A1829" s="40">
        <f t="shared" si="29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/>
      <c r="L1829" s="34"/>
      <c r="M1829" s="34" t="s">
        <v>9027</v>
      </c>
    </row>
    <row r="1830" spans="1:13" hidden="1">
      <c r="A1830" s="40">
        <f t="shared" si="29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/>
      <c r="L1830" s="34"/>
      <c r="M1830" s="34" t="s">
        <v>9027</v>
      </c>
    </row>
    <row r="1831" spans="1:13" hidden="1">
      <c r="A1831" s="40">
        <f t="shared" si="29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/>
      <c r="L1831" s="34"/>
      <c r="M1831" s="34" t="s">
        <v>9027</v>
      </c>
    </row>
    <row r="1832" spans="1:13" hidden="1">
      <c r="A1832" s="40">
        <f t="shared" si="29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/>
      <c r="L1832" s="34"/>
      <c r="M1832" s="34" t="s">
        <v>9027</v>
      </c>
    </row>
    <row r="1833" spans="1:13" hidden="1">
      <c r="A1833" s="40">
        <f t="shared" si="29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/>
      <c r="L1833" s="34"/>
      <c r="M1833" s="34" t="s">
        <v>9027</v>
      </c>
    </row>
    <row r="1834" spans="1:13" hidden="1">
      <c r="A1834" s="40">
        <f t="shared" si="29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/>
      <c r="L1834" s="34"/>
      <c r="M1834" s="34" t="s">
        <v>9027</v>
      </c>
    </row>
    <row r="1835" spans="1:13" hidden="1">
      <c r="A1835" s="40">
        <f t="shared" si="29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/>
      <c r="L1835" s="34"/>
      <c r="M1835" s="34" t="s">
        <v>9027</v>
      </c>
    </row>
    <row r="1836" spans="1:13" hidden="1">
      <c r="A1836" s="40">
        <f t="shared" si="29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/>
      <c r="L1836" s="34"/>
      <c r="M1836" s="34" t="s">
        <v>9027</v>
      </c>
    </row>
    <row r="1837" spans="1:13" hidden="1">
      <c r="A1837" s="40">
        <f t="shared" si="29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/>
      <c r="L1837" s="34"/>
      <c r="M1837" s="34" t="s">
        <v>9027</v>
      </c>
    </row>
    <row r="1838" spans="1:13" hidden="1">
      <c r="A1838" s="40">
        <f t="shared" si="29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/>
      <c r="L1838" s="34"/>
      <c r="M1838" s="34" t="s">
        <v>9027</v>
      </c>
    </row>
    <row r="1839" spans="1:13" hidden="1">
      <c r="A1839" s="40">
        <f t="shared" si="29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/>
      <c r="L1839" s="34"/>
      <c r="M1839" s="34" t="s">
        <v>9027</v>
      </c>
    </row>
    <row r="1840" spans="1:13" hidden="1">
      <c r="A1840" s="40">
        <f t="shared" si="29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/>
      <c r="L1840" s="34"/>
      <c r="M1840" s="34" t="s">
        <v>9027</v>
      </c>
    </row>
    <row r="1841" spans="1:13" hidden="1">
      <c r="A1841" s="40">
        <f t="shared" si="29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/>
      <c r="L1841" s="34"/>
      <c r="M1841" s="34" t="s">
        <v>9027</v>
      </c>
    </row>
    <row r="1842" spans="1:13" hidden="1">
      <c r="A1842" s="40">
        <f t="shared" si="29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/>
      <c r="L1842" s="34"/>
      <c r="M1842" s="34" t="s">
        <v>9027</v>
      </c>
    </row>
    <row r="1843" spans="1:13" hidden="1">
      <c r="A1843" s="40">
        <f t="shared" si="29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/>
      <c r="L1843" s="34"/>
      <c r="M1843" s="34" t="s">
        <v>9027</v>
      </c>
    </row>
    <row r="1844" spans="1:13" hidden="1">
      <c r="A1844" s="40">
        <f t="shared" si="29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/>
      <c r="L1844" s="34"/>
      <c r="M1844" s="34" t="s">
        <v>9027</v>
      </c>
    </row>
    <row r="1845" spans="1:13" hidden="1">
      <c r="A1845" s="40">
        <f t="shared" si="29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/>
      <c r="L1845" s="34"/>
      <c r="M1845" s="34" t="s">
        <v>9027</v>
      </c>
    </row>
    <row r="1846" spans="1:13" hidden="1">
      <c r="A1846" s="40">
        <f t="shared" si="29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/>
      <c r="L1846" s="34"/>
      <c r="M1846" s="34" t="s">
        <v>9027</v>
      </c>
    </row>
    <row r="1847" spans="1:13" hidden="1">
      <c r="A1847" s="40">
        <f t="shared" si="29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/>
      <c r="L1847" s="34"/>
      <c r="M1847" s="34" t="s">
        <v>9027</v>
      </c>
    </row>
    <row r="1848" spans="1:13" hidden="1">
      <c r="A1848" s="40">
        <f t="shared" si="29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/>
      <c r="L1848" s="34"/>
      <c r="M1848" s="34" t="s">
        <v>9027</v>
      </c>
    </row>
    <row r="1849" spans="1:13" hidden="1">
      <c r="A1849" s="40">
        <f t="shared" si="29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/>
      <c r="L1849" s="34"/>
      <c r="M1849" s="34" t="s">
        <v>9027</v>
      </c>
    </row>
    <row r="1850" spans="1:13" hidden="1">
      <c r="A1850" s="40">
        <f t="shared" si="29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/>
      <c r="L1850" s="34"/>
      <c r="M1850" s="34" t="s">
        <v>9027</v>
      </c>
    </row>
    <row r="1851" spans="1:13" hidden="1">
      <c r="A1851" s="40">
        <f t="shared" si="29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/>
      <c r="L1851" s="34"/>
      <c r="M1851" s="34" t="s">
        <v>9027</v>
      </c>
    </row>
    <row r="1852" spans="1:13" hidden="1">
      <c r="A1852" s="40">
        <f t="shared" si="29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/>
      <c r="L1852" s="34"/>
      <c r="M1852" s="34" t="s">
        <v>9027</v>
      </c>
    </row>
    <row r="1853" spans="1:13" hidden="1">
      <c r="A1853" s="40">
        <f t="shared" si="29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/>
      <c r="L1853" s="34"/>
      <c r="M1853" s="34" t="s">
        <v>9027</v>
      </c>
    </row>
    <row r="1854" spans="1:13" hidden="1">
      <c r="A1854" s="40">
        <f t="shared" si="29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/>
      <c r="L1854" s="34"/>
      <c r="M1854" s="34" t="s">
        <v>9027</v>
      </c>
    </row>
    <row r="1855" spans="1:13" hidden="1">
      <c r="A1855" s="40">
        <f t="shared" si="29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/>
      <c r="L1855" s="34"/>
      <c r="M1855" s="34" t="s">
        <v>9027</v>
      </c>
    </row>
    <row r="1856" spans="1:13" hidden="1">
      <c r="A1856" s="40">
        <f t="shared" si="29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/>
      <c r="L1856" s="34"/>
      <c r="M1856" s="34" t="s">
        <v>9027</v>
      </c>
    </row>
    <row r="1857" spans="1:13" hidden="1">
      <c r="A1857" s="40">
        <f t="shared" si="29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/>
      <c r="L1857" s="34"/>
      <c r="M1857" s="34" t="s">
        <v>9027</v>
      </c>
    </row>
    <row r="1858" spans="1:13" hidden="1">
      <c r="A1858" s="40">
        <f t="shared" si="29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/>
      <c r="L1858" s="34"/>
      <c r="M1858" s="34" t="s">
        <v>9027</v>
      </c>
    </row>
    <row r="1859" spans="1:13" hidden="1">
      <c r="A1859" s="40">
        <f t="shared" si="29"/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/>
      <c r="L1859" s="34"/>
      <c r="M1859" s="34" t="s">
        <v>9027</v>
      </c>
    </row>
    <row r="1860" spans="1:13" hidden="1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/>
      <c r="L1860" s="34"/>
      <c r="M1860" s="34" t="s">
        <v>9027</v>
      </c>
    </row>
    <row r="1861" spans="1:13" hidden="1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/>
      <c r="L1861" s="34"/>
      <c r="M1861" s="34" t="s">
        <v>9027</v>
      </c>
    </row>
    <row r="1862" spans="1:13" hidden="1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/>
      <c r="L1862" s="34"/>
      <c r="M1862" s="34" t="s">
        <v>9027</v>
      </c>
    </row>
    <row r="1863" spans="1:13" hidden="1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/>
      <c r="L1863" s="34"/>
      <c r="M1863" s="34" t="s">
        <v>9027</v>
      </c>
    </row>
    <row r="1864" spans="1:13" hidden="1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/>
      <c r="L1864" s="34"/>
      <c r="M1864" s="34" t="s">
        <v>9027</v>
      </c>
    </row>
    <row r="1865" spans="1:13" hidden="1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/>
      <c r="L1865" s="34"/>
      <c r="M1865" s="34" t="s">
        <v>9027</v>
      </c>
    </row>
    <row r="1866" spans="1:13" hidden="1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/>
      <c r="L1866" s="34"/>
      <c r="M1866" s="34" t="s">
        <v>9027</v>
      </c>
    </row>
    <row r="1867" spans="1:13" hidden="1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/>
      <c r="L1867" s="34"/>
      <c r="M1867" s="34" t="s">
        <v>9027</v>
      </c>
    </row>
    <row r="1868" spans="1:13" hidden="1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/>
      <c r="L1868" s="34"/>
      <c r="M1868" s="34" t="s">
        <v>9027</v>
      </c>
    </row>
    <row r="1869" spans="1:13" hidden="1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/>
      <c r="L1869" s="34"/>
      <c r="M1869" s="34" t="s">
        <v>9027</v>
      </c>
    </row>
    <row r="1870" spans="1:13" hidden="1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/>
      <c r="L1870" s="34"/>
      <c r="M1870" s="34" t="s">
        <v>9027</v>
      </c>
    </row>
    <row r="1871" spans="1:13" hidden="1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/>
      <c r="L1871" s="34"/>
      <c r="M1871" s="34" t="s">
        <v>9027</v>
      </c>
    </row>
    <row r="1872" spans="1:13" hidden="1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/>
      <c r="L1872" s="34"/>
      <c r="M1872" s="34" t="s">
        <v>9027</v>
      </c>
    </row>
    <row r="1873" spans="1:13" hidden="1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/>
      <c r="L1873" s="34"/>
      <c r="M1873" s="34" t="s">
        <v>9027</v>
      </c>
    </row>
    <row r="1874" spans="1:13" hidden="1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/>
      <c r="L1874" s="34"/>
      <c r="M1874" s="34" t="s">
        <v>9027</v>
      </c>
    </row>
    <row r="1875" spans="1:13" hidden="1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/>
      <c r="L1875" s="34"/>
      <c r="M1875" s="34" t="s">
        <v>9027</v>
      </c>
    </row>
    <row r="1876" spans="1:13" hidden="1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/>
      <c r="L1876" s="34"/>
      <c r="M1876" s="34" t="s">
        <v>9027</v>
      </c>
    </row>
    <row r="1877" spans="1:13" hidden="1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/>
      <c r="L1877" s="34"/>
      <c r="M1877" s="34" t="s">
        <v>9027</v>
      </c>
    </row>
    <row r="1878" spans="1:13" hidden="1">
      <c r="A1878" s="40">
        <f t="shared" ref="A1878:A1941" si="30">1+A1877</f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/>
      <c r="L1878" s="34"/>
      <c r="M1878" s="34" t="s">
        <v>9027</v>
      </c>
    </row>
    <row r="1879" spans="1:13" hidden="1">
      <c r="A1879" s="40">
        <f t="shared" si="30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/>
      <c r="L1879" s="34"/>
      <c r="M1879" s="34" t="s">
        <v>9027</v>
      </c>
    </row>
    <row r="1880" spans="1:13" hidden="1">
      <c r="A1880" s="40">
        <f t="shared" si="30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/>
      <c r="L1880" s="34"/>
      <c r="M1880" s="34" t="s">
        <v>9027</v>
      </c>
    </row>
    <row r="1881" spans="1:13" hidden="1">
      <c r="A1881" s="40">
        <f t="shared" si="30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/>
      <c r="L1881" s="34"/>
      <c r="M1881" s="34" t="s">
        <v>9027</v>
      </c>
    </row>
    <row r="1882" spans="1:13" hidden="1">
      <c r="A1882" s="40">
        <f t="shared" si="30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/>
      <c r="L1882" s="34"/>
      <c r="M1882" s="34" t="s">
        <v>9027</v>
      </c>
    </row>
    <row r="1883" spans="1:13" hidden="1">
      <c r="A1883" s="40">
        <f t="shared" si="30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/>
      <c r="L1883" s="34"/>
      <c r="M1883" s="34" t="s">
        <v>9027</v>
      </c>
    </row>
    <row r="1884" spans="1:13" hidden="1">
      <c r="A1884" s="40">
        <f t="shared" si="30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/>
      <c r="L1884" s="34"/>
      <c r="M1884" s="34" t="s">
        <v>9027</v>
      </c>
    </row>
    <row r="1885" spans="1:13" hidden="1">
      <c r="A1885" s="40">
        <f t="shared" si="30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/>
      <c r="L1885" s="34"/>
      <c r="M1885" s="34" t="s">
        <v>9027</v>
      </c>
    </row>
    <row r="1886" spans="1:13" hidden="1">
      <c r="A1886" s="40">
        <f t="shared" si="30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/>
      <c r="L1886" s="34"/>
      <c r="M1886" s="34" t="s">
        <v>9027</v>
      </c>
    </row>
    <row r="1887" spans="1:13" hidden="1">
      <c r="A1887" s="40">
        <f t="shared" si="30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/>
      <c r="L1887" s="34"/>
      <c r="M1887" s="34" t="s">
        <v>9027</v>
      </c>
    </row>
    <row r="1888" spans="1:13" hidden="1">
      <c r="A1888" s="40">
        <f t="shared" si="30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/>
      <c r="L1888" s="34"/>
      <c r="M1888" s="34" t="s">
        <v>9027</v>
      </c>
    </row>
    <row r="1889" spans="1:13" hidden="1">
      <c r="A1889" s="40">
        <f t="shared" si="30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/>
      <c r="L1889" s="34"/>
      <c r="M1889" s="34" t="s">
        <v>9027</v>
      </c>
    </row>
    <row r="1890" spans="1:13" hidden="1">
      <c r="A1890" s="40">
        <f t="shared" si="30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/>
      <c r="L1890" s="34"/>
      <c r="M1890" s="34" t="s">
        <v>9027</v>
      </c>
    </row>
    <row r="1891" spans="1:13" hidden="1">
      <c r="A1891" s="40">
        <f t="shared" si="30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/>
      <c r="L1891" s="34"/>
      <c r="M1891" s="34" t="s">
        <v>9027</v>
      </c>
    </row>
    <row r="1892" spans="1:13" hidden="1">
      <c r="A1892" s="40">
        <f t="shared" si="30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/>
      <c r="L1892" s="34"/>
      <c r="M1892" s="34" t="s">
        <v>9027</v>
      </c>
    </row>
    <row r="1893" spans="1:13" hidden="1">
      <c r="A1893" s="40">
        <f t="shared" si="30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/>
      <c r="L1893" s="34"/>
      <c r="M1893" s="34" t="s">
        <v>9027</v>
      </c>
    </row>
    <row r="1894" spans="1:13" hidden="1">
      <c r="A1894" s="40">
        <f t="shared" si="30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/>
      <c r="L1894" s="34"/>
      <c r="M1894" s="34" t="s">
        <v>9027</v>
      </c>
    </row>
    <row r="1895" spans="1:13" hidden="1">
      <c r="A1895" s="40">
        <f t="shared" si="30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/>
      <c r="L1895" s="34"/>
      <c r="M1895" s="34" t="s">
        <v>9027</v>
      </c>
    </row>
    <row r="1896" spans="1:13" hidden="1">
      <c r="A1896" s="40">
        <f t="shared" si="30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/>
      <c r="L1896" s="34"/>
      <c r="M1896" s="34" t="s">
        <v>9027</v>
      </c>
    </row>
    <row r="1897" spans="1:13" hidden="1">
      <c r="A1897" s="40">
        <f t="shared" si="30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/>
      <c r="L1897" s="34"/>
      <c r="M1897" s="34" t="s">
        <v>9027</v>
      </c>
    </row>
    <row r="1898" spans="1:13" hidden="1">
      <c r="A1898" s="40">
        <f t="shared" si="30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/>
      <c r="L1898" s="34"/>
      <c r="M1898" s="34" t="s">
        <v>9027</v>
      </c>
    </row>
    <row r="1899" spans="1:13" hidden="1">
      <c r="A1899" s="40">
        <f t="shared" si="30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/>
      <c r="L1899" s="34"/>
      <c r="M1899" s="34" t="s">
        <v>9027</v>
      </c>
    </row>
    <row r="1900" spans="1:13" hidden="1">
      <c r="A1900" s="40">
        <f t="shared" si="30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/>
      <c r="L1900" s="34"/>
      <c r="M1900" s="34" t="s">
        <v>9027</v>
      </c>
    </row>
    <row r="1901" spans="1:13" hidden="1">
      <c r="A1901" s="40">
        <f t="shared" si="30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/>
      <c r="L1901" s="34"/>
      <c r="M1901" s="34" t="s">
        <v>9027</v>
      </c>
    </row>
    <row r="1902" spans="1:13" hidden="1">
      <c r="A1902" s="40">
        <f t="shared" si="30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/>
      <c r="L1902" s="34"/>
      <c r="M1902" s="34" t="s">
        <v>9027</v>
      </c>
    </row>
    <row r="1903" spans="1:13" hidden="1">
      <c r="A1903" s="40">
        <f t="shared" si="30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/>
      <c r="L1903" s="34"/>
      <c r="M1903" s="34" t="s">
        <v>9027</v>
      </c>
    </row>
    <row r="1904" spans="1:13" hidden="1">
      <c r="A1904" s="40">
        <f t="shared" si="30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/>
      <c r="L1904" s="34"/>
      <c r="M1904" s="34" t="s">
        <v>9027</v>
      </c>
    </row>
    <row r="1905" spans="1:13" hidden="1">
      <c r="A1905" s="40">
        <f t="shared" si="30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/>
      <c r="L1905" s="34"/>
      <c r="M1905" s="34" t="s">
        <v>9027</v>
      </c>
    </row>
    <row r="1906" spans="1:13" hidden="1">
      <c r="A1906" s="40">
        <f t="shared" si="30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/>
      <c r="L1906" s="34"/>
      <c r="M1906" s="34" t="s">
        <v>9027</v>
      </c>
    </row>
    <row r="1907" spans="1:13" hidden="1">
      <c r="A1907" s="40">
        <f t="shared" si="30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/>
      <c r="L1907" s="34"/>
      <c r="M1907" s="34" t="s">
        <v>9027</v>
      </c>
    </row>
    <row r="1908" spans="1:13" hidden="1">
      <c r="A1908" s="40">
        <f t="shared" si="30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/>
      <c r="L1908" s="34"/>
      <c r="M1908" s="34" t="s">
        <v>9027</v>
      </c>
    </row>
    <row r="1909" spans="1:13" hidden="1">
      <c r="A1909" s="40">
        <f t="shared" si="30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/>
      <c r="L1909" s="34"/>
      <c r="M1909" s="34" t="s">
        <v>9027</v>
      </c>
    </row>
    <row r="1910" spans="1:13" hidden="1">
      <c r="A1910" s="40">
        <f t="shared" si="30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/>
      <c r="L1910" s="34"/>
      <c r="M1910" s="34" t="s">
        <v>9027</v>
      </c>
    </row>
    <row r="1911" spans="1:13" hidden="1">
      <c r="A1911" s="40">
        <f t="shared" si="30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/>
      <c r="L1911" s="34"/>
      <c r="M1911" s="34" t="s">
        <v>9027</v>
      </c>
    </row>
    <row r="1912" spans="1:13" hidden="1">
      <c r="A1912" s="40">
        <f t="shared" si="30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/>
      <c r="L1912" s="34"/>
      <c r="M1912" s="34" t="s">
        <v>9027</v>
      </c>
    </row>
    <row r="1913" spans="1:13" hidden="1">
      <c r="A1913" s="40">
        <f t="shared" si="30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/>
      <c r="L1913" s="34"/>
      <c r="M1913" s="34" t="s">
        <v>9027</v>
      </c>
    </row>
    <row r="1914" spans="1:13" hidden="1">
      <c r="A1914" s="40">
        <f t="shared" si="30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/>
      <c r="L1914" s="34"/>
      <c r="M1914" s="34" t="s">
        <v>9027</v>
      </c>
    </row>
    <row r="1915" spans="1:13" hidden="1">
      <c r="A1915" s="40">
        <f t="shared" si="30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/>
      <c r="L1915" s="34"/>
      <c r="M1915" s="34" t="s">
        <v>9027</v>
      </c>
    </row>
    <row r="1916" spans="1:13" hidden="1">
      <c r="A1916" s="40">
        <f t="shared" si="30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/>
      <c r="L1916" s="34"/>
      <c r="M1916" s="34" t="s">
        <v>9027</v>
      </c>
    </row>
    <row r="1917" spans="1:13" hidden="1">
      <c r="A1917" s="40">
        <f t="shared" si="30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/>
      <c r="L1917" s="34"/>
      <c r="M1917" s="34" t="s">
        <v>9027</v>
      </c>
    </row>
    <row r="1918" spans="1:13" hidden="1">
      <c r="A1918" s="40">
        <f t="shared" si="30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/>
      <c r="L1918" s="34"/>
      <c r="M1918" s="34" t="s">
        <v>9027</v>
      </c>
    </row>
    <row r="1919" spans="1:13" hidden="1">
      <c r="A1919" s="40">
        <f t="shared" si="30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/>
      <c r="L1919" s="34"/>
      <c r="M1919" s="34" t="s">
        <v>9027</v>
      </c>
    </row>
    <row r="1920" spans="1:13" hidden="1">
      <c r="A1920" s="40">
        <f t="shared" si="30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/>
      <c r="L1920" s="34"/>
      <c r="M1920" s="34" t="s">
        <v>9027</v>
      </c>
    </row>
    <row r="1921" spans="1:13" hidden="1">
      <c r="A1921" s="40">
        <f t="shared" si="30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/>
      <c r="L1921" s="34"/>
      <c r="M1921" s="34" t="s">
        <v>9027</v>
      </c>
    </row>
    <row r="1922" spans="1:13" hidden="1">
      <c r="A1922" s="40">
        <f t="shared" si="30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/>
      <c r="L1922" s="34"/>
      <c r="M1922" s="34" t="s">
        <v>9027</v>
      </c>
    </row>
    <row r="1923" spans="1:13" hidden="1">
      <c r="A1923" s="40">
        <f t="shared" si="30"/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/>
      <c r="L1923" s="34"/>
      <c r="M1923" s="34" t="s">
        <v>9027</v>
      </c>
    </row>
    <row r="1924" spans="1:13" hidden="1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/>
      <c r="L1924" s="34"/>
      <c r="M1924" s="34" t="s">
        <v>9027</v>
      </c>
    </row>
    <row r="1925" spans="1:13" hidden="1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/>
      <c r="L1925" s="34"/>
      <c r="M1925" s="34" t="s">
        <v>9027</v>
      </c>
    </row>
    <row r="1926" spans="1:13" hidden="1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/>
      <c r="L1926" s="34"/>
      <c r="M1926" s="34" t="s">
        <v>9027</v>
      </c>
    </row>
    <row r="1927" spans="1:13" hidden="1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/>
      <c r="L1927" s="34"/>
      <c r="M1927" s="34" t="s">
        <v>9027</v>
      </c>
    </row>
    <row r="1928" spans="1:13" hidden="1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/>
      <c r="L1928" s="34"/>
      <c r="M1928" s="34" t="s">
        <v>9027</v>
      </c>
    </row>
    <row r="1929" spans="1:13" hidden="1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/>
      <c r="L1929" s="34"/>
      <c r="M1929" s="34" t="s">
        <v>9027</v>
      </c>
    </row>
    <row r="1930" spans="1:13" hidden="1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/>
      <c r="L1930" s="34"/>
      <c r="M1930" s="34" t="s">
        <v>9027</v>
      </c>
    </row>
    <row r="1931" spans="1:13" hidden="1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/>
      <c r="L1931" s="34"/>
      <c r="M1931" s="34" t="s">
        <v>9027</v>
      </c>
    </row>
    <row r="1932" spans="1:13" hidden="1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/>
      <c r="L1932" s="34"/>
      <c r="M1932" s="34" t="s">
        <v>9027</v>
      </c>
    </row>
    <row r="1933" spans="1:13" hidden="1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/>
      <c r="L1933" s="34"/>
      <c r="M1933" s="34" t="s">
        <v>9027</v>
      </c>
    </row>
    <row r="1934" spans="1:13" hidden="1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/>
      <c r="L1934" s="34"/>
      <c r="M1934" s="34" t="s">
        <v>9027</v>
      </c>
    </row>
    <row r="1935" spans="1:13" hidden="1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/>
      <c r="L1935" s="34"/>
      <c r="M1935" s="34" t="s">
        <v>9027</v>
      </c>
    </row>
    <row r="1936" spans="1:13" hidden="1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/>
      <c r="L1936" s="34"/>
      <c r="M1936" s="34" t="s">
        <v>9027</v>
      </c>
    </row>
    <row r="1937" spans="1:13" hidden="1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/>
      <c r="L1937" s="34"/>
      <c r="M1937" s="34" t="s">
        <v>9027</v>
      </c>
    </row>
    <row r="1938" spans="1:13" hidden="1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/>
      <c r="L1938" s="34"/>
      <c r="M1938" s="34" t="s">
        <v>9027</v>
      </c>
    </row>
    <row r="1939" spans="1:13" hidden="1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/>
      <c r="L1939" s="34"/>
      <c r="M1939" s="34" t="s">
        <v>9027</v>
      </c>
    </row>
    <row r="1940" spans="1:13" hidden="1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/>
      <c r="L1940" s="34"/>
      <c r="M1940" s="34" t="s">
        <v>9027</v>
      </c>
    </row>
    <row r="1941" spans="1:13" hidden="1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/>
      <c r="L1941" s="34"/>
      <c r="M1941" s="34" t="s">
        <v>9027</v>
      </c>
    </row>
    <row r="1942" spans="1:13" hidden="1">
      <c r="A1942" s="40">
        <f t="shared" ref="A1942:A2005" si="31">1+A1941</f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/>
      <c r="L1942" s="34"/>
      <c r="M1942" s="34" t="s">
        <v>9027</v>
      </c>
    </row>
    <row r="1943" spans="1:13" hidden="1">
      <c r="A1943" s="40">
        <f t="shared" si="31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/>
      <c r="L1943" s="34"/>
      <c r="M1943" s="34" t="s">
        <v>9027</v>
      </c>
    </row>
    <row r="1944" spans="1:13" hidden="1">
      <c r="A1944" s="40">
        <f t="shared" si="31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/>
      <c r="L1944" s="34"/>
      <c r="M1944" s="34" t="s">
        <v>9027</v>
      </c>
    </row>
    <row r="1945" spans="1:13" hidden="1">
      <c r="A1945" s="40">
        <f t="shared" si="31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/>
      <c r="L1945" s="34"/>
      <c r="M1945" s="34" t="s">
        <v>9027</v>
      </c>
    </row>
    <row r="1946" spans="1:13" hidden="1">
      <c r="A1946" s="40">
        <f t="shared" si="31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/>
      <c r="L1946" s="34"/>
      <c r="M1946" s="34" t="s">
        <v>9027</v>
      </c>
    </row>
    <row r="1947" spans="1:13" hidden="1">
      <c r="A1947" s="40">
        <f t="shared" si="31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/>
      <c r="L1947" s="34"/>
      <c r="M1947" s="34" t="s">
        <v>9027</v>
      </c>
    </row>
    <row r="1948" spans="1:13" hidden="1">
      <c r="A1948" s="40">
        <f t="shared" si="31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/>
      <c r="L1948" s="34"/>
      <c r="M1948" s="34" t="s">
        <v>9027</v>
      </c>
    </row>
    <row r="1949" spans="1:13" hidden="1">
      <c r="A1949" s="40">
        <f t="shared" si="31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/>
      <c r="L1949" s="34"/>
      <c r="M1949" s="34" t="s">
        <v>9027</v>
      </c>
    </row>
    <row r="1950" spans="1:13" hidden="1">
      <c r="A1950" s="40">
        <f t="shared" si="31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/>
      <c r="L1950" s="34"/>
      <c r="M1950" s="34" t="s">
        <v>9027</v>
      </c>
    </row>
    <row r="1951" spans="1:13" hidden="1">
      <c r="A1951" s="40">
        <f t="shared" si="31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/>
      <c r="L1951" s="34"/>
      <c r="M1951" s="34" t="s">
        <v>9027</v>
      </c>
    </row>
    <row r="1952" spans="1:13" hidden="1">
      <c r="A1952" s="40">
        <f t="shared" si="31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/>
      <c r="L1952" s="34"/>
      <c r="M1952" s="34" t="s">
        <v>9027</v>
      </c>
    </row>
    <row r="1953" spans="1:13" hidden="1">
      <c r="A1953" s="40">
        <f t="shared" si="31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/>
      <c r="L1953" s="34"/>
      <c r="M1953" s="34" t="s">
        <v>9027</v>
      </c>
    </row>
    <row r="1954" spans="1:13" hidden="1">
      <c r="A1954" s="40">
        <f t="shared" si="31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/>
      <c r="L1954" s="34"/>
      <c r="M1954" s="34" t="s">
        <v>9027</v>
      </c>
    </row>
    <row r="1955" spans="1:13" hidden="1">
      <c r="A1955" s="40">
        <f t="shared" si="31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/>
      <c r="L1955" s="34"/>
      <c r="M1955" s="34" t="s">
        <v>9027</v>
      </c>
    </row>
    <row r="1956" spans="1:13" hidden="1">
      <c r="A1956" s="40">
        <f t="shared" si="31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/>
      <c r="L1956" s="34"/>
      <c r="M1956" s="34" t="s">
        <v>9027</v>
      </c>
    </row>
    <row r="1957" spans="1:13" hidden="1">
      <c r="A1957" s="40">
        <f t="shared" si="31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/>
      <c r="L1957" s="34"/>
      <c r="M1957" s="34" t="s">
        <v>9027</v>
      </c>
    </row>
    <row r="1958" spans="1:13" hidden="1">
      <c r="A1958" s="40">
        <f t="shared" si="31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/>
      <c r="L1958" s="34"/>
      <c r="M1958" s="34" t="s">
        <v>9027</v>
      </c>
    </row>
    <row r="1959" spans="1:13" hidden="1">
      <c r="A1959" s="40">
        <f t="shared" si="31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/>
      <c r="L1959" s="34"/>
      <c r="M1959" s="34" t="s">
        <v>9027</v>
      </c>
    </row>
    <row r="1960" spans="1:13" hidden="1">
      <c r="A1960" s="40">
        <f t="shared" si="31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/>
      <c r="L1960" s="34"/>
      <c r="M1960" s="34" t="s">
        <v>9027</v>
      </c>
    </row>
    <row r="1961" spans="1:13" hidden="1">
      <c r="A1961" s="40">
        <f t="shared" si="31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/>
      <c r="L1961" s="34"/>
      <c r="M1961" s="34" t="s">
        <v>9027</v>
      </c>
    </row>
    <row r="1962" spans="1:13" hidden="1">
      <c r="A1962" s="40">
        <f t="shared" si="31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/>
      <c r="L1962" s="34"/>
      <c r="M1962" s="34" t="s">
        <v>9027</v>
      </c>
    </row>
    <row r="1963" spans="1:13" hidden="1">
      <c r="A1963" s="40">
        <f t="shared" si="31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/>
      <c r="L1963" s="34"/>
      <c r="M1963" s="34" t="s">
        <v>9027</v>
      </c>
    </row>
    <row r="1964" spans="1:13" hidden="1">
      <c r="A1964" s="40">
        <f t="shared" si="31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/>
      <c r="L1964" s="34"/>
      <c r="M1964" s="34" t="s">
        <v>9027</v>
      </c>
    </row>
    <row r="1965" spans="1:13" hidden="1">
      <c r="A1965" s="40">
        <f t="shared" si="31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/>
      <c r="L1965" s="34"/>
      <c r="M1965" s="34" t="s">
        <v>9027</v>
      </c>
    </row>
    <row r="1966" spans="1:13" hidden="1">
      <c r="A1966" s="40">
        <f t="shared" si="31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/>
      <c r="L1966" s="34"/>
      <c r="M1966" s="34" t="s">
        <v>9027</v>
      </c>
    </row>
    <row r="1967" spans="1:13" hidden="1">
      <c r="A1967" s="40">
        <f t="shared" si="31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/>
      <c r="L1967" s="34"/>
      <c r="M1967" s="34" t="s">
        <v>9027</v>
      </c>
    </row>
    <row r="1968" spans="1:13" hidden="1">
      <c r="A1968" s="40">
        <f t="shared" si="31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/>
      <c r="L1968" s="34"/>
      <c r="M1968" s="34" t="s">
        <v>9027</v>
      </c>
    </row>
    <row r="1969" spans="1:13" hidden="1">
      <c r="A1969" s="40">
        <f t="shared" si="31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/>
      <c r="L1969" s="34"/>
      <c r="M1969" s="34" t="s">
        <v>9027</v>
      </c>
    </row>
    <row r="1970" spans="1:13" hidden="1">
      <c r="A1970" s="40">
        <f t="shared" si="31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/>
      <c r="L1970" s="34"/>
      <c r="M1970" s="34" t="s">
        <v>9027</v>
      </c>
    </row>
    <row r="1971" spans="1:13" hidden="1">
      <c r="A1971" s="40">
        <f t="shared" si="31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/>
      <c r="L1971" s="34"/>
      <c r="M1971" s="34" t="s">
        <v>9027</v>
      </c>
    </row>
    <row r="1972" spans="1:13" hidden="1">
      <c r="A1972" s="40">
        <f t="shared" si="31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/>
      <c r="L1972" s="34"/>
      <c r="M1972" s="34" t="s">
        <v>9027</v>
      </c>
    </row>
    <row r="1973" spans="1:13" hidden="1">
      <c r="A1973" s="40">
        <f t="shared" si="31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/>
      <c r="L1973" s="34"/>
      <c r="M1973" s="34" t="s">
        <v>9027</v>
      </c>
    </row>
    <row r="1974" spans="1:13" hidden="1">
      <c r="A1974" s="40">
        <f t="shared" si="31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/>
      <c r="L1974" s="34"/>
      <c r="M1974" s="34" t="s">
        <v>9027</v>
      </c>
    </row>
    <row r="1975" spans="1:13" hidden="1">
      <c r="A1975" s="40">
        <f t="shared" si="31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/>
      <c r="L1975" s="34"/>
      <c r="M1975" s="34" t="s">
        <v>9027</v>
      </c>
    </row>
    <row r="1976" spans="1:13" hidden="1">
      <c r="A1976" s="40">
        <f t="shared" si="31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/>
      <c r="L1976" s="34"/>
      <c r="M1976" s="34" t="s">
        <v>9027</v>
      </c>
    </row>
    <row r="1977" spans="1:13" hidden="1">
      <c r="A1977" s="40">
        <f t="shared" si="31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/>
      <c r="L1977" s="34"/>
      <c r="M1977" s="34" t="s">
        <v>9027</v>
      </c>
    </row>
    <row r="1978" spans="1:13" hidden="1">
      <c r="A1978" s="40">
        <f t="shared" si="31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/>
      <c r="L1978" s="34"/>
      <c r="M1978" s="34" t="s">
        <v>9027</v>
      </c>
    </row>
    <row r="1979" spans="1:13" hidden="1">
      <c r="A1979" s="40">
        <f t="shared" si="31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/>
      <c r="L1979" s="34"/>
      <c r="M1979" s="34" t="s">
        <v>9027</v>
      </c>
    </row>
    <row r="1980" spans="1:13" hidden="1">
      <c r="A1980" s="40">
        <f t="shared" si="31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/>
      <c r="L1980" s="34"/>
      <c r="M1980" s="34" t="s">
        <v>9027</v>
      </c>
    </row>
    <row r="1981" spans="1:13" hidden="1">
      <c r="A1981" s="40">
        <f t="shared" si="31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/>
      <c r="L1981" s="34"/>
      <c r="M1981" s="34" t="s">
        <v>9027</v>
      </c>
    </row>
    <row r="1982" spans="1:13" hidden="1">
      <c r="A1982" s="40">
        <f t="shared" si="31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/>
      <c r="L1982" s="34"/>
      <c r="M1982" s="34" t="s">
        <v>9027</v>
      </c>
    </row>
    <row r="1983" spans="1:13" hidden="1">
      <c r="A1983" s="40">
        <f t="shared" si="31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/>
      <c r="L1983" s="34"/>
      <c r="M1983" s="34" t="s">
        <v>9027</v>
      </c>
    </row>
    <row r="1984" spans="1:13" hidden="1">
      <c r="A1984" s="40">
        <f t="shared" si="31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/>
      <c r="L1984" s="34"/>
      <c r="M1984" s="34" t="s">
        <v>9027</v>
      </c>
    </row>
    <row r="1985" spans="1:13" hidden="1">
      <c r="A1985" s="40">
        <f t="shared" si="31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/>
      <c r="L1985" s="34"/>
      <c r="M1985" s="34" t="s">
        <v>9027</v>
      </c>
    </row>
    <row r="1986" spans="1:13" hidden="1">
      <c r="A1986" s="40">
        <f t="shared" si="31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/>
      <c r="L1986" s="34"/>
      <c r="M1986" s="34" t="s">
        <v>9027</v>
      </c>
    </row>
    <row r="1987" spans="1:13" hidden="1">
      <c r="A1987" s="40">
        <f t="shared" si="31"/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/>
      <c r="L1987" s="34"/>
      <c r="M1987" s="34" t="s">
        <v>9027</v>
      </c>
    </row>
    <row r="1988" spans="1:13" hidden="1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/>
      <c r="L1988" s="34"/>
      <c r="M1988" s="34" t="s">
        <v>9027</v>
      </c>
    </row>
    <row r="1989" spans="1:13" hidden="1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/>
      <c r="L1989" s="34"/>
      <c r="M1989" s="34" t="s">
        <v>9027</v>
      </c>
    </row>
    <row r="1990" spans="1:13" hidden="1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/>
      <c r="L1990" s="34"/>
      <c r="M1990" s="34" t="s">
        <v>9027</v>
      </c>
    </row>
    <row r="1991" spans="1:13" hidden="1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/>
      <c r="L1991" s="34"/>
      <c r="M1991" s="34" t="s">
        <v>9027</v>
      </c>
    </row>
    <row r="1992" spans="1:13" hidden="1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/>
      <c r="L1992" s="34"/>
      <c r="M1992" s="34" t="s">
        <v>9027</v>
      </c>
    </row>
    <row r="1993" spans="1:13" hidden="1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/>
      <c r="L1993" s="34"/>
      <c r="M1993" s="34" t="s">
        <v>9027</v>
      </c>
    </row>
    <row r="1994" spans="1:13" hidden="1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/>
      <c r="L1994" s="34"/>
      <c r="M1994" s="34" t="s">
        <v>9027</v>
      </c>
    </row>
    <row r="1995" spans="1:13" hidden="1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/>
      <c r="L1995" s="34"/>
      <c r="M1995" s="34" t="s">
        <v>9027</v>
      </c>
    </row>
    <row r="1996" spans="1:13" hidden="1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/>
      <c r="L1996" s="34"/>
      <c r="M1996" s="34" t="s">
        <v>9027</v>
      </c>
    </row>
    <row r="1997" spans="1:13" hidden="1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/>
      <c r="L1997" s="34"/>
      <c r="M1997" s="34" t="s">
        <v>9027</v>
      </c>
    </row>
    <row r="1998" spans="1:13" hidden="1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/>
      <c r="L1998" s="34"/>
      <c r="M1998" s="34" t="s">
        <v>9027</v>
      </c>
    </row>
    <row r="1999" spans="1:13" hidden="1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/>
      <c r="L1999" s="34"/>
      <c r="M1999" s="34" t="s">
        <v>9027</v>
      </c>
    </row>
    <row r="2000" spans="1:13" hidden="1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/>
      <c r="L2000" s="34"/>
      <c r="M2000" s="34" t="s">
        <v>9027</v>
      </c>
    </row>
    <row r="2001" spans="1:13" hidden="1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/>
      <c r="L2001" s="34"/>
      <c r="M2001" s="34" t="s">
        <v>9027</v>
      </c>
    </row>
    <row r="2002" spans="1:13" hidden="1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/>
      <c r="L2002" s="34"/>
      <c r="M2002" s="34" t="s">
        <v>9027</v>
      </c>
    </row>
    <row r="2003" spans="1:13" hidden="1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/>
      <c r="L2003" s="34"/>
      <c r="M2003" s="34" t="s">
        <v>9027</v>
      </c>
    </row>
    <row r="2004" spans="1:13" hidden="1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/>
      <c r="L2004" s="34"/>
      <c r="M2004" s="34" t="s">
        <v>9027</v>
      </c>
    </row>
    <row r="2005" spans="1:13" hidden="1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/>
      <c r="L2005" s="34"/>
      <c r="M2005" s="34" t="s">
        <v>9027</v>
      </c>
    </row>
    <row r="2006" spans="1:13" hidden="1">
      <c r="A2006" s="40">
        <f t="shared" ref="A2006:A2069" si="32">1+A2005</f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/>
      <c r="L2006" s="34"/>
      <c r="M2006" s="34" t="s">
        <v>9027</v>
      </c>
    </row>
    <row r="2007" spans="1:13" hidden="1">
      <c r="A2007" s="40">
        <f t="shared" si="32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/>
      <c r="L2007" s="34"/>
      <c r="M2007" s="34" t="s">
        <v>9027</v>
      </c>
    </row>
    <row r="2008" spans="1:13" hidden="1">
      <c r="A2008" s="40">
        <f t="shared" si="32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/>
      <c r="L2008" s="34"/>
      <c r="M2008" s="34" t="s">
        <v>9027</v>
      </c>
    </row>
    <row r="2009" spans="1:13" hidden="1">
      <c r="A2009" s="40">
        <f t="shared" si="32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/>
      <c r="L2009" s="34"/>
      <c r="M2009" s="34" t="s">
        <v>9027</v>
      </c>
    </row>
    <row r="2010" spans="1:13" hidden="1">
      <c r="A2010" s="40">
        <f t="shared" si="32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/>
      <c r="L2010" s="34"/>
      <c r="M2010" s="34" t="s">
        <v>9027</v>
      </c>
    </row>
    <row r="2011" spans="1:13" hidden="1">
      <c r="A2011" s="40">
        <f t="shared" si="32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/>
      <c r="L2011" s="34"/>
      <c r="M2011" s="34" t="s">
        <v>9027</v>
      </c>
    </row>
    <row r="2012" spans="1:13" hidden="1">
      <c r="A2012" s="40">
        <f t="shared" si="32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/>
      <c r="L2012" s="34"/>
      <c r="M2012" s="34" t="s">
        <v>9027</v>
      </c>
    </row>
    <row r="2013" spans="1:13" hidden="1">
      <c r="A2013" s="40">
        <f t="shared" si="32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/>
      <c r="L2013" s="34"/>
      <c r="M2013" s="34" t="s">
        <v>9027</v>
      </c>
    </row>
    <row r="2014" spans="1:13" hidden="1">
      <c r="A2014" s="40">
        <f t="shared" si="32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/>
      <c r="L2014" s="34"/>
      <c r="M2014" s="34" t="s">
        <v>9027</v>
      </c>
    </row>
    <row r="2015" spans="1:13" hidden="1">
      <c r="A2015" s="40">
        <f t="shared" si="32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/>
      <c r="L2015" s="34"/>
      <c r="M2015" s="34" t="s">
        <v>9027</v>
      </c>
    </row>
    <row r="2016" spans="1:13" hidden="1">
      <c r="A2016" s="40">
        <f t="shared" si="32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/>
      <c r="L2016" s="34"/>
      <c r="M2016" s="34" t="s">
        <v>9027</v>
      </c>
    </row>
    <row r="2017" spans="1:13" hidden="1">
      <c r="A2017" s="40">
        <f t="shared" si="32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/>
      <c r="L2017" s="34"/>
      <c r="M2017" s="34" t="s">
        <v>9027</v>
      </c>
    </row>
    <row r="2018" spans="1:13" hidden="1">
      <c r="A2018" s="40">
        <f t="shared" si="32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/>
      <c r="L2018" s="34"/>
      <c r="M2018" s="34" t="s">
        <v>9027</v>
      </c>
    </row>
    <row r="2019" spans="1:13" hidden="1">
      <c r="A2019" s="40">
        <f t="shared" si="32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/>
      <c r="L2019" s="34"/>
      <c r="M2019" s="34" t="s">
        <v>9027</v>
      </c>
    </row>
    <row r="2020" spans="1:13" hidden="1">
      <c r="A2020" s="40">
        <f t="shared" si="32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/>
      <c r="L2020" s="34"/>
      <c r="M2020" s="34" t="s">
        <v>9027</v>
      </c>
    </row>
    <row r="2021" spans="1:13" hidden="1">
      <c r="A2021" s="40">
        <f t="shared" si="32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/>
      <c r="L2021" s="34"/>
      <c r="M2021" s="34" t="s">
        <v>9027</v>
      </c>
    </row>
    <row r="2022" spans="1:13" hidden="1">
      <c r="A2022" s="40">
        <f t="shared" si="32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/>
      <c r="L2022" s="34"/>
      <c r="M2022" s="34" t="s">
        <v>9027</v>
      </c>
    </row>
    <row r="2023" spans="1:13" hidden="1">
      <c r="A2023" s="40">
        <f t="shared" si="32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/>
      <c r="L2023" s="34"/>
      <c r="M2023" s="34" t="s">
        <v>9027</v>
      </c>
    </row>
    <row r="2024" spans="1:13" hidden="1">
      <c r="A2024" s="40">
        <f t="shared" si="32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/>
      <c r="L2024" s="34"/>
      <c r="M2024" s="34" t="s">
        <v>9027</v>
      </c>
    </row>
    <row r="2025" spans="1:13" hidden="1">
      <c r="A2025" s="40">
        <f t="shared" si="32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/>
      <c r="L2025" s="34"/>
      <c r="M2025" s="34" t="s">
        <v>9027</v>
      </c>
    </row>
    <row r="2026" spans="1:13" hidden="1">
      <c r="A2026" s="40">
        <f t="shared" si="32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/>
      <c r="L2026" s="34"/>
      <c r="M2026" s="34" t="s">
        <v>9027</v>
      </c>
    </row>
    <row r="2027" spans="1:13" hidden="1">
      <c r="A2027" s="40">
        <f t="shared" si="32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/>
      <c r="L2027" s="34"/>
      <c r="M2027" s="34" t="s">
        <v>9027</v>
      </c>
    </row>
    <row r="2028" spans="1:13" hidden="1">
      <c r="A2028" s="40">
        <f t="shared" si="32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/>
      <c r="L2028" s="34"/>
      <c r="M2028" s="34" t="s">
        <v>9027</v>
      </c>
    </row>
    <row r="2029" spans="1:13" hidden="1">
      <c r="A2029" s="40">
        <f t="shared" si="32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/>
      <c r="L2029" s="34"/>
      <c r="M2029" s="34" t="s">
        <v>9027</v>
      </c>
    </row>
    <row r="2030" spans="1:13" hidden="1">
      <c r="A2030" s="40">
        <f t="shared" si="32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/>
      <c r="L2030" s="34"/>
      <c r="M2030" s="34" t="s">
        <v>9027</v>
      </c>
    </row>
    <row r="2031" spans="1:13" hidden="1">
      <c r="A2031" s="40">
        <f t="shared" si="32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/>
      <c r="L2031" s="34"/>
      <c r="M2031" s="34" t="s">
        <v>9027</v>
      </c>
    </row>
    <row r="2032" spans="1:13" hidden="1">
      <c r="A2032" s="40">
        <f t="shared" si="32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/>
      <c r="L2032" s="34"/>
      <c r="M2032" s="34" t="s">
        <v>9027</v>
      </c>
    </row>
    <row r="2033" spans="1:13" hidden="1">
      <c r="A2033" s="40">
        <f t="shared" si="32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/>
      <c r="L2033" s="34"/>
      <c r="M2033" s="34" t="s">
        <v>9027</v>
      </c>
    </row>
    <row r="2034" spans="1:13" hidden="1">
      <c r="A2034" s="40">
        <f t="shared" si="32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/>
      <c r="L2034" s="34"/>
      <c r="M2034" s="34" t="s">
        <v>9027</v>
      </c>
    </row>
    <row r="2035" spans="1:13" hidden="1">
      <c r="A2035" s="40">
        <f t="shared" si="32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/>
      <c r="L2035" s="34"/>
      <c r="M2035" s="34" t="s">
        <v>9027</v>
      </c>
    </row>
    <row r="2036" spans="1:13" hidden="1">
      <c r="A2036" s="40">
        <f t="shared" si="32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/>
      <c r="L2036" s="34"/>
      <c r="M2036" s="34" t="s">
        <v>9027</v>
      </c>
    </row>
    <row r="2037" spans="1:13" hidden="1">
      <c r="A2037" s="40">
        <f t="shared" si="32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/>
      <c r="L2037" s="34"/>
      <c r="M2037" s="34" t="s">
        <v>9027</v>
      </c>
    </row>
    <row r="2038" spans="1:13" hidden="1">
      <c r="A2038" s="40">
        <f t="shared" si="32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/>
      <c r="L2038" s="34"/>
      <c r="M2038" s="34" t="s">
        <v>9027</v>
      </c>
    </row>
    <row r="2039" spans="1:13" hidden="1">
      <c r="A2039" s="40">
        <f t="shared" si="32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/>
      <c r="L2039" s="34"/>
      <c r="M2039" s="34" t="s">
        <v>9027</v>
      </c>
    </row>
    <row r="2040" spans="1:13" hidden="1">
      <c r="A2040" s="40">
        <f t="shared" si="32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/>
      <c r="L2040" s="34"/>
      <c r="M2040" s="34" t="s">
        <v>9027</v>
      </c>
    </row>
    <row r="2041" spans="1:13" hidden="1">
      <c r="A2041" s="40">
        <f t="shared" si="32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/>
      <c r="L2041" s="34"/>
      <c r="M2041" s="34" t="s">
        <v>9027</v>
      </c>
    </row>
    <row r="2042" spans="1:13" hidden="1">
      <c r="A2042" s="40">
        <f t="shared" si="32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/>
      <c r="L2042" s="34"/>
      <c r="M2042" s="34" t="s">
        <v>9027</v>
      </c>
    </row>
    <row r="2043" spans="1:13" hidden="1">
      <c r="A2043" s="40">
        <f t="shared" si="32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/>
      <c r="L2043" s="34"/>
      <c r="M2043" s="34" t="s">
        <v>9027</v>
      </c>
    </row>
    <row r="2044" spans="1:13" hidden="1">
      <c r="A2044" s="40">
        <f t="shared" si="32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/>
      <c r="L2044" s="34"/>
      <c r="M2044" s="34" t="s">
        <v>9027</v>
      </c>
    </row>
    <row r="2045" spans="1:13" hidden="1">
      <c r="A2045" s="40">
        <f t="shared" si="32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/>
      <c r="L2045" s="34"/>
      <c r="M2045" s="34" t="s">
        <v>9027</v>
      </c>
    </row>
    <row r="2046" spans="1:13" hidden="1">
      <c r="A2046" s="40">
        <f t="shared" si="32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/>
      <c r="L2046" s="34"/>
      <c r="M2046" s="34" t="s">
        <v>9027</v>
      </c>
    </row>
    <row r="2047" spans="1:13" hidden="1">
      <c r="A2047" s="40">
        <f t="shared" si="32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/>
      <c r="L2047" s="34"/>
      <c r="M2047" s="34" t="s">
        <v>9027</v>
      </c>
    </row>
    <row r="2048" spans="1:13" hidden="1">
      <c r="A2048" s="40">
        <f t="shared" si="32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/>
      <c r="L2048" s="34"/>
      <c r="M2048" s="34" t="s">
        <v>9027</v>
      </c>
    </row>
    <row r="2049" spans="1:13" hidden="1">
      <c r="A2049" s="40">
        <f t="shared" si="32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/>
      <c r="L2049" s="34"/>
      <c r="M2049" s="34" t="s">
        <v>9027</v>
      </c>
    </row>
    <row r="2050" spans="1:13" hidden="1">
      <c r="A2050" s="40">
        <f t="shared" si="32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/>
      <c r="L2050" s="34"/>
      <c r="M2050" s="34" t="s">
        <v>9027</v>
      </c>
    </row>
    <row r="2051" spans="1:13" hidden="1">
      <c r="A2051" s="40">
        <f t="shared" si="32"/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/>
      <c r="L2051" s="34"/>
      <c r="M2051" s="34" t="s">
        <v>9027</v>
      </c>
    </row>
    <row r="2052" spans="1:13" hidden="1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/>
      <c r="L2052" s="34"/>
      <c r="M2052" s="34" t="s">
        <v>9027</v>
      </c>
    </row>
    <row r="2053" spans="1:13" hidden="1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/>
      <c r="L2053" s="34"/>
      <c r="M2053" s="34" t="s">
        <v>9027</v>
      </c>
    </row>
    <row r="2054" spans="1:13" hidden="1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/>
      <c r="L2054" s="34"/>
      <c r="M2054" s="34" t="s">
        <v>9027</v>
      </c>
    </row>
    <row r="2055" spans="1:13" hidden="1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/>
      <c r="L2055" s="34"/>
      <c r="M2055" s="34" t="s">
        <v>9027</v>
      </c>
    </row>
    <row r="2056" spans="1:13" hidden="1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/>
      <c r="L2056" s="34"/>
      <c r="M2056" s="34" t="s">
        <v>9027</v>
      </c>
    </row>
    <row r="2057" spans="1:13" hidden="1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/>
      <c r="L2057" s="34"/>
      <c r="M2057" s="34" t="s">
        <v>9027</v>
      </c>
    </row>
    <row r="2058" spans="1:13" hidden="1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/>
      <c r="L2058" s="34"/>
      <c r="M2058" s="34" t="s">
        <v>9027</v>
      </c>
    </row>
    <row r="2059" spans="1:13" hidden="1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/>
      <c r="L2059" s="34"/>
      <c r="M2059" s="34" t="s">
        <v>9027</v>
      </c>
    </row>
    <row r="2060" spans="1:13" hidden="1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/>
      <c r="L2060" s="34"/>
      <c r="M2060" s="34" t="s">
        <v>9027</v>
      </c>
    </row>
    <row r="2061" spans="1:13" hidden="1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/>
      <c r="L2061" s="34"/>
      <c r="M2061" s="34" t="s">
        <v>9027</v>
      </c>
    </row>
    <row r="2062" spans="1:13" hidden="1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/>
      <c r="L2062" s="34"/>
      <c r="M2062" s="34" t="s">
        <v>9027</v>
      </c>
    </row>
    <row r="2063" spans="1:13" hidden="1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/>
      <c r="L2063" s="34"/>
      <c r="M2063" s="34" t="s">
        <v>9027</v>
      </c>
    </row>
    <row r="2064" spans="1:13" hidden="1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/>
      <c r="L2064" s="34"/>
      <c r="M2064" s="34" t="s">
        <v>9027</v>
      </c>
    </row>
    <row r="2065" spans="1:13" hidden="1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/>
      <c r="L2065" s="34"/>
      <c r="M2065" s="34" t="s">
        <v>9027</v>
      </c>
    </row>
    <row r="2066" spans="1:13" hidden="1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/>
      <c r="L2066" s="34"/>
      <c r="M2066" s="34" t="s">
        <v>9027</v>
      </c>
    </row>
    <row r="2067" spans="1:13" hidden="1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/>
      <c r="L2067" s="34"/>
      <c r="M2067" s="34" t="s">
        <v>9027</v>
      </c>
    </row>
    <row r="2068" spans="1:13" hidden="1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/>
      <c r="L2068" s="34"/>
      <c r="M2068" s="34" t="s">
        <v>9027</v>
      </c>
    </row>
    <row r="2069" spans="1:13" hidden="1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/>
      <c r="L2069" s="34"/>
      <c r="M2069" s="34" t="s">
        <v>9027</v>
      </c>
    </row>
    <row r="2070" spans="1:13" hidden="1">
      <c r="A2070" s="40">
        <f t="shared" ref="A2070:A2101" si="33">1+A2069</f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/>
      <c r="L2070" s="34"/>
      <c r="M2070" s="34" t="s">
        <v>9027</v>
      </c>
    </row>
    <row r="2071" spans="1:13" hidden="1">
      <c r="A2071" s="40">
        <f t="shared" si="33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/>
      <c r="L2071" s="34"/>
      <c r="M2071" s="34" t="s">
        <v>9027</v>
      </c>
    </row>
    <row r="2072" spans="1:13" hidden="1">
      <c r="A2072" s="40">
        <f t="shared" si="33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/>
      <c r="L2072" s="34"/>
      <c r="M2072" s="34" t="s">
        <v>9027</v>
      </c>
    </row>
    <row r="2073" spans="1:13" hidden="1">
      <c r="A2073" s="40">
        <f t="shared" si="33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/>
      <c r="L2073" s="34"/>
      <c r="M2073" s="34" t="s">
        <v>9027</v>
      </c>
    </row>
    <row r="2074" spans="1:13" hidden="1">
      <c r="A2074" s="40">
        <f t="shared" si="33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/>
      <c r="L2074" s="34"/>
      <c r="M2074" s="34" t="s">
        <v>9027</v>
      </c>
    </row>
    <row r="2075" spans="1:13" hidden="1">
      <c r="A2075" s="40">
        <f t="shared" si="33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/>
      <c r="L2075" s="34"/>
      <c r="M2075" s="34" t="s">
        <v>9027</v>
      </c>
    </row>
    <row r="2076" spans="1:13" hidden="1">
      <c r="A2076" s="40">
        <f t="shared" si="33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/>
      <c r="L2076" s="34"/>
      <c r="M2076" s="34" t="s">
        <v>9027</v>
      </c>
    </row>
    <row r="2077" spans="1:13" hidden="1">
      <c r="A2077" s="40">
        <f t="shared" si="33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/>
      <c r="L2077" s="34"/>
      <c r="M2077" s="34" t="s">
        <v>9027</v>
      </c>
    </row>
    <row r="2078" spans="1:13" hidden="1">
      <c r="A2078" s="40">
        <f t="shared" si="33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/>
      <c r="L2078" s="34"/>
      <c r="M2078" s="34" t="s">
        <v>9027</v>
      </c>
    </row>
    <row r="2079" spans="1:13" hidden="1">
      <c r="A2079" s="40">
        <f t="shared" si="33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/>
      <c r="L2079" s="34"/>
      <c r="M2079" s="34" t="s">
        <v>9027</v>
      </c>
    </row>
    <row r="2080" spans="1:13" hidden="1">
      <c r="A2080" s="40">
        <f t="shared" si="33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/>
      <c r="L2080" s="34"/>
      <c r="M2080" s="34" t="s">
        <v>9027</v>
      </c>
    </row>
    <row r="2081" spans="1:13" hidden="1">
      <c r="A2081" s="40">
        <f t="shared" si="33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/>
      <c r="L2081" s="34"/>
      <c r="M2081" s="34" t="s">
        <v>9027</v>
      </c>
    </row>
    <row r="2082" spans="1:13" hidden="1">
      <c r="A2082" s="40">
        <f t="shared" si="33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/>
      <c r="L2082" s="34"/>
      <c r="M2082" s="34" t="s">
        <v>9027</v>
      </c>
    </row>
    <row r="2083" spans="1:13" hidden="1">
      <c r="A2083" s="40">
        <f t="shared" si="33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/>
      <c r="L2083" s="34"/>
      <c r="M2083" s="34" t="s">
        <v>9027</v>
      </c>
    </row>
    <row r="2084" spans="1:13" hidden="1">
      <c r="A2084" s="40">
        <f t="shared" si="33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/>
      <c r="L2084" s="34"/>
      <c r="M2084" s="34" t="s">
        <v>9027</v>
      </c>
    </row>
    <row r="2085" spans="1:13" hidden="1">
      <c r="A2085" s="40">
        <f t="shared" si="33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/>
      <c r="L2085" s="34"/>
      <c r="M2085" s="34" t="s">
        <v>9027</v>
      </c>
    </row>
    <row r="2086" spans="1:13" hidden="1">
      <c r="A2086" s="40">
        <f t="shared" si="33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/>
      <c r="L2086" s="34"/>
      <c r="M2086" s="34" t="s">
        <v>9027</v>
      </c>
    </row>
    <row r="2087" spans="1:13" hidden="1">
      <c r="A2087" s="40">
        <f t="shared" si="33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/>
      <c r="L2087" s="34"/>
      <c r="M2087" s="34" t="s">
        <v>9027</v>
      </c>
    </row>
    <row r="2088" spans="1:13" hidden="1">
      <c r="A2088" s="40">
        <f t="shared" si="33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/>
      <c r="L2088" s="34"/>
      <c r="M2088" s="34" t="s">
        <v>9027</v>
      </c>
    </row>
    <row r="2089" spans="1:13" hidden="1">
      <c r="A2089" s="40">
        <f t="shared" si="33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/>
      <c r="L2089" s="34"/>
      <c r="M2089" s="34" t="s">
        <v>9027</v>
      </c>
    </row>
    <row r="2090" spans="1:13" hidden="1">
      <c r="A2090" s="40">
        <f t="shared" si="33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/>
      <c r="L2090" s="34"/>
      <c r="M2090" s="34" t="s">
        <v>9027</v>
      </c>
    </row>
    <row r="2091" spans="1:13" hidden="1">
      <c r="A2091" s="40">
        <f t="shared" si="33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/>
      <c r="L2091" s="34"/>
      <c r="M2091" s="34" t="s">
        <v>9027</v>
      </c>
    </row>
    <row r="2092" spans="1:13" hidden="1">
      <c r="A2092" s="40">
        <f t="shared" si="33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/>
      <c r="L2092" s="34"/>
      <c r="M2092" s="34" t="s">
        <v>12134</v>
      </c>
    </row>
    <row r="2093" spans="1:13" hidden="1">
      <c r="A2093" s="40">
        <f t="shared" si="33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/>
      <c r="L2093" s="34"/>
      <c r="M2093" s="34" t="s">
        <v>12134</v>
      </c>
    </row>
    <row r="2094" spans="1:13" hidden="1">
      <c r="A2094" s="40">
        <f t="shared" si="33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/>
      <c r="L2094" s="34"/>
      <c r="M2094" s="34" t="s">
        <v>12134</v>
      </c>
    </row>
    <row r="2095" spans="1:13" hidden="1">
      <c r="A2095" s="40">
        <f t="shared" si="33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/>
      <c r="L2095" s="34"/>
      <c r="M2095" s="34" t="s">
        <v>12134</v>
      </c>
    </row>
    <row r="2096" spans="1:13" hidden="1">
      <c r="A2096" s="40">
        <f t="shared" si="33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/>
      <c r="L2096" s="34"/>
      <c r="M2096" s="34" t="s">
        <v>12134</v>
      </c>
    </row>
    <row r="2097" spans="1:13" hidden="1">
      <c r="A2097" s="40">
        <f t="shared" si="33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/>
      <c r="L2097" s="34"/>
      <c r="M2097" s="34" t="s">
        <v>12134</v>
      </c>
    </row>
    <row r="2098" spans="1:13" hidden="1">
      <c r="A2098" s="40">
        <f t="shared" si="33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/>
      <c r="L2098" s="34"/>
      <c r="M2098" s="34" t="s">
        <v>12134</v>
      </c>
    </row>
    <row r="2099" spans="1:13" hidden="1">
      <c r="A2099" s="40">
        <f t="shared" si="33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/>
      <c r="L2099" s="34"/>
      <c r="M2099" s="34" t="s">
        <v>12134</v>
      </c>
    </row>
    <row r="2100" spans="1:13" hidden="1">
      <c r="A2100" s="40">
        <f t="shared" si="33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/>
      <c r="L2100" s="34"/>
      <c r="M2100" s="34" t="s">
        <v>12134</v>
      </c>
    </row>
    <row r="2101" spans="1:13" hidden="1">
      <c r="A2101" s="40">
        <f t="shared" si="33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/>
      <c r="L2101" s="34"/>
      <c r="M2101" s="34" t="s">
        <v>12134</v>
      </c>
    </row>
    <row r="2102" spans="1:13" hidden="1">
      <c r="A2102" s="40">
        <f t="shared" ref="A2102:A2133" si="34">1+A2101</f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/>
      <c r="L2102" s="34"/>
      <c r="M2102" s="34" t="s">
        <v>12131</v>
      </c>
    </row>
    <row r="2103" spans="1:13" hidden="1">
      <c r="A2103" s="40">
        <f t="shared" si="34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/>
      <c r="L2103" s="34"/>
      <c r="M2103" s="34" t="s">
        <v>12131</v>
      </c>
    </row>
    <row r="2104" spans="1:13" hidden="1">
      <c r="A2104" s="40">
        <f t="shared" si="34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/>
      <c r="L2104" s="34"/>
      <c r="M2104" s="34" t="s">
        <v>12131</v>
      </c>
    </row>
    <row r="2105" spans="1:13" hidden="1">
      <c r="A2105" s="40">
        <f t="shared" si="34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/>
      <c r="L2105" s="34"/>
      <c r="M2105" s="34" t="s">
        <v>12131</v>
      </c>
    </row>
    <row r="2106" spans="1:13" hidden="1">
      <c r="A2106" s="40">
        <f t="shared" si="34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/>
      <c r="L2106" s="34"/>
      <c r="M2106" s="34" t="s">
        <v>12131</v>
      </c>
    </row>
    <row r="2107" spans="1:13" hidden="1">
      <c r="A2107" s="40">
        <f t="shared" si="34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/>
      <c r="L2107" s="34"/>
      <c r="M2107" s="34" t="s">
        <v>12131</v>
      </c>
    </row>
    <row r="2108" spans="1:13" hidden="1">
      <c r="A2108" s="40">
        <f t="shared" si="34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/>
      <c r="L2108" s="34"/>
      <c r="M2108" s="34" t="s">
        <v>12131</v>
      </c>
    </row>
    <row r="2109" spans="1:13" hidden="1">
      <c r="A2109" s="40">
        <f t="shared" si="34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/>
      <c r="L2109" s="34"/>
      <c r="M2109" s="34" t="s">
        <v>12131</v>
      </c>
    </row>
    <row r="2110" spans="1:13" hidden="1">
      <c r="A2110" s="40">
        <f t="shared" si="34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/>
      <c r="L2110" s="34"/>
      <c r="M2110" s="34" t="s">
        <v>12131</v>
      </c>
    </row>
    <row r="2111" spans="1:13" hidden="1">
      <c r="A2111" s="40">
        <f t="shared" si="34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/>
      <c r="L2111" s="34"/>
      <c r="M2111" s="34" t="s">
        <v>12131</v>
      </c>
    </row>
    <row r="2112" spans="1:13" hidden="1">
      <c r="A2112" s="40">
        <f t="shared" si="34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/>
      <c r="L2112" s="34"/>
      <c r="M2112" s="34" t="s">
        <v>12131</v>
      </c>
    </row>
    <row r="2113" spans="1:13" hidden="1">
      <c r="A2113" s="40">
        <f t="shared" si="34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/>
      <c r="L2113" s="34"/>
      <c r="M2113" s="34" t="s">
        <v>12131</v>
      </c>
    </row>
    <row r="2114" spans="1:13" hidden="1">
      <c r="A2114" s="40">
        <f t="shared" si="34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/>
      <c r="L2114" s="34"/>
      <c r="M2114" s="34" t="s">
        <v>12131</v>
      </c>
    </row>
    <row r="2115" spans="1:13" hidden="1">
      <c r="A2115" s="40">
        <f t="shared" si="34"/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/>
      <c r="L2115" s="34"/>
      <c r="M2115" s="34" t="s">
        <v>12131</v>
      </c>
    </row>
    <row r="2116" spans="1:13" hidden="1">
      <c r="A2116" s="40">
        <f t="shared" si="34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/>
      <c r="L2116" s="34"/>
      <c r="M2116" s="34" t="s">
        <v>12131</v>
      </c>
    </row>
    <row r="2117" spans="1:13" hidden="1">
      <c r="A2117" s="40">
        <f t="shared" si="34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/>
      <c r="L2117" s="34"/>
      <c r="M2117" s="34" t="s">
        <v>12131</v>
      </c>
    </row>
    <row r="2118" spans="1:13" hidden="1">
      <c r="A2118" s="40">
        <f t="shared" si="34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/>
      <c r="L2118" s="34"/>
      <c r="M2118" s="34" t="s">
        <v>12131</v>
      </c>
    </row>
    <row r="2119" spans="1:13" hidden="1">
      <c r="A2119" s="40">
        <f t="shared" si="34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/>
      <c r="L2119" s="34"/>
      <c r="M2119" s="34" t="s">
        <v>12131</v>
      </c>
    </row>
    <row r="2120" spans="1:13" hidden="1">
      <c r="A2120" s="40">
        <f t="shared" si="34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/>
      <c r="L2120" s="34"/>
      <c r="M2120" s="34" t="s">
        <v>12131</v>
      </c>
    </row>
    <row r="2121" spans="1:13" hidden="1">
      <c r="A2121" s="40">
        <f t="shared" si="34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/>
      <c r="L2121" s="34"/>
      <c r="M2121" s="34" t="s">
        <v>12131</v>
      </c>
    </row>
    <row r="2122" spans="1:13" hidden="1">
      <c r="A2122" s="40">
        <f t="shared" si="34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/>
      <c r="L2122" s="34"/>
      <c r="M2122" s="34" t="s">
        <v>12131</v>
      </c>
    </row>
    <row r="2123" spans="1:13" hidden="1">
      <c r="A2123" s="40">
        <f t="shared" si="34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/>
      <c r="L2123" s="34"/>
      <c r="M2123" s="34" t="s">
        <v>12131</v>
      </c>
    </row>
    <row r="2124" spans="1:13" hidden="1">
      <c r="A2124" s="40">
        <f t="shared" si="34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/>
      <c r="L2124" s="34"/>
      <c r="M2124" s="34" t="s">
        <v>12131</v>
      </c>
    </row>
    <row r="2125" spans="1:13" hidden="1">
      <c r="A2125" s="40">
        <f t="shared" si="34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/>
      <c r="L2125" s="34"/>
      <c r="M2125" s="34" t="s">
        <v>12131</v>
      </c>
    </row>
    <row r="2126" spans="1:13" hidden="1">
      <c r="A2126" s="40">
        <f t="shared" si="34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/>
      <c r="L2126" s="34"/>
      <c r="M2126" s="34" t="s">
        <v>12131</v>
      </c>
    </row>
    <row r="2127" spans="1:13" hidden="1">
      <c r="A2127" s="40">
        <f t="shared" si="34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/>
      <c r="L2127" s="34"/>
      <c r="M2127" s="34" t="s">
        <v>12131</v>
      </c>
    </row>
    <row r="2128" spans="1:13" hidden="1">
      <c r="A2128" s="40">
        <f t="shared" si="34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/>
      <c r="L2128" s="34"/>
      <c r="M2128" s="34" t="s">
        <v>12131</v>
      </c>
    </row>
    <row r="2129" spans="1:13" hidden="1">
      <c r="A2129" s="40">
        <f t="shared" si="34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/>
      <c r="L2129" s="34"/>
      <c r="M2129" s="34" t="s">
        <v>12131</v>
      </c>
    </row>
    <row r="2130" spans="1:13" hidden="1">
      <c r="A2130" s="40">
        <f t="shared" si="34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/>
      <c r="L2130" s="34"/>
      <c r="M2130" s="34" t="s">
        <v>12131</v>
      </c>
    </row>
    <row r="2131" spans="1:13" hidden="1">
      <c r="A2131" s="40">
        <f t="shared" si="34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/>
      <c r="L2131" s="34"/>
      <c r="M2131" s="34" t="s">
        <v>12131</v>
      </c>
    </row>
    <row r="2132" spans="1:13" hidden="1">
      <c r="A2132" s="40">
        <f t="shared" si="34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/>
      <c r="L2132" s="34"/>
      <c r="M2132" s="34" t="s">
        <v>12131</v>
      </c>
    </row>
    <row r="2133" spans="1:13" hidden="1">
      <c r="A2133" s="40">
        <f t="shared" si="34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/>
      <c r="L2133" s="34"/>
      <c r="M2133" s="34" t="s">
        <v>12131</v>
      </c>
    </row>
    <row r="2134" spans="1:13" hidden="1">
      <c r="A2134" s="40">
        <f t="shared" ref="A2134:A2165" si="35">1+A2133</f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/>
      <c r="L2134" s="34"/>
      <c r="M2134" s="34" t="s">
        <v>12131</v>
      </c>
    </row>
    <row r="2135" spans="1:13" hidden="1">
      <c r="A2135" s="40">
        <f t="shared" si="35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/>
      <c r="L2135" s="34"/>
      <c r="M2135" s="34" t="s">
        <v>12131</v>
      </c>
    </row>
    <row r="2136" spans="1:13" hidden="1">
      <c r="A2136" s="40">
        <f t="shared" si="35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/>
      <c r="L2136" s="34"/>
      <c r="M2136" s="34" t="s">
        <v>12131</v>
      </c>
    </row>
    <row r="2137" spans="1:13" hidden="1">
      <c r="A2137" s="40">
        <f t="shared" si="35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/>
      <c r="L2137" s="34"/>
      <c r="M2137" s="34" t="s">
        <v>12131</v>
      </c>
    </row>
    <row r="2138" spans="1:13" hidden="1">
      <c r="A2138" s="40">
        <f t="shared" si="35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/>
      <c r="L2138" s="34"/>
      <c r="M2138" s="34" t="s">
        <v>12131</v>
      </c>
    </row>
    <row r="2139" spans="1:13" hidden="1">
      <c r="A2139" s="40">
        <f t="shared" si="35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/>
      <c r="L2139" s="34"/>
      <c r="M2139" s="34" t="s">
        <v>12131</v>
      </c>
    </row>
    <row r="2140" spans="1:13" hidden="1">
      <c r="A2140" s="40">
        <f t="shared" si="35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/>
      <c r="L2140" s="34"/>
      <c r="M2140" s="34" t="s">
        <v>12131</v>
      </c>
    </row>
    <row r="2141" spans="1:13" hidden="1">
      <c r="A2141" s="40">
        <f t="shared" si="35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/>
      <c r="L2141" s="34"/>
      <c r="M2141" s="34" t="s">
        <v>12131</v>
      </c>
    </row>
    <row r="2142" spans="1:13" hidden="1">
      <c r="A2142" s="40">
        <f t="shared" si="35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/>
      <c r="L2142" s="34"/>
      <c r="M2142" s="34" t="s">
        <v>12131</v>
      </c>
    </row>
    <row r="2143" spans="1:13" hidden="1">
      <c r="A2143" s="40">
        <f t="shared" si="35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/>
      <c r="L2143" s="34"/>
      <c r="M2143" s="34" t="s">
        <v>12131</v>
      </c>
    </row>
    <row r="2144" spans="1:13" hidden="1">
      <c r="A2144" s="40">
        <f t="shared" si="35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/>
      <c r="L2144" s="34"/>
      <c r="M2144" s="34" t="s">
        <v>12131</v>
      </c>
    </row>
    <row r="2145" spans="1:13" hidden="1">
      <c r="A2145" s="40">
        <f t="shared" si="35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/>
      <c r="L2145" s="34"/>
      <c r="M2145" s="34" t="s">
        <v>12131</v>
      </c>
    </row>
    <row r="2146" spans="1:13" hidden="1">
      <c r="A2146" s="40">
        <f t="shared" si="35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/>
      <c r="L2146" s="34"/>
      <c r="M2146" s="34" t="s">
        <v>12131</v>
      </c>
    </row>
    <row r="2147" spans="1:13" hidden="1">
      <c r="A2147" s="40">
        <f t="shared" si="35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/>
      <c r="L2147" s="34"/>
      <c r="M2147" s="34" t="s">
        <v>12131</v>
      </c>
    </row>
    <row r="2148" spans="1:13" hidden="1">
      <c r="A2148" s="40">
        <f t="shared" si="35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/>
      <c r="L2148" s="34"/>
      <c r="M2148" s="34" t="s">
        <v>12131</v>
      </c>
    </row>
    <row r="2149" spans="1:13" hidden="1">
      <c r="A2149" s="40">
        <f t="shared" si="35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/>
      <c r="L2149" s="34"/>
      <c r="M2149" s="34" t="s">
        <v>12131</v>
      </c>
    </row>
    <row r="2150" spans="1:13" hidden="1">
      <c r="A2150" s="40">
        <f t="shared" si="35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/>
      <c r="L2150" s="34"/>
      <c r="M2150" s="34" t="s">
        <v>12131</v>
      </c>
    </row>
    <row r="2151" spans="1:13" hidden="1">
      <c r="A2151" s="40">
        <f t="shared" si="35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/>
      <c r="L2151" s="34"/>
      <c r="M2151" s="34" t="s">
        <v>12131</v>
      </c>
    </row>
    <row r="2152" spans="1:13" hidden="1">
      <c r="A2152" s="40">
        <f t="shared" si="35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/>
      <c r="L2152" s="34"/>
      <c r="M2152" s="34" t="s">
        <v>12131</v>
      </c>
    </row>
    <row r="2153" spans="1:13" hidden="1">
      <c r="A2153" s="40">
        <f t="shared" si="35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/>
      <c r="L2153" s="34"/>
      <c r="M2153" s="34" t="s">
        <v>12131</v>
      </c>
    </row>
    <row r="2154" spans="1:13" hidden="1">
      <c r="A2154" s="40">
        <f t="shared" si="35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/>
      <c r="L2154" s="34"/>
      <c r="M2154" s="34" t="s">
        <v>12131</v>
      </c>
    </row>
    <row r="2155" spans="1:13" hidden="1">
      <c r="A2155" s="40">
        <f t="shared" si="35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/>
      <c r="L2155" s="34"/>
      <c r="M2155" s="34" t="s">
        <v>12131</v>
      </c>
    </row>
    <row r="2156" spans="1:13" hidden="1">
      <c r="A2156" s="40">
        <f t="shared" si="35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/>
      <c r="L2156" s="34"/>
      <c r="M2156" s="34" t="s">
        <v>12131</v>
      </c>
    </row>
    <row r="2157" spans="1:13" hidden="1">
      <c r="A2157" s="40">
        <f t="shared" si="35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/>
      <c r="L2157" s="34"/>
      <c r="M2157" s="34" t="s">
        <v>12131</v>
      </c>
    </row>
    <row r="2158" spans="1:13" hidden="1">
      <c r="A2158" s="40">
        <f t="shared" si="35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/>
      <c r="L2158" s="34"/>
      <c r="M2158" s="34" t="s">
        <v>12131</v>
      </c>
    </row>
    <row r="2159" spans="1:13" hidden="1">
      <c r="A2159" s="40">
        <f t="shared" si="35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/>
      <c r="L2159" s="34"/>
      <c r="M2159" s="34" t="s">
        <v>12131</v>
      </c>
    </row>
    <row r="2160" spans="1:13" hidden="1">
      <c r="A2160" s="40">
        <f t="shared" si="35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/>
      <c r="L2160" s="34"/>
      <c r="M2160" s="34" t="s">
        <v>12131</v>
      </c>
    </row>
    <row r="2161" spans="1:13" hidden="1">
      <c r="A2161" s="40">
        <f t="shared" si="35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/>
      <c r="L2161" s="34"/>
      <c r="M2161" s="34" t="s">
        <v>12131</v>
      </c>
    </row>
    <row r="2162" spans="1:13" hidden="1">
      <c r="A2162" s="40">
        <f t="shared" si="35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/>
      <c r="L2162" s="34"/>
      <c r="M2162" s="34" t="s">
        <v>12131</v>
      </c>
    </row>
    <row r="2163" spans="1:13" hidden="1">
      <c r="A2163" s="40">
        <f t="shared" si="35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/>
      <c r="L2163" s="34"/>
      <c r="M2163" s="34" t="s">
        <v>12131</v>
      </c>
    </row>
    <row r="2164" spans="1:13" hidden="1">
      <c r="A2164" s="40">
        <f t="shared" si="35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/>
      <c r="L2164" s="34"/>
      <c r="M2164" s="34" t="s">
        <v>12131</v>
      </c>
    </row>
    <row r="2165" spans="1:13" hidden="1">
      <c r="A2165" s="40">
        <f t="shared" si="35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/>
      <c r="L2165" s="34"/>
      <c r="M2165" s="34" t="s">
        <v>12131</v>
      </c>
    </row>
    <row r="2166" spans="1:13" hidden="1">
      <c r="A2166" s="40">
        <f t="shared" ref="A2166:A2197" si="36">1+A2165</f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/>
      <c r="L2166" s="34"/>
      <c r="M2166" s="34" t="s">
        <v>12131</v>
      </c>
    </row>
    <row r="2167" spans="1:13" hidden="1">
      <c r="A2167" s="40">
        <f t="shared" si="36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/>
      <c r="L2167" s="34"/>
      <c r="M2167" s="34" t="s">
        <v>12131</v>
      </c>
    </row>
    <row r="2168" spans="1:13" hidden="1">
      <c r="A2168" s="40">
        <f t="shared" si="36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/>
      <c r="L2168" s="34"/>
      <c r="M2168" s="34" t="s">
        <v>12131</v>
      </c>
    </row>
    <row r="2169" spans="1:13" hidden="1">
      <c r="A2169" s="40">
        <f t="shared" si="36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/>
      <c r="L2169" s="34"/>
      <c r="M2169" s="34" t="s">
        <v>12131</v>
      </c>
    </row>
    <row r="2170" spans="1:13" hidden="1">
      <c r="A2170" s="40">
        <f t="shared" si="36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/>
      <c r="L2170" s="34"/>
      <c r="M2170" s="34" t="s">
        <v>12131</v>
      </c>
    </row>
    <row r="2171" spans="1:13" hidden="1">
      <c r="A2171" s="40">
        <f t="shared" si="36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/>
      <c r="L2171" s="34"/>
      <c r="M2171" s="34" t="s">
        <v>12131</v>
      </c>
    </row>
    <row r="2172" spans="1:13" hidden="1">
      <c r="A2172" s="40">
        <f t="shared" si="36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/>
      <c r="L2172" s="34"/>
      <c r="M2172" s="34" t="s">
        <v>12131</v>
      </c>
    </row>
    <row r="2173" spans="1:13" hidden="1">
      <c r="A2173" s="40">
        <f t="shared" si="36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/>
      <c r="L2173" s="34"/>
      <c r="M2173" s="34" t="s">
        <v>12131</v>
      </c>
    </row>
    <row r="2174" spans="1:13" hidden="1">
      <c r="A2174" s="40">
        <f t="shared" si="36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/>
      <c r="L2174" s="34"/>
      <c r="M2174" s="34" t="s">
        <v>12131</v>
      </c>
    </row>
    <row r="2175" spans="1:13" hidden="1">
      <c r="A2175" s="40">
        <f t="shared" si="36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/>
      <c r="L2175" s="34"/>
      <c r="M2175" s="34" t="s">
        <v>12131</v>
      </c>
    </row>
    <row r="2176" spans="1:13" hidden="1">
      <c r="A2176" s="40">
        <f t="shared" si="36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/>
      <c r="L2176" s="34"/>
      <c r="M2176" s="34" t="s">
        <v>12131</v>
      </c>
    </row>
    <row r="2177" spans="1:13" hidden="1">
      <c r="A2177" s="40">
        <f t="shared" si="36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/>
      <c r="L2177" s="34"/>
      <c r="M2177" s="34" t="s">
        <v>12131</v>
      </c>
    </row>
    <row r="2178" spans="1:13" hidden="1">
      <c r="A2178" s="40">
        <f t="shared" si="36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/>
      <c r="L2178" s="34"/>
      <c r="M2178" s="34" t="s">
        <v>12131</v>
      </c>
    </row>
    <row r="2179" spans="1:13" hidden="1">
      <c r="A2179" s="40">
        <f t="shared" si="36"/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/>
      <c r="L2179" s="34"/>
      <c r="M2179" s="34" t="s">
        <v>12131</v>
      </c>
    </row>
    <row r="2180" spans="1:13" hidden="1">
      <c r="A2180" s="40">
        <f t="shared" si="36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/>
      <c r="L2180" s="34"/>
      <c r="M2180" s="34" t="s">
        <v>12131</v>
      </c>
    </row>
    <row r="2181" spans="1:13" hidden="1">
      <c r="A2181" s="40">
        <f t="shared" si="36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/>
      <c r="L2181" s="34"/>
      <c r="M2181" s="34" t="s">
        <v>12131</v>
      </c>
    </row>
    <row r="2182" spans="1:13" hidden="1">
      <c r="A2182" s="40">
        <f t="shared" si="36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/>
      <c r="L2182" s="34"/>
      <c r="M2182" s="34" t="s">
        <v>12131</v>
      </c>
    </row>
    <row r="2183" spans="1:13" hidden="1">
      <c r="A2183" s="40">
        <f t="shared" si="36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/>
      <c r="L2183" s="34"/>
      <c r="M2183" s="34" t="s">
        <v>12131</v>
      </c>
    </row>
    <row r="2184" spans="1:13" hidden="1">
      <c r="A2184" s="40">
        <f t="shared" si="36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/>
      <c r="L2184" s="34"/>
      <c r="M2184" s="34" t="s">
        <v>12131</v>
      </c>
    </row>
    <row r="2185" spans="1:13" hidden="1">
      <c r="A2185" s="40">
        <f t="shared" si="36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/>
      <c r="L2185" s="34"/>
      <c r="M2185" s="34" t="s">
        <v>12131</v>
      </c>
    </row>
    <row r="2186" spans="1:13" hidden="1">
      <c r="A2186" s="40">
        <f t="shared" si="36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/>
      <c r="L2186" s="34"/>
      <c r="M2186" s="34" t="s">
        <v>12131</v>
      </c>
    </row>
    <row r="2187" spans="1:13" hidden="1">
      <c r="A2187" s="40">
        <f t="shared" si="36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/>
      <c r="L2187" s="34"/>
      <c r="M2187" s="34" t="s">
        <v>12131</v>
      </c>
    </row>
    <row r="2188" spans="1:13" hidden="1">
      <c r="A2188" s="40">
        <f t="shared" si="36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/>
      <c r="L2188" s="34"/>
      <c r="M2188" s="34" t="s">
        <v>12131</v>
      </c>
    </row>
    <row r="2189" spans="1:13" hidden="1">
      <c r="A2189" s="40">
        <f t="shared" si="36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/>
      <c r="L2189" s="34"/>
      <c r="M2189" s="34" t="s">
        <v>12131</v>
      </c>
    </row>
    <row r="2190" spans="1:13" hidden="1">
      <c r="A2190" s="40">
        <f t="shared" si="36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/>
      <c r="L2190" s="34"/>
      <c r="M2190" s="34" t="s">
        <v>12131</v>
      </c>
    </row>
    <row r="2191" spans="1:13" hidden="1">
      <c r="A2191" s="40">
        <f t="shared" si="36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/>
      <c r="L2191" s="34"/>
      <c r="M2191" s="34" t="s">
        <v>12131</v>
      </c>
    </row>
    <row r="2192" spans="1:13" hidden="1">
      <c r="A2192" s="40">
        <f t="shared" si="36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/>
      <c r="L2192" s="34"/>
      <c r="M2192" s="34" t="s">
        <v>12131</v>
      </c>
    </row>
    <row r="2193" spans="1:13" hidden="1">
      <c r="A2193" s="40">
        <f t="shared" si="36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/>
      <c r="L2193" s="34"/>
      <c r="M2193" s="34" t="s">
        <v>12131</v>
      </c>
    </row>
    <row r="2194" spans="1:13" hidden="1">
      <c r="A2194" s="40">
        <f t="shared" si="36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/>
      <c r="L2194" s="34"/>
      <c r="M2194" s="34" t="s">
        <v>12131</v>
      </c>
    </row>
    <row r="2195" spans="1:13" hidden="1">
      <c r="A2195" s="40">
        <f t="shared" si="36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/>
      <c r="L2195" s="34"/>
      <c r="M2195" s="34" t="s">
        <v>12131</v>
      </c>
    </row>
    <row r="2196" spans="1:13" hidden="1">
      <c r="A2196" s="40">
        <f t="shared" si="36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/>
      <c r="L2196" s="34"/>
      <c r="M2196" s="34" t="s">
        <v>12131</v>
      </c>
    </row>
    <row r="2197" spans="1:13" hidden="1">
      <c r="A2197" s="40">
        <f t="shared" si="36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/>
      <c r="L2197" s="34"/>
      <c r="M2197" s="34" t="s">
        <v>12131</v>
      </c>
    </row>
    <row r="2198" spans="1:13" hidden="1">
      <c r="A2198" s="40">
        <f t="shared" ref="A2198:A2229" si="37">1+A2197</f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/>
      <c r="L2198" s="34"/>
      <c r="M2198" s="34" t="s">
        <v>12131</v>
      </c>
    </row>
    <row r="2199" spans="1:13" hidden="1">
      <c r="A2199" s="40">
        <f t="shared" si="37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/>
      <c r="L2199" s="34"/>
      <c r="M2199" s="34" t="s">
        <v>12131</v>
      </c>
    </row>
    <row r="2200" spans="1:13" hidden="1">
      <c r="A2200" s="40">
        <f t="shared" si="37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/>
      <c r="L2200" s="34"/>
      <c r="M2200" s="34" t="s">
        <v>12131</v>
      </c>
    </row>
    <row r="2201" spans="1:13" hidden="1">
      <c r="A2201" s="40">
        <f t="shared" si="37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/>
      <c r="L2201" s="34"/>
      <c r="M2201" s="34" t="s">
        <v>12131</v>
      </c>
    </row>
    <row r="2202" spans="1:13" hidden="1">
      <c r="A2202" s="40">
        <f t="shared" si="37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/>
      <c r="L2202" s="34"/>
      <c r="M2202" s="34" t="s">
        <v>12131</v>
      </c>
    </row>
    <row r="2203" spans="1:13" hidden="1">
      <c r="A2203" s="40">
        <f t="shared" si="37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/>
      <c r="L2203" s="34"/>
      <c r="M2203" s="34" t="s">
        <v>12131</v>
      </c>
    </row>
    <row r="2204" spans="1:13" hidden="1">
      <c r="A2204" s="40">
        <f t="shared" si="37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/>
      <c r="L2204" s="34"/>
      <c r="M2204" s="34" t="s">
        <v>12131</v>
      </c>
    </row>
    <row r="2205" spans="1:13" hidden="1">
      <c r="A2205" s="40">
        <f t="shared" si="37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/>
      <c r="L2205" s="34"/>
      <c r="M2205" s="34" t="s">
        <v>12131</v>
      </c>
    </row>
    <row r="2206" spans="1:13" hidden="1">
      <c r="A2206" s="40">
        <f t="shared" si="37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/>
      <c r="L2206" s="34"/>
      <c r="M2206" s="34" t="s">
        <v>12131</v>
      </c>
    </row>
    <row r="2207" spans="1:13" hidden="1">
      <c r="A2207" s="40">
        <f t="shared" si="37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/>
      <c r="L2207" s="34"/>
      <c r="M2207" s="34" t="s">
        <v>12131</v>
      </c>
    </row>
    <row r="2208" spans="1:13" hidden="1">
      <c r="A2208" s="40">
        <f t="shared" si="37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/>
      <c r="L2208" s="34"/>
      <c r="M2208" s="34" t="s">
        <v>12131</v>
      </c>
    </row>
    <row r="2209" spans="1:13" hidden="1">
      <c r="A2209" s="40">
        <f t="shared" si="37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/>
      <c r="L2209" s="34"/>
      <c r="M2209" s="34" t="s">
        <v>12131</v>
      </c>
    </row>
    <row r="2210" spans="1:13" hidden="1">
      <c r="A2210" s="40">
        <f t="shared" si="37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/>
      <c r="L2210" s="34"/>
      <c r="M2210" s="34" t="s">
        <v>12131</v>
      </c>
    </row>
    <row r="2211" spans="1:13" hidden="1">
      <c r="A2211" s="40">
        <f t="shared" si="37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/>
      <c r="L2211" s="34"/>
      <c r="M2211" s="34" t="s">
        <v>12131</v>
      </c>
    </row>
    <row r="2212" spans="1:13" hidden="1">
      <c r="A2212" s="40">
        <f t="shared" si="37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/>
      <c r="L2212" s="34"/>
      <c r="M2212" s="34" t="s">
        <v>12131</v>
      </c>
    </row>
    <row r="2213" spans="1:13" hidden="1">
      <c r="A2213" s="40">
        <f t="shared" si="37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/>
      <c r="L2213" s="34"/>
      <c r="M2213" s="34" t="s">
        <v>12131</v>
      </c>
    </row>
    <row r="2214" spans="1:13" hidden="1">
      <c r="A2214" s="40">
        <f t="shared" si="37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/>
      <c r="L2214" s="34"/>
      <c r="M2214" s="34" t="s">
        <v>12131</v>
      </c>
    </row>
    <row r="2215" spans="1:13" hidden="1">
      <c r="A2215" s="40">
        <f t="shared" si="37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/>
      <c r="L2215" s="34"/>
      <c r="M2215" s="34" t="s">
        <v>12131</v>
      </c>
    </row>
    <row r="2216" spans="1:13" hidden="1">
      <c r="A2216" s="40">
        <f t="shared" si="37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/>
      <c r="L2216" s="34"/>
      <c r="M2216" s="34" t="s">
        <v>12131</v>
      </c>
    </row>
    <row r="2217" spans="1:13" hidden="1">
      <c r="A2217" s="40">
        <f t="shared" si="37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/>
      <c r="L2217" s="34"/>
      <c r="M2217" s="34" t="s">
        <v>12131</v>
      </c>
    </row>
    <row r="2218" spans="1:13" hidden="1">
      <c r="A2218" s="40">
        <f t="shared" si="37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/>
      <c r="L2218" s="34"/>
      <c r="M2218" s="34" t="s">
        <v>12131</v>
      </c>
    </row>
    <row r="2219" spans="1:13" hidden="1">
      <c r="A2219" s="40">
        <f t="shared" si="37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/>
      <c r="L2219" s="34"/>
      <c r="M2219" s="34" t="s">
        <v>12131</v>
      </c>
    </row>
    <row r="2220" spans="1:13" hidden="1">
      <c r="A2220" s="40">
        <f t="shared" si="37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/>
      <c r="L2220" s="34"/>
      <c r="M2220" s="34" t="s">
        <v>12131</v>
      </c>
    </row>
    <row r="2221" spans="1:13" hidden="1">
      <c r="A2221" s="40">
        <f t="shared" si="37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/>
      <c r="L2221" s="34"/>
      <c r="M2221" s="34" t="s">
        <v>12131</v>
      </c>
    </row>
    <row r="2222" spans="1:13" hidden="1">
      <c r="A2222" s="40">
        <f t="shared" si="37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/>
      <c r="L2222" s="34"/>
      <c r="M2222" s="34" t="s">
        <v>12131</v>
      </c>
    </row>
    <row r="2223" spans="1:13" hidden="1">
      <c r="A2223" s="40">
        <f t="shared" si="37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/>
      <c r="L2223" s="34"/>
      <c r="M2223" s="34" t="s">
        <v>12131</v>
      </c>
    </row>
    <row r="2224" spans="1:13" hidden="1">
      <c r="A2224" s="40">
        <f t="shared" si="37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/>
      <c r="L2224" s="34"/>
      <c r="M2224" s="34" t="s">
        <v>12131</v>
      </c>
    </row>
    <row r="2225" spans="1:13" hidden="1">
      <c r="A2225" s="40">
        <f t="shared" si="37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/>
      <c r="L2225" s="34"/>
      <c r="M2225" s="34" t="s">
        <v>12131</v>
      </c>
    </row>
    <row r="2226" spans="1:13" hidden="1">
      <c r="A2226" s="40">
        <f t="shared" si="37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/>
      <c r="L2226" s="34"/>
      <c r="M2226" s="34" t="s">
        <v>12131</v>
      </c>
    </row>
    <row r="2227" spans="1:13" hidden="1">
      <c r="A2227" s="40">
        <f t="shared" si="37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/>
      <c r="L2227" s="34"/>
      <c r="M2227" s="34" t="s">
        <v>12131</v>
      </c>
    </row>
    <row r="2228" spans="1:13" hidden="1">
      <c r="A2228" s="40">
        <f t="shared" si="37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/>
      <c r="L2228" s="34"/>
      <c r="M2228" s="34" t="s">
        <v>12131</v>
      </c>
    </row>
    <row r="2229" spans="1:13" hidden="1">
      <c r="A2229" s="40">
        <f t="shared" si="37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/>
      <c r="L2229" s="34"/>
      <c r="M2229" s="34" t="s">
        <v>12131</v>
      </c>
    </row>
    <row r="2230" spans="1:13" hidden="1">
      <c r="A2230" s="40">
        <f t="shared" ref="A2230:A2237" si="38">1+A2229</f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/>
      <c r="L2230" s="34"/>
      <c r="M2230" s="34" t="s">
        <v>12131</v>
      </c>
    </row>
    <row r="2231" spans="1:13" hidden="1">
      <c r="A2231" s="40">
        <f t="shared" si="38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/>
      <c r="L2231" s="34"/>
      <c r="M2231" s="34" t="s">
        <v>12131</v>
      </c>
    </row>
    <row r="2232" spans="1:13" hidden="1">
      <c r="A2232" s="40">
        <f t="shared" si="38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/>
      <c r="L2232" s="34"/>
      <c r="M2232" s="34" t="s">
        <v>12131</v>
      </c>
    </row>
    <row r="2233" spans="1:13" hidden="1">
      <c r="A2233" s="40">
        <f t="shared" si="38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/>
      <c r="L2233" s="34"/>
      <c r="M2233" s="34" t="s">
        <v>12131</v>
      </c>
    </row>
    <row r="2234" spans="1:13" hidden="1">
      <c r="A2234" s="40">
        <f t="shared" si="38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/>
      <c r="L2234" s="34"/>
      <c r="M2234" s="34" t="s">
        <v>12131</v>
      </c>
    </row>
    <row r="2235" spans="1:13" hidden="1">
      <c r="A2235" s="40">
        <f t="shared" si="38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/>
      <c r="L2235" s="34"/>
      <c r="M2235" s="34" t="s">
        <v>12131</v>
      </c>
    </row>
    <row r="2236" spans="1:13" hidden="1">
      <c r="A2236" s="40">
        <f t="shared" si="38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/>
      <c r="L2236" s="34"/>
      <c r="M2236" s="34" t="s">
        <v>12131</v>
      </c>
    </row>
    <row r="2237" spans="1:13" hidden="1">
      <c r="A2237" s="40">
        <f t="shared" si="38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/>
      <c r="L2237" s="34"/>
      <c r="M2237" s="34" t="s">
        <v>12131</v>
      </c>
    </row>
    <row r="2238" spans="1:13" hidden="1">
      <c r="A2238" s="40">
        <f t="shared" ref="A2238:A2301" si="39">1+A2237</f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/>
      <c r="L2238" s="34"/>
      <c r="M2238" s="34" t="s">
        <v>9737</v>
      </c>
    </row>
    <row r="2239" spans="1:13" hidden="1">
      <c r="A2239" s="40">
        <f t="shared" si="39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/>
      <c r="L2239" s="34"/>
      <c r="M2239" s="34" t="s">
        <v>9737</v>
      </c>
    </row>
    <row r="2240" spans="1:13" hidden="1">
      <c r="A2240" s="40">
        <f t="shared" si="39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/>
      <c r="L2240" s="34"/>
      <c r="M2240" s="34" t="s">
        <v>9737</v>
      </c>
    </row>
    <row r="2241" spans="1:13" hidden="1">
      <c r="A2241" s="40">
        <f t="shared" si="39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/>
      <c r="L2241" s="34"/>
      <c r="M2241" s="34" t="s">
        <v>9737</v>
      </c>
    </row>
    <row r="2242" spans="1:13" hidden="1">
      <c r="A2242" s="40">
        <f t="shared" si="39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/>
      <c r="L2242" s="34"/>
      <c r="M2242" s="34" t="s">
        <v>9737</v>
      </c>
    </row>
    <row r="2243" spans="1:13" hidden="1">
      <c r="A2243" s="40">
        <f t="shared" si="39"/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/>
      <c r="L2243" s="34"/>
      <c r="M2243" s="34" t="s">
        <v>9737</v>
      </c>
    </row>
    <row r="2244" spans="1:13" hidden="1">
      <c r="A2244" s="40">
        <f t="shared" si="39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/>
      <c r="L2244" s="34"/>
      <c r="M2244" s="34" t="s">
        <v>9737</v>
      </c>
    </row>
    <row r="2245" spans="1:13" hidden="1">
      <c r="A2245" s="40">
        <f t="shared" si="39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/>
      <c r="L2245" s="34"/>
      <c r="M2245" s="34" t="s">
        <v>9737</v>
      </c>
    </row>
    <row r="2246" spans="1:13" hidden="1">
      <c r="A2246" s="40">
        <f t="shared" si="39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/>
      <c r="L2246" s="34"/>
      <c r="M2246" s="34" t="s">
        <v>9737</v>
      </c>
    </row>
    <row r="2247" spans="1:13" hidden="1">
      <c r="A2247" s="40">
        <f t="shared" si="39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/>
      <c r="L2247" s="34"/>
      <c r="M2247" s="34" t="s">
        <v>9737</v>
      </c>
    </row>
    <row r="2248" spans="1:13" hidden="1">
      <c r="A2248" s="40">
        <f t="shared" si="39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/>
      <c r="L2248" s="34"/>
      <c r="M2248" s="34" t="s">
        <v>9737</v>
      </c>
    </row>
    <row r="2249" spans="1:13" hidden="1">
      <c r="A2249" s="40">
        <f t="shared" si="39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/>
      <c r="L2249" s="34"/>
      <c r="M2249" s="34" t="s">
        <v>9737</v>
      </c>
    </row>
    <row r="2250" spans="1:13" hidden="1">
      <c r="A2250" s="40">
        <f t="shared" si="39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/>
      <c r="L2250" s="34"/>
      <c r="M2250" s="34" t="s">
        <v>9737</v>
      </c>
    </row>
    <row r="2251" spans="1:13" hidden="1">
      <c r="A2251" s="40">
        <f t="shared" si="39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/>
      <c r="L2251" s="34"/>
      <c r="M2251" s="34" t="s">
        <v>9737</v>
      </c>
    </row>
    <row r="2252" spans="1:13" hidden="1">
      <c r="A2252" s="40">
        <f t="shared" si="39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/>
      <c r="L2252" s="34"/>
      <c r="M2252" s="34" t="s">
        <v>9737</v>
      </c>
    </row>
    <row r="2253" spans="1:13" hidden="1">
      <c r="A2253" s="40">
        <f t="shared" si="39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/>
      <c r="L2253" s="34"/>
      <c r="M2253" s="34" t="s">
        <v>9737</v>
      </c>
    </row>
    <row r="2254" spans="1:13" hidden="1">
      <c r="A2254" s="40">
        <f t="shared" si="39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/>
      <c r="L2254" s="34"/>
      <c r="M2254" s="34" t="s">
        <v>9737</v>
      </c>
    </row>
    <row r="2255" spans="1:13" hidden="1">
      <c r="A2255" s="40">
        <f t="shared" si="39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/>
      <c r="L2255" s="34"/>
      <c r="M2255" s="34" t="s">
        <v>9737</v>
      </c>
    </row>
    <row r="2256" spans="1:13" hidden="1">
      <c r="A2256" s="40">
        <f t="shared" si="39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/>
      <c r="L2256" s="34"/>
      <c r="M2256" s="34" t="s">
        <v>9737</v>
      </c>
    </row>
    <row r="2257" spans="1:13" hidden="1">
      <c r="A2257" s="40">
        <f t="shared" si="39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/>
      <c r="L2257" s="34"/>
      <c r="M2257" s="34" t="s">
        <v>9737</v>
      </c>
    </row>
    <row r="2258" spans="1:13" hidden="1">
      <c r="A2258" s="40">
        <f t="shared" si="39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/>
      <c r="L2258" s="34"/>
      <c r="M2258" s="34" t="s">
        <v>9737</v>
      </c>
    </row>
    <row r="2259" spans="1:13" hidden="1">
      <c r="A2259" s="40">
        <f t="shared" si="39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/>
      <c r="L2259" s="34"/>
      <c r="M2259" s="34" t="s">
        <v>9737</v>
      </c>
    </row>
    <row r="2260" spans="1:13" hidden="1">
      <c r="A2260" s="40">
        <f t="shared" si="39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/>
      <c r="L2260" s="34"/>
      <c r="M2260" s="34" t="s">
        <v>9737</v>
      </c>
    </row>
    <row r="2261" spans="1:13" hidden="1">
      <c r="A2261" s="40">
        <f t="shared" si="39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/>
      <c r="L2261" s="34"/>
      <c r="M2261" s="34" t="s">
        <v>9737</v>
      </c>
    </row>
    <row r="2262" spans="1:13" hidden="1">
      <c r="A2262" s="40">
        <f t="shared" si="39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/>
      <c r="L2262" s="34"/>
      <c r="M2262" s="34" t="s">
        <v>9737</v>
      </c>
    </row>
    <row r="2263" spans="1:13" hidden="1">
      <c r="A2263" s="40">
        <f t="shared" si="39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/>
      <c r="L2263" s="34"/>
      <c r="M2263" s="34" t="s">
        <v>9737</v>
      </c>
    </row>
    <row r="2264" spans="1:13" hidden="1">
      <c r="A2264" s="40">
        <f t="shared" si="39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/>
      <c r="L2264" s="34"/>
      <c r="M2264" s="34" t="s">
        <v>9737</v>
      </c>
    </row>
    <row r="2265" spans="1:13" hidden="1">
      <c r="A2265" s="40">
        <f t="shared" si="39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/>
      <c r="L2265" s="34"/>
      <c r="M2265" s="34" t="s">
        <v>9737</v>
      </c>
    </row>
    <row r="2266" spans="1:13" hidden="1">
      <c r="A2266" s="40">
        <f t="shared" si="39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/>
      <c r="L2266" s="34"/>
      <c r="M2266" s="34" t="s">
        <v>9737</v>
      </c>
    </row>
    <row r="2267" spans="1:13" hidden="1">
      <c r="A2267" s="40">
        <f t="shared" si="39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/>
      <c r="L2267" s="34"/>
      <c r="M2267" s="34" t="s">
        <v>9737</v>
      </c>
    </row>
    <row r="2268" spans="1:13" hidden="1">
      <c r="A2268" s="40">
        <f t="shared" si="39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/>
      <c r="L2268" s="34"/>
      <c r="M2268" s="34" t="s">
        <v>9737</v>
      </c>
    </row>
    <row r="2269" spans="1:13" hidden="1">
      <c r="A2269" s="40">
        <f t="shared" si="39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/>
      <c r="L2269" s="34"/>
      <c r="M2269" s="34" t="s">
        <v>9737</v>
      </c>
    </row>
    <row r="2270" spans="1:13" hidden="1">
      <c r="A2270" s="40">
        <f t="shared" si="39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/>
      <c r="L2270" s="34"/>
      <c r="M2270" s="34" t="s">
        <v>9737</v>
      </c>
    </row>
    <row r="2271" spans="1:13" hidden="1">
      <c r="A2271" s="40">
        <f t="shared" si="39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/>
      <c r="L2271" s="34"/>
      <c r="M2271" s="34" t="s">
        <v>9737</v>
      </c>
    </row>
    <row r="2272" spans="1:13" hidden="1">
      <c r="A2272" s="40">
        <f t="shared" si="39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/>
      <c r="L2272" s="34"/>
      <c r="M2272" s="34" t="s">
        <v>9737</v>
      </c>
    </row>
    <row r="2273" spans="1:13" hidden="1">
      <c r="A2273" s="40">
        <f t="shared" si="39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/>
      <c r="L2273" s="34"/>
      <c r="M2273" s="34" t="s">
        <v>9737</v>
      </c>
    </row>
    <row r="2274" spans="1:13" hidden="1">
      <c r="A2274" s="40">
        <f t="shared" si="39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/>
      <c r="L2274" s="34"/>
      <c r="M2274" s="34" t="s">
        <v>9737</v>
      </c>
    </row>
    <row r="2275" spans="1:13" hidden="1">
      <c r="A2275" s="40">
        <f t="shared" si="39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/>
      <c r="L2275" s="34"/>
      <c r="M2275" s="34" t="s">
        <v>9737</v>
      </c>
    </row>
    <row r="2276" spans="1:13" hidden="1">
      <c r="A2276" s="40">
        <f t="shared" si="39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/>
      <c r="L2276" s="34"/>
      <c r="M2276" s="34" t="s">
        <v>9737</v>
      </c>
    </row>
    <row r="2277" spans="1:13" hidden="1">
      <c r="A2277" s="40">
        <f t="shared" si="39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/>
      <c r="L2277" s="34"/>
      <c r="M2277" s="34" t="s">
        <v>9737</v>
      </c>
    </row>
    <row r="2278" spans="1:13" hidden="1">
      <c r="A2278" s="40">
        <f t="shared" si="39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/>
      <c r="L2278" s="34"/>
      <c r="M2278" s="34" t="s">
        <v>9737</v>
      </c>
    </row>
    <row r="2279" spans="1:13" hidden="1">
      <c r="A2279" s="40">
        <f t="shared" si="39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/>
      <c r="L2279" s="34"/>
      <c r="M2279" s="34" t="s">
        <v>9737</v>
      </c>
    </row>
    <row r="2280" spans="1:13" hidden="1">
      <c r="A2280" s="40">
        <f t="shared" si="39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/>
      <c r="L2280" s="34"/>
      <c r="M2280" s="34" t="s">
        <v>9737</v>
      </c>
    </row>
    <row r="2281" spans="1:13" hidden="1">
      <c r="A2281" s="40">
        <f t="shared" si="39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/>
      <c r="L2281" s="34"/>
      <c r="M2281" s="34" t="s">
        <v>9737</v>
      </c>
    </row>
    <row r="2282" spans="1:13" hidden="1">
      <c r="A2282" s="40">
        <f t="shared" si="39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/>
      <c r="L2282" s="34"/>
      <c r="M2282" s="34" t="s">
        <v>9737</v>
      </c>
    </row>
    <row r="2283" spans="1:13" hidden="1">
      <c r="A2283" s="40">
        <f t="shared" si="39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/>
      <c r="L2283" s="34"/>
      <c r="M2283" s="34" t="s">
        <v>9737</v>
      </c>
    </row>
    <row r="2284" spans="1:13" hidden="1">
      <c r="A2284" s="40">
        <f t="shared" si="39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/>
      <c r="L2284" s="34"/>
      <c r="M2284" s="34" t="s">
        <v>9737</v>
      </c>
    </row>
    <row r="2285" spans="1:13" hidden="1">
      <c r="A2285" s="40">
        <f t="shared" si="39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/>
      <c r="L2285" s="34"/>
      <c r="M2285" s="34" t="s">
        <v>9737</v>
      </c>
    </row>
    <row r="2286" spans="1:13" hidden="1">
      <c r="A2286" s="40">
        <f t="shared" si="39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/>
      <c r="L2286" s="34"/>
      <c r="M2286" s="34" t="s">
        <v>9737</v>
      </c>
    </row>
    <row r="2287" spans="1:13" hidden="1">
      <c r="A2287" s="40">
        <f t="shared" si="39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/>
      <c r="L2287" s="34"/>
      <c r="M2287" s="34" t="s">
        <v>9737</v>
      </c>
    </row>
    <row r="2288" spans="1:13" hidden="1">
      <c r="A2288" s="40">
        <f t="shared" si="39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/>
      <c r="L2288" s="34"/>
      <c r="M2288" s="34" t="s">
        <v>9737</v>
      </c>
    </row>
    <row r="2289" spans="1:13" hidden="1">
      <c r="A2289" s="40">
        <f t="shared" si="39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/>
      <c r="L2289" s="34"/>
      <c r="M2289" s="34" t="s">
        <v>9737</v>
      </c>
    </row>
    <row r="2290" spans="1:13" hidden="1">
      <c r="A2290" s="40">
        <f t="shared" si="39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/>
      <c r="L2290" s="34"/>
      <c r="M2290" s="34" t="s">
        <v>9737</v>
      </c>
    </row>
    <row r="2291" spans="1:13" hidden="1">
      <c r="A2291" s="40">
        <f t="shared" si="39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/>
      <c r="L2291" s="34"/>
      <c r="M2291" s="34" t="s">
        <v>9737</v>
      </c>
    </row>
    <row r="2292" spans="1:13" hidden="1">
      <c r="A2292" s="40">
        <f t="shared" si="39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/>
      <c r="L2292" s="34"/>
      <c r="M2292" s="34" t="s">
        <v>9737</v>
      </c>
    </row>
    <row r="2293" spans="1:13" hidden="1">
      <c r="A2293" s="40">
        <f t="shared" si="39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/>
      <c r="L2293" s="34"/>
      <c r="M2293" s="34" t="s">
        <v>9737</v>
      </c>
    </row>
    <row r="2294" spans="1:13" hidden="1">
      <c r="A2294" s="40">
        <f t="shared" si="39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/>
      <c r="L2294" s="34"/>
      <c r="M2294" s="34" t="s">
        <v>9737</v>
      </c>
    </row>
    <row r="2295" spans="1:13" hidden="1">
      <c r="A2295" s="40">
        <f t="shared" si="39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/>
      <c r="L2295" s="34"/>
      <c r="M2295" s="34" t="s">
        <v>9737</v>
      </c>
    </row>
    <row r="2296" spans="1:13" hidden="1">
      <c r="A2296" s="40">
        <f t="shared" si="39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/>
      <c r="L2296" s="34"/>
      <c r="M2296" s="34" t="s">
        <v>9737</v>
      </c>
    </row>
    <row r="2297" spans="1:13" hidden="1">
      <c r="A2297" s="40">
        <f t="shared" si="39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/>
      <c r="L2297" s="34"/>
      <c r="M2297" s="34" t="s">
        <v>9737</v>
      </c>
    </row>
    <row r="2298" spans="1:13" hidden="1">
      <c r="A2298" s="40">
        <f t="shared" si="39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/>
      <c r="L2298" s="34"/>
      <c r="M2298" s="34" t="s">
        <v>9737</v>
      </c>
    </row>
    <row r="2299" spans="1:13" hidden="1">
      <c r="A2299" s="40">
        <f t="shared" si="39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/>
      <c r="L2299" s="34"/>
      <c r="M2299" s="34" t="s">
        <v>9737</v>
      </c>
    </row>
    <row r="2300" spans="1:13" hidden="1">
      <c r="A2300" s="40">
        <f t="shared" si="39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/>
      <c r="L2300" s="34"/>
      <c r="M2300" s="34" t="s">
        <v>9737</v>
      </c>
    </row>
    <row r="2301" spans="1:13" hidden="1">
      <c r="A2301" s="40">
        <f t="shared" si="39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/>
      <c r="L2301" s="34"/>
      <c r="M2301" s="34" t="s">
        <v>9737</v>
      </c>
    </row>
    <row r="2302" spans="1:13" hidden="1">
      <c r="A2302" s="40">
        <f t="shared" ref="A2302:A2365" si="40">1+A2301</f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/>
      <c r="L2302" s="34"/>
      <c r="M2302" s="34" t="s">
        <v>9737</v>
      </c>
    </row>
    <row r="2303" spans="1:13" hidden="1">
      <c r="A2303" s="40">
        <f t="shared" si="40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/>
      <c r="L2303" s="34"/>
      <c r="M2303" s="34" t="s">
        <v>9737</v>
      </c>
    </row>
    <row r="2304" spans="1:13" hidden="1">
      <c r="A2304" s="40">
        <f t="shared" si="40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/>
      <c r="L2304" s="34"/>
      <c r="M2304" s="34" t="s">
        <v>9737</v>
      </c>
    </row>
    <row r="2305" spans="1:13" hidden="1">
      <c r="A2305" s="40">
        <f t="shared" si="40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/>
      <c r="L2305" s="34"/>
      <c r="M2305" s="34" t="s">
        <v>9737</v>
      </c>
    </row>
    <row r="2306" spans="1:13" hidden="1">
      <c r="A2306" s="40">
        <f t="shared" si="40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/>
      <c r="L2306" s="34"/>
      <c r="M2306" s="34" t="s">
        <v>9737</v>
      </c>
    </row>
    <row r="2307" spans="1:13" hidden="1">
      <c r="A2307" s="40">
        <f t="shared" si="40"/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/>
      <c r="L2307" s="34"/>
      <c r="M2307" s="34" t="s">
        <v>9737</v>
      </c>
    </row>
    <row r="2308" spans="1:13" hidden="1">
      <c r="A2308" s="40">
        <f t="shared" si="40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/>
      <c r="L2308" s="34"/>
      <c r="M2308" s="34" t="s">
        <v>9737</v>
      </c>
    </row>
    <row r="2309" spans="1:13" hidden="1">
      <c r="A2309" s="40">
        <f t="shared" si="40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/>
      <c r="L2309" s="34"/>
      <c r="M2309" s="34" t="s">
        <v>9737</v>
      </c>
    </row>
    <row r="2310" spans="1:13" hidden="1">
      <c r="A2310" s="40">
        <f t="shared" si="40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/>
      <c r="L2310" s="34"/>
      <c r="M2310" s="34" t="s">
        <v>9737</v>
      </c>
    </row>
    <row r="2311" spans="1:13" hidden="1">
      <c r="A2311" s="40">
        <f t="shared" si="40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/>
      <c r="L2311" s="34"/>
      <c r="M2311" s="34" t="s">
        <v>9737</v>
      </c>
    </row>
    <row r="2312" spans="1:13" hidden="1">
      <c r="A2312" s="40">
        <f t="shared" si="40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/>
      <c r="L2312" s="34"/>
      <c r="M2312" s="34" t="s">
        <v>9737</v>
      </c>
    </row>
    <row r="2313" spans="1:13" hidden="1">
      <c r="A2313" s="40">
        <f t="shared" si="40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/>
      <c r="L2313" s="34"/>
      <c r="M2313" s="34" t="s">
        <v>9737</v>
      </c>
    </row>
    <row r="2314" spans="1:13" hidden="1">
      <c r="A2314" s="40">
        <f t="shared" si="40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/>
      <c r="L2314" s="34"/>
      <c r="M2314" s="34" t="s">
        <v>9737</v>
      </c>
    </row>
    <row r="2315" spans="1:13" hidden="1">
      <c r="A2315" s="40">
        <f t="shared" si="40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/>
      <c r="L2315" s="34"/>
      <c r="M2315" s="34" t="s">
        <v>9737</v>
      </c>
    </row>
    <row r="2316" spans="1:13" hidden="1">
      <c r="A2316" s="40">
        <f t="shared" si="40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/>
      <c r="L2316" s="34"/>
      <c r="M2316" s="34" t="s">
        <v>9737</v>
      </c>
    </row>
    <row r="2317" spans="1:13" hidden="1">
      <c r="A2317" s="40">
        <f t="shared" si="40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/>
      <c r="L2317" s="34"/>
      <c r="M2317" s="34" t="s">
        <v>9737</v>
      </c>
    </row>
    <row r="2318" spans="1:13" hidden="1">
      <c r="A2318" s="40">
        <f t="shared" si="40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/>
      <c r="L2318" s="34"/>
      <c r="M2318" s="34" t="s">
        <v>9737</v>
      </c>
    </row>
    <row r="2319" spans="1:13" hidden="1">
      <c r="A2319" s="40">
        <f t="shared" si="40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/>
      <c r="L2319" s="34"/>
      <c r="M2319" s="34" t="s">
        <v>9737</v>
      </c>
    </row>
    <row r="2320" spans="1:13" hidden="1">
      <c r="A2320" s="40">
        <f t="shared" si="40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/>
      <c r="L2320" s="34"/>
      <c r="M2320" s="34" t="s">
        <v>9737</v>
      </c>
    </row>
    <row r="2321" spans="1:13" hidden="1">
      <c r="A2321" s="40">
        <f t="shared" si="40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/>
      <c r="L2321" s="34"/>
      <c r="M2321" s="34" t="s">
        <v>9737</v>
      </c>
    </row>
    <row r="2322" spans="1:13" hidden="1">
      <c r="A2322" s="40">
        <f t="shared" si="40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/>
      <c r="L2322" s="34"/>
      <c r="M2322" s="34" t="s">
        <v>9737</v>
      </c>
    </row>
    <row r="2323" spans="1:13" hidden="1">
      <c r="A2323" s="40">
        <f t="shared" si="40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/>
      <c r="L2323" s="34"/>
      <c r="M2323" s="34" t="s">
        <v>9737</v>
      </c>
    </row>
    <row r="2324" spans="1:13" hidden="1">
      <c r="A2324" s="40">
        <f t="shared" si="40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/>
      <c r="L2324" s="34"/>
      <c r="M2324" s="34" t="s">
        <v>9737</v>
      </c>
    </row>
    <row r="2325" spans="1:13" hidden="1">
      <c r="A2325" s="40">
        <f t="shared" si="40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/>
      <c r="L2325" s="34"/>
      <c r="M2325" s="34" t="s">
        <v>9737</v>
      </c>
    </row>
    <row r="2326" spans="1:13" hidden="1">
      <c r="A2326" s="40">
        <f t="shared" si="40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/>
      <c r="L2326" s="34"/>
      <c r="M2326" s="34" t="s">
        <v>9737</v>
      </c>
    </row>
    <row r="2327" spans="1:13" hidden="1">
      <c r="A2327" s="40">
        <f t="shared" si="40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/>
      <c r="L2327" s="34"/>
      <c r="M2327" s="34" t="s">
        <v>9737</v>
      </c>
    </row>
    <row r="2328" spans="1:13" hidden="1">
      <c r="A2328" s="40">
        <f t="shared" si="40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/>
      <c r="L2328" s="34"/>
      <c r="M2328" s="34" t="s">
        <v>9737</v>
      </c>
    </row>
    <row r="2329" spans="1:13" hidden="1">
      <c r="A2329" s="40">
        <f t="shared" si="40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/>
      <c r="L2329" s="34"/>
      <c r="M2329" s="34" t="s">
        <v>9737</v>
      </c>
    </row>
    <row r="2330" spans="1:13" hidden="1">
      <c r="A2330" s="40">
        <f t="shared" si="40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/>
      <c r="L2330" s="34"/>
      <c r="M2330" s="34" t="s">
        <v>9737</v>
      </c>
    </row>
    <row r="2331" spans="1:13" hidden="1">
      <c r="A2331" s="40">
        <f t="shared" si="40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/>
      <c r="L2331" s="34"/>
      <c r="M2331" s="34" t="s">
        <v>9737</v>
      </c>
    </row>
    <row r="2332" spans="1:13" hidden="1">
      <c r="A2332" s="40">
        <f t="shared" si="40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/>
      <c r="L2332" s="34"/>
      <c r="M2332" s="34" t="s">
        <v>9737</v>
      </c>
    </row>
    <row r="2333" spans="1:13" hidden="1">
      <c r="A2333" s="40">
        <f t="shared" si="40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/>
      <c r="L2333" s="34"/>
      <c r="M2333" s="34" t="s">
        <v>9737</v>
      </c>
    </row>
    <row r="2334" spans="1:13" hidden="1">
      <c r="A2334" s="40">
        <f t="shared" si="40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/>
      <c r="L2334" s="34"/>
      <c r="M2334" s="34" t="s">
        <v>9737</v>
      </c>
    </row>
    <row r="2335" spans="1:13" hidden="1">
      <c r="A2335" s="40">
        <f t="shared" si="40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/>
      <c r="L2335" s="34"/>
      <c r="M2335" s="34" t="s">
        <v>9737</v>
      </c>
    </row>
    <row r="2336" spans="1:13" hidden="1">
      <c r="A2336" s="40">
        <f t="shared" si="40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/>
      <c r="L2336" s="34"/>
      <c r="M2336" s="34" t="s">
        <v>9737</v>
      </c>
    </row>
    <row r="2337" spans="1:13" hidden="1">
      <c r="A2337" s="40">
        <f t="shared" si="40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/>
      <c r="L2337" s="34"/>
      <c r="M2337" s="34" t="s">
        <v>9737</v>
      </c>
    </row>
    <row r="2338" spans="1:13" hidden="1">
      <c r="A2338" s="40">
        <f t="shared" si="40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/>
      <c r="L2338" s="34"/>
      <c r="M2338" s="34" t="s">
        <v>9737</v>
      </c>
    </row>
    <row r="2339" spans="1:13" hidden="1">
      <c r="A2339" s="40">
        <f t="shared" si="40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/>
      <c r="L2339" s="34"/>
      <c r="M2339" s="34" t="s">
        <v>9737</v>
      </c>
    </row>
    <row r="2340" spans="1:13" hidden="1">
      <c r="A2340" s="40">
        <f t="shared" si="40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/>
      <c r="L2340" s="34"/>
      <c r="M2340" s="34" t="s">
        <v>9737</v>
      </c>
    </row>
    <row r="2341" spans="1:13" hidden="1">
      <c r="A2341" s="40">
        <f t="shared" si="40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/>
      <c r="L2341" s="34"/>
      <c r="M2341" s="34" t="s">
        <v>9737</v>
      </c>
    </row>
    <row r="2342" spans="1:13" hidden="1">
      <c r="A2342" s="40">
        <f t="shared" si="40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/>
      <c r="L2342" s="34"/>
      <c r="M2342" s="34" t="s">
        <v>9737</v>
      </c>
    </row>
    <row r="2343" spans="1:13" hidden="1">
      <c r="A2343" s="40">
        <f t="shared" si="40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/>
      <c r="L2343" s="34"/>
      <c r="M2343" s="34" t="s">
        <v>9737</v>
      </c>
    </row>
    <row r="2344" spans="1:13" hidden="1">
      <c r="A2344" s="40">
        <f t="shared" si="40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/>
      <c r="L2344" s="34"/>
      <c r="M2344" s="34" t="s">
        <v>9737</v>
      </c>
    </row>
    <row r="2345" spans="1:13" hidden="1">
      <c r="A2345" s="40">
        <f t="shared" si="40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/>
      <c r="L2345" s="34"/>
      <c r="M2345" s="34" t="s">
        <v>9737</v>
      </c>
    </row>
    <row r="2346" spans="1:13" hidden="1">
      <c r="A2346" s="40">
        <f t="shared" si="40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/>
      <c r="L2346" s="34"/>
      <c r="M2346" s="34" t="s">
        <v>9737</v>
      </c>
    </row>
    <row r="2347" spans="1:13" hidden="1">
      <c r="A2347" s="40">
        <f t="shared" si="40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/>
      <c r="L2347" s="34"/>
      <c r="M2347" s="34" t="s">
        <v>9737</v>
      </c>
    </row>
    <row r="2348" spans="1:13" hidden="1">
      <c r="A2348" s="40">
        <f t="shared" si="40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/>
      <c r="L2348" s="34"/>
      <c r="M2348" s="34" t="s">
        <v>9737</v>
      </c>
    </row>
    <row r="2349" spans="1:13" hidden="1">
      <c r="A2349" s="40">
        <f t="shared" si="40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/>
      <c r="L2349" s="34"/>
      <c r="M2349" s="34" t="s">
        <v>9737</v>
      </c>
    </row>
    <row r="2350" spans="1:13" hidden="1">
      <c r="A2350" s="40">
        <f t="shared" si="40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/>
      <c r="L2350" s="34"/>
      <c r="M2350" s="34" t="s">
        <v>9737</v>
      </c>
    </row>
    <row r="2351" spans="1:13" hidden="1">
      <c r="A2351" s="40">
        <f t="shared" si="40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/>
      <c r="L2351" s="34"/>
      <c r="M2351" s="34" t="s">
        <v>9737</v>
      </c>
    </row>
    <row r="2352" spans="1:13" hidden="1">
      <c r="A2352" s="40">
        <f t="shared" si="40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/>
      <c r="L2352" s="34"/>
      <c r="M2352" s="34" t="s">
        <v>9737</v>
      </c>
    </row>
    <row r="2353" spans="1:13" hidden="1">
      <c r="A2353" s="40">
        <f t="shared" si="40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/>
      <c r="L2353" s="34"/>
      <c r="M2353" s="34" t="s">
        <v>9737</v>
      </c>
    </row>
    <row r="2354" spans="1:13" hidden="1">
      <c r="A2354" s="40">
        <f t="shared" si="40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/>
      <c r="L2354" s="34"/>
      <c r="M2354" s="34" t="s">
        <v>9737</v>
      </c>
    </row>
    <row r="2355" spans="1:13" hidden="1">
      <c r="A2355" s="40">
        <f t="shared" si="40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/>
      <c r="L2355" s="34"/>
      <c r="M2355" s="34" t="s">
        <v>9737</v>
      </c>
    </row>
    <row r="2356" spans="1:13" hidden="1">
      <c r="A2356" s="40">
        <f t="shared" si="40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/>
      <c r="L2356" s="34"/>
      <c r="M2356" s="34" t="s">
        <v>9737</v>
      </c>
    </row>
    <row r="2357" spans="1:13" hidden="1">
      <c r="A2357" s="40">
        <f t="shared" si="40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/>
      <c r="L2357" s="34"/>
      <c r="M2357" s="34" t="s">
        <v>9737</v>
      </c>
    </row>
    <row r="2358" spans="1:13" hidden="1">
      <c r="A2358" s="40">
        <f t="shared" si="40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/>
      <c r="L2358" s="34"/>
      <c r="M2358" s="34" t="s">
        <v>9737</v>
      </c>
    </row>
    <row r="2359" spans="1:13" hidden="1">
      <c r="A2359" s="40">
        <f t="shared" si="40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/>
      <c r="L2359" s="34"/>
      <c r="M2359" s="34" t="s">
        <v>9737</v>
      </c>
    </row>
    <row r="2360" spans="1:13" hidden="1">
      <c r="A2360" s="40">
        <f t="shared" si="40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/>
      <c r="L2360" s="34"/>
      <c r="M2360" s="34" t="s">
        <v>9737</v>
      </c>
    </row>
    <row r="2361" spans="1:13" hidden="1">
      <c r="A2361" s="40">
        <f t="shared" si="40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/>
      <c r="L2361" s="34"/>
      <c r="M2361" s="34" t="s">
        <v>9737</v>
      </c>
    </row>
    <row r="2362" spans="1:13" hidden="1">
      <c r="A2362" s="40">
        <f t="shared" si="40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/>
      <c r="L2362" s="34"/>
      <c r="M2362" s="34" t="s">
        <v>9737</v>
      </c>
    </row>
    <row r="2363" spans="1:13" hidden="1">
      <c r="A2363" s="40">
        <f t="shared" si="40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/>
      <c r="L2363" s="34"/>
      <c r="M2363" s="34" t="s">
        <v>9737</v>
      </c>
    </row>
    <row r="2364" spans="1:13" hidden="1">
      <c r="A2364" s="40">
        <f t="shared" si="40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/>
      <c r="L2364" s="34"/>
      <c r="M2364" s="34" t="s">
        <v>9737</v>
      </c>
    </row>
    <row r="2365" spans="1:13" hidden="1">
      <c r="A2365" s="40">
        <f t="shared" si="40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/>
      <c r="L2365" s="34"/>
      <c r="M2365" s="34" t="s">
        <v>9737</v>
      </c>
    </row>
    <row r="2366" spans="1:13" hidden="1">
      <c r="A2366" s="40">
        <f t="shared" ref="A2366:A2429" si="41">1+A2365</f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/>
      <c r="L2366" s="34"/>
      <c r="M2366" s="34" t="s">
        <v>9737</v>
      </c>
    </row>
    <row r="2367" spans="1:13" hidden="1">
      <c r="A2367" s="40">
        <f t="shared" si="41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/>
      <c r="L2367" s="34"/>
      <c r="M2367" s="34" t="s">
        <v>9737</v>
      </c>
    </row>
    <row r="2368" spans="1:13" hidden="1">
      <c r="A2368" s="40">
        <f t="shared" si="41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/>
      <c r="L2368" s="34"/>
      <c r="M2368" s="34" t="s">
        <v>9737</v>
      </c>
    </row>
    <row r="2369" spans="1:13" hidden="1">
      <c r="A2369" s="40">
        <f t="shared" si="41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/>
      <c r="L2369" s="34"/>
      <c r="M2369" s="34" t="s">
        <v>9737</v>
      </c>
    </row>
    <row r="2370" spans="1:13" hidden="1">
      <c r="A2370" s="40">
        <f t="shared" si="41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/>
      <c r="L2370" s="34"/>
      <c r="M2370" s="34" t="s">
        <v>9737</v>
      </c>
    </row>
    <row r="2371" spans="1:13" hidden="1">
      <c r="A2371" s="40">
        <f t="shared" si="41"/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/>
      <c r="L2371" s="34"/>
      <c r="M2371" s="34" t="s">
        <v>9737</v>
      </c>
    </row>
    <row r="2372" spans="1:13" hidden="1">
      <c r="A2372" s="40">
        <f t="shared" si="41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/>
      <c r="L2372" s="34"/>
      <c r="M2372" s="34" t="s">
        <v>9737</v>
      </c>
    </row>
    <row r="2373" spans="1:13" hidden="1">
      <c r="A2373" s="40">
        <f t="shared" si="41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/>
      <c r="L2373" s="34"/>
      <c r="M2373" s="34" t="s">
        <v>9737</v>
      </c>
    </row>
    <row r="2374" spans="1:13" hidden="1">
      <c r="A2374" s="40">
        <f t="shared" si="41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/>
      <c r="L2374" s="34"/>
      <c r="M2374" s="34" t="s">
        <v>9737</v>
      </c>
    </row>
    <row r="2375" spans="1:13" hidden="1">
      <c r="A2375" s="40">
        <f t="shared" si="41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/>
      <c r="L2375" s="34"/>
      <c r="M2375" s="34" t="s">
        <v>9737</v>
      </c>
    </row>
    <row r="2376" spans="1:13" hidden="1">
      <c r="A2376" s="40">
        <f t="shared" si="41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/>
      <c r="L2376" s="34"/>
      <c r="M2376" s="34" t="s">
        <v>9737</v>
      </c>
    </row>
    <row r="2377" spans="1:13" hidden="1">
      <c r="A2377" s="40">
        <f t="shared" si="41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/>
      <c r="L2377" s="34"/>
      <c r="M2377" s="34" t="s">
        <v>9737</v>
      </c>
    </row>
    <row r="2378" spans="1:13" hidden="1">
      <c r="A2378" s="40">
        <f t="shared" si="41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/>
      <c r="L2378" s="34"/>
      <c r="M2378" s="34" t="s">
        <v>9737</v>
      </c>
    </row>
    <row r="2379" spans="1:13" hidden="1">
      <c r="A2379" s="40">
        <f t="shared" si="41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/>
      <c r="L2379" s="34"/>
      <c r="M2379" s="34" t="s">
        <v>9737</v>
      </c>
    </row>
    <row r="2380" spans="1:13" hidden="1">
      <c r="A2380" s="40">
        <f t="shared" si="41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/>
      <c r="L2380" s="34"/>
      <c r="M2380" s="34" t="s">
        <v>9737</v>
      </c>
    </row>
    <row r="2381" spans="1:13" hidden="1">
      <c r="A2381" s="40">
        <f t="shared" si="41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/>
      <c r="L2381" s="34"/>
      <c r="M2381" s="34" t="s">
        <v>9737</v>
      </c>
    </row>
    <row r="2382" spans="1:13" hidden="1">
      <c r="A2382" s="40">
        <f t="shared" si="41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/>
      <c r="L2382" s="34"/>
      <c r="M2382" s="34" t="s">
        <v>9737</v>
      </c>
    </row>
    <row r="2383" spans="1:13" hidden="1">
      <c r="A2383" s="40">
        <f t="shared" si="41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/>
      <c r="L2383" s="34"/>
      <c r="M2383" s="34" t="s">
        <v>9737</v>
      </c>
    </row>
    <row r="2384" spans="1:13" hidden="1">
      <c r="A2384" s="40">
        <f t="shared" si="41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/>
      <c r="L2384" s="34"/>
      <c r="M2384" s="34" t="s">
        <v>9737</v>
      </c>
    </row>
    <row r="2385" spans="1:13" hidden="1">
      <c r="A2385" s="40">
        <f t="shared" si="41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/>
      <c r="L2385" s="34"/>
      <c r="M2385" s="34" t="s">
        <v>9737</v>
      </c>
    </row>
    <row r="2386" spans="1:13" hidden="1">
      <c r="A2386" s="40">
        <f t="shared" si="41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/>
      <c r="L2386" s="34"/>
      <c r="M2386" s="34" t="s">
        <v>9737</v>
      </c>
    </row>
    <row r="2387" spans="1:13" hidden="1">
      <c r="A2387" s="40">
        <f t="shared" si="41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/>
      <c r="L2387" s="34"/>
      <c r="M2387" s="34" t="s">
        <v>9737</v>
      </c>
    </row>
    <row r="2388" spans="1:13" hidden="1">
      <c r="A2388" s="40">
        <f t="shared" si="41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/>
      <c r="L2388" s="34"/>
      <c r="M2388" s="34" t="s">
        <v>9737</v>
      </c>
    </row>
    <row r="2389" spans="1:13" hidden="1">
      <c r="A2389" s="40">
        <f t="shared" si="41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/>
      <c r="L2389" s="34"/>
      <c r="M2389" s="34" t="s">
        <v>9737</v>
      </c>
    </row>
    <row r="2390" spans="1:13" hidden="1">
      <c r="A2390" s="40">
        <f t="shared" si="41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/>
      <c r="L2390" s="34"/>
      <c r="M2390" s="34" t="s">
        <v>9737</v>
      </c>
    </row>
    <row r="2391" spans="1:13" hidden="1">
      <c r="A2391" s="40">
        <f t="shared" si="41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/>
      <c r="L2391" s="34"/>
      <c r="M2391" s="34" t="s">
        <v>9737</v>
      </c>
    </row>
    <row r="2392" spans="1:13" hidden="1">
      <c r="A2392" s="40">
        <f t="shared" si="41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/>
      <c r="L2392" s="34"/>
      <c r="M2392" s="34" t="s">
        <v>9737</v>
      </c>
    </row>
    <row r="2393" spans="1:13" hidden="1">
      <c r="A2393" s="40">
        <f t="shared" si="41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/>
      <c r="L2393" s="34"/>
      <c r="M2393" s="34" t="s">
        <v>9737</v>
      </c>
    </row>
    <row r="2394" spans="1:13" hidden="1">
      <c r="A2394" s="40">
        <f t="shared" si="41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/>
      <c r="L2394" s="34"/>
      <c r="M2394" s="34" t="s">
        <v>9737</v>
      </c>
    </row>
    <row r="2395" spans="1:13" hidden="1">
      <c r="A2395" s="40">
        <f t="shared" si="41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/>
      <c r="L2395" s="34"/>
      <c r="M2395" s="34" t="s">
        <v>9737</v>
      </c>
    </row>
    <row r="2396" spans="1:13" hidden="1">
      <c r="A2396" s="40">
        <f t="shared" si="41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/>
      <c r="L2396" s="34"/>
      <c r="M2396" s="34" t="s">
        <v>9737</v>
      </c>
    </row>
    <row r="2397" spans="1:13" hidden="1">
      <c r="A2397" s="40">
        <f t="shared" si="41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/>
      <c r="L2397" s="34"/>
      <c r="M2397" s="34" t="s">
        <v>9737</v>
      </c>
    </row>
    <row r="2398" spans="1:13" hidden="1">
      <c r="A2398" s="40">
        <f t="shared" si="41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/>
      <c r="L2398" s="34"/>
      <c r="M2398" s="34" t="s">
        <v>9737</v>
      </c>
    </row>
    <row r="2399" spans="1:13" hidden="1">
      <c r="A2399" s="40">
        <f t="shared" si="41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/>
      <c r="L2399" s="34"/>
      <c r="M2399" s="34" t="s">
        <v>9737</v>
      </c>
    </row>
    <row r="2400" spans="1:13" hidden="1">
      <c r="A2400" s="40">
        <f t="shared" si="41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/>
      <c r="L2400" s="34"/>
      <c r="M2400" s="34" t="s">
        <v>9737</v>
      </c>
    </row>
    <row r="2401" spans="1:13" hidden="1">
      <c r="A2401" s="40">
        <f t="shared" si="41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/>
      <c r="L2401" s="34"/>
      <c r="M2401" s="34" t="s">
        <v>9737</v>
      </c>
    </row>
    <row r="2402" spans="1:13" hidden="1">
      <c r="A2402" s="40">
        <f t="shared" si="41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/>
      <c r="L2402" s="34"/>
      <c r="M2402" s="34" t="s">
        <v>9737</v>
      </c>
    </row>
    <row r="2403" spans="1:13" hidden="1">
      <c r="A2403" s="40">
        <f t="shared" si="41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/>
      <c r="L2403" s="34"/>
      <c r="M2403" s="34" t="s">
        <v>9737</v>
      </c>
    </row>
    <row r="2404" spans="1:13" hidden="1">
      <c r="A2404" s="40">
        <f t="shared" si="41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/>
      <c r="L2404" s="34"/>
      <c r="M2404" s="34" t="s">
        <v>9737</v>
      </c>
    </row>
    <row r="2405" spans="1:13" hidden="1">
      <c r="A2405" s="40">
        <f t="shared" si="41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/>
      <c r="L2405" s="34"/>
      <c r="M2405" s="34" t="s">
        <v>9737</v>
      </c>
    </row>
    <row r="2406" spans="1:13" hidden="1">
      <c r="A2406" s="40">
        <f t="shared" si="41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/>
      <c r="L2406" s="34"/>
      <c r="M2406" s="34" t="s">
        <v>9737</v>
      </c>
    </row>
    <row r="2407" spans="1:13" hidden="1">
      <c r="A2407" s="40">
        <f t="shared" si="41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/>
      <c r="L2407" s="34"/>
      <c r="M2407" s="34" t="s">
        <v>9737</v>
      </c>
    </row>
    <row r="2408" spans="1:13" hidden="1">
      <c r="A2408" s="40">
        <f t="shared" si="41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/>
      <c r="L2408" s="34"/>
      <c r="M2408" s="34" t="s">
        <v>9737</v>
      </c>
    </row>
    <row r="2409" spans="1:13" hidden="1">
      <c r="A2409" s="40">
        <f t="shared" si="41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/>
      <c r="L2409" s="34"/>
      <c r="M2409" s="34" t="s">
        <v>9737</v>
      </c>
    </row>
    <row r="2410" spans="1:13" hidden="1">
      <c r="A2410" s="40">
        <f t="shared" si="41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/>
      <c r="L2410" s="34"/>
      <c r="M2410" s="34" t="s">
        <v>9737</v>
      </c>
    </row>
    <row r="2411" spans="1:13" hidden="1">
      <c r="A2411" s="40">
        <f t="shared" si="41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/>
      <c r="L2411" s="34"/>
      <c r="M2411" s="34" t="s">
        <v>9737</v>
      </c>
    </row>
    <row r="2412" spans="1:13" hidden="1">
      <c r="A2412" s="40">
        <f t="shared" si="41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/>
      <c r="L2412" s="34"/>
      <c r="M2412" s="34" t="s">
        <v>9737</v>
      </c>
    </row>
    <row r="2413" spans="1:13" hidden="1">
      <c r="A2413" s="40">
        <f t="shared" si="41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/>
      <c r="L2413" s="34"/>
      <c r="M2413" s="34" t="s">
        <v>9737</v>
      </c>
    </row>
    <row r="2414" spans="1:13" hidden="1">
      <c r="A2414" s="40">
        <f t="shared" si="41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/>
      <c r="L2414" s="34"/>
      <c r="M2414" s="34" t="s">
        <v>9737</v>
      </c>
    </row>
    <row r="2415" spans="1:13" hidden="1">
      <c r="A2415" s="40">
        <f t="shared" si="41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/>
      <c r="L2415" s="34"/>
      <c r="M2415" s="34" t="s">
        <v>9737</v>
      </c>
    </row>
    <row r="2416" spans="1:13" hidden="1">
      <c r="A2416" s="40">
        <f t="shared" si="41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/>
      <c r="L2416" s="34"/>
      <c r="M2416" s="34" t="s">
        <v>9737</v>
      </c>
    </row>
    <row r="2417" spans="1:13" hidden="1">
      <c r="A2417" s="40">
        <f t="shared" si="41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/>
      <c r="L2417" s="34"/>
      <c r="M2417" s="34" t="s">
        <v>9737</v>
      </c>
    </row>
    <row r="2418" spans="1:13" hidden="1">
      <c r="A2418" s="40">
        <f t="shared" si="41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/>
      <c r="L2418" s="34"/>
      <c r="M2418" s="34" t="s">
        <v>9737</v>
      </c>
    </row>
    <row r="2419" spans="1:13" hidden="1">
      <c r="A2419" s="40">
        <f t="shared" si="41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/>
      <c r="L2419" s="34"/>
      <c r="M2419" s="34" t="s">
        <v>9737</v>
      </c>
    </row>
    <row r="2420" spans="1:13" hidden="1">
      <c r="A2420" s="40">
        <f t="shared" si="41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/>
      <c r="L2420" s="34"/>
      <c r="M2420" s="34" t="s">
        <v>9737</v>
      </c>
    </row>
    <row r="2421" spans="1:13" hidden="1">
      <c r="A2421" s="40">
        <f t="shared" si="41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/>
      <c r="L2421" s="34"/>
      <c r="M2421" s="34" t="s">
        <v>9737</v>
      </c>
    </row>
    <row r="2422" spans="1:13" hidden="1">
      <c r="A2422" s="40">
        <f t="shared" si="41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/>
      <c r="L2422" s="34"/>
      <c r="M2422" s="34" t="s">
        <v>9737</v>
      </c>
    </row>
    <row r="2423" spans="1:13" hidden="1">
      <c r="A2423" s="40">
        <f t="shared" si="41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/>
      <c r="L2423" s="34"/>
      <c r="M2423" s="34" t="s">
        <v>9737</v>
      </c>
    </row>
    <row r="2424" spans="1:13" hidden="1">
      <c r="A2424" s="40">
        <f t="shared" si="41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/>
      <c r="L2424" s="34"/>
      <c r="M2424" s="34" t="s">
        <v>9737</v>
      </c>
    </row>
    <row r="2425" spans="1:13" hidden="1">
      <c r="A2425" s="40">
        <f t="shared" si="41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/>
      <c r="L2425" s="34"/>
      <c r="M2425" s="34" t="s">
        <v>9737</v>
      </c>
    </row>
    <row r="2426" spans="1:13" hidden="1">
      <c r="A2426" s="40">
        <f t="shared" si="41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/>
      <c r="L2426" s="34"/>
      <c r="M2426" s="34" t="s">
        <v>9737</v>
      </c>
    </row>
    <row r="2427" spans="1:13" hidden="1">
      <c r="A2427" s="40">
        <f t="shared" si="41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/>
      <c r="L2427" s="34"/>
      <c r="M2427" s="34" t="s">
        <v>9737</v>
      </c>
    </row>
    <row r="2428" spans="1:13" hidden="1">
      <c r="A2428" s="40">
        <f t="shared" si="41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/>
      <c r="L2428" s="34"/>
      <c r="M2428" s="34" t="s">
        <v>9737</v>
      </c>
    </row>
    <row r="2429" spans="1:13" hidden="1">
      <c r="A2429" s="40">
        <f t="shared" si="41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/>
      <c r="L2429" s="34"/>
      <c r="M2429" s="34" t="s">
        <v>9737</v>
      </c>
    </row>
    <row r="2430" spans="1:13" hidden="1">
      <c r="A2430" s="40">
        <f t="shared" ref="A2430:A2493" si="42">1+A2429</f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/>
      <c r="L2430" s="34"/>
      <c r="M2430" s="34" t="s">
        <v>9737</v>
      </c>
    </row>
    <row r="2431" spans="1:13" hidden="1">
      <c r="A2431" s="40">
        <f t="shared" si="42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/>
      <c r="L2431" s="34"/>
      <c r="M2431" s="34" t="s">
        <v>9737</v>
      </c>
    </row>
    <row r="2432" spans="1:13" hidden="1">
      <c r="A2432" s="40">
        <f t="shared" si="42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/>
      <c r="L2432" s="34"/>
      <c r="M2432" s="34" t="s">
        <v>9737</v>
      </c>
    </row>
    <row r="2433" spans="1:13" hidden="1">
      <c r="A2433" s="40">
        <f t="shared" si="42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/>
      <c r="L2433" s="34"/>
      <c r="M2433" s="34" t="s">
        <v>9737</v>
      </c>
    </row>
    <row r="2434" spans="1:13" hidden="1">
      <c r="A2434" s="40">
        <f t="shared" si="42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/>
      <c r="L2434" s="34"/>
      <c r="M2434" s="34" t="s">
        <v>9737</v>
      </c>
    </row>
    <row r="2435" spans="1:13" hidden="1">
      <c r="A2435" s="40">
        <f t="shared" si="42"/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/>
      <c r="L2435" s="34"/>
      <c r="M2435" s="34" t="s">
        <v>9737</v>
      </c>
    </row>
    <row r="2436" spans="1:13" hidden="1">
      <c r="A2436" s="40">
        <f t="shared" si="42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/>
      <c r="L2436" s="34"/>
      <c r="M2436" s="34" t="s">
        <v>9737</v>
      </c>
    </row>
    <row r="2437" spans="1:13" hidden="1">
      <c r="A2437" s="40">
        <f t="shared" si="42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/>
      <c r="L2437" s="34"/>
      <c r="M2437" s="34" t="s">
        <v>9737</v>
      </c>
    </row>
    <row r="2438" spans="1:13" hidden="1">
      <c r="A2438" s="40">
        <f t="shared" si="42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/>
      <c r="L2438" s="34"/>
      <c r="M2438" s="34" t="s">
        <v>9737</v>
      </c>
    </row>
    <row r="2439" spans="1:13" hidden="1">
      <c r="A2439" s="40">
        <f t="shared" si="42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/>
      <c r="L2439" s="34"/>
      <c r="M2439" s="34" t="s">
        <v>9737</v>
      </c>
    </row>
    <row r="2440" spans="1:13" hidden="1">
      <c r="A2440" s="40">
        <f t="shared" si="42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/>
      <c r="L2440" s="34"/>
      <c r="M2440" s="34" t="s">
        <v>9737</v>
      </c>
    </row>
    <row r="2441" spans="1:13" hidden="1">
      <c r="A2441" s="40">
        <f t="shared" si="42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/>
      <c r="L2441" s="34"/>
      <c r="M2441" s="34" t="s">
        <v>9737</v>
      </c>
    </row>
    <row r="2442" spans="1:13" hidden="1">
      <c r="A2442" s="40">
        <f t="shared" si="42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/>
      <c r="L2442" s="34"/>
      <c r="M2442" s="34" t="s">
        <v>9737</v>
      </c>
    </row>
    <row r="2443" spans="1:13" hidden="1">
      <c r="A2443" s="40">
        <f t="shared" si="42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/>
      <c r="L2443" s="34"/>
      <c r="M2443" s="34" t="s">
        <v>9737</v>
      </c>
    </row>
    <row r="2444" spans="1:13" hidden="1">
      <c r="A2444" s="40">
        <f t="shared" si="42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/>
      <c r="L2444" s="34"/>
      <c r="M2444" s="34" t="s">
        <v>9737</v>
      </c>
    </row>
    <row r="2445" spans="1:13" hidden="1">
      <c r="A2445" s="40">
        <f t="shared" si="42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/>
      <c r="L2445" s="34"/>
      <c r="M2445" s="34" t="s">
        <v>9737</v>
      </c>
    </row>
    <row r="2446" spans="1:13" hidden="1">
      <c r="A2446" s="40">
        <f t="shared" si="42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/>
      <c r="L2446" s="34"/>
      <c r="M2446" s="34" t="s">
        <v>9737</v>
      </c>
    </row>
    <row r="2447" spans="1:13" hidden="1">
      <c r="A2447" s="40">
        <f t="shared" si="42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/>
      <c r="L2447" s="34"/>
      <c r="M2447" s="34" t="s">
        <v>9737</v>
      </c>
    </row>
    <row r="2448" spans="1:13" hidden="1">
      <c r="A2448" s="40">
        <f t="shared" si="42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/>
      <c r="L2448" s="34"/>
      <c r="M2448" s="34" t="s">
        <v>9737</v>
      </c>
    </row>
    <row r="2449" spans="1:13" hidden="1">
      <c r="A2449" s="40">
        <f t="shared" si="42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/>
      <c r="L2449" s="34"/>
      <c r="M2449" s="34" t="s">
        <v>9737</v>
      </c>
    </row>
    <row r="2450" spans="1:13" hidden="1">
      <c r="A2450" s="40">
        <f t="shared" si="42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/>
      <c r="L2450" s="34"/>
      <c r="M2450" s="34" t="s">
        <v>9737</v>
      </c>
    </row>
    <row r="2451" spans="1:13" hidden="1">
      <c r="A2451" s="40">
        <f t="shared" si="42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/>
      <c r="L2451" s="34"/>
      <c r="M2451" s="34" t="s">
        <v>9737</v>
      </c>
    </row>
    <row r="2452" spans="1:13" hidden="1">
      <c r="A2452" s="40">
        <f t="shared" si="42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/>
      <c r="L2452" s="34"/>
      <c r="M2452" s="34" t="s">
        <v>9737</v>
      </c>
    </row>
    <row r="2453" spans="1:13" hidden="1">
      <c r="A2453" s="40">
        <f t="shared" si="42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/>
      <c r="L2453" s="34"/>
      <c r="M2453" s="34" t="s">
        <v>9737</v>
      </c>
    </row>
    <row r="2454" spans="1:13" hidden="1">
      <c r="A2454" s="40">
        <f t="shared" si="42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/>
      <c r="L2454" s="34"/>
      <c r="M2454" s="34" t="s">
        <v>9737</v>
      </c>
    </row>
    <row r="2455" spans="1:13" hidden="1">
      <c r="A2455" s="40">
        <f t="shared" si="42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/>
      <c r="L2455" s="34"/>
      <c r="M2455" s="34" t="s">
        <v>9737</v>
      </c>
    </row>
    <row r="2456" spans="1:13" hidden="1">
      <c r="A2456" s="40">
        <f t="shared" si="42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/>
      <c r="L2456" s="34"/>
      <c r="M2456" s="34" t="s">
        <v>9737</v>
      </c>
    </row>
    <row r="2457" spans="1:13" hidden="1">
      <c r="A2457" s="40">
        <f t="shared" si="42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/>
      <c r="L2457" s="34"/>
      <c r="M2457" s="34" t="s">
        <v>9737</v>
      </c>
    </row>
    <row r="2458" spans="1:13" hidden="1">
      <c r="A2458" s="40">
        <f t="shared" si="42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/>
      <c r="L2458" s="34"/>
      <c r="M2458" s="34" t="s">
        <v>9737</v>
      </c>
    </row>
    <row r="2459" spans="1:13" hidden="1">
      <c r="A2459" s="40">
        <f t="shared" si="42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/>
      <c r="L2459" s="34"/>
      <c r="M2459" s="34" t="s">
        <v>9737</v>
      </c>
    </row>
    <row r="2460" spans="1:13" hidden="1">
      <c r="A2460" s="40">
        <f t="shared" si="42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/>
      <c r="L2460" s="34"/>
      <c r="M2460" s="34" t="s">
        <v>9737</v>
      </c>
    </row>
    <row r="2461" spans="1:13" hidden="1">
      <c r="A2461" s="40">
        <f t="shared" si="42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/>
      <c r="L2461" s="34"/>
      <c r="M2461" s="34" t="s">
        <v>9737</v>
      </c>
    </row>
    <row r="2462" spans="1:13" hidden="1">
      <c r="A2462" s="40">
        <f t="shared" si="42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/>
      <c r="L2462" s="34"/>
      <c r="M2462" s="34" t="s">
        <v>9737</v>
      </c>
    </row>
    <row r="2463" spans="1:13" hidden="1">
      <c r="A2463" s="40">
        <f t="shared" si="42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/>
      <c r="L2463" s="34"/>
      <c r="M2463" s="34" t="s">
        <v>9737</v>
      </c>
    </row>
    <row r="2464" spans="1:13" hidden="1">
      <c r="A2464" s="40">
        <f t="shared" si="42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/>
      <c r="L2464" s="34"/>
      <c r="M2464" s="34" t="s">
        <v>9737</v>
      </c>
    </row>
    <row r="2465" spans="1:13" hidden="1">
      <c r="A2465" s="40">
        <f t="shared" si="42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/>
      <c r="L2465" s="34"/>
      <c r="M2465" s="34" t="s">
        <v>9737</v>
      </c>
    </row>
    <row r="2466" spans="1:13" hidden="1">
      <c r="A2466" s="40">
        <f t="shared" si="42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/>
      <c r="L2466" s="34"/>
      <c r="M2466" s="34" t="s">
        <v>9737</v>
      </c>
    </row>
    <row r="2467" spans="1:13" hidden="1">
      <c r="A2467" s="40">
        <f t="shared" si="42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/>
      <c r="L2467" s="34"/>
      <c r="M2467" s="34" t="s">
        <v>9737</v>
      </c>
    </row>
    <row r="2468" spans="1:13" hidden="1">
      <c r="A2468" s="40">
        <f t="shared" si="42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/>
      <c r="L2468" s="34"/>
      <c r="M2468" s="34" t="s">
        <v>9737</v>
      </c>
    </row>
    <row r="2469" spans="1:13" hidden="1">
      <c r="A2469" s="40">
        <f t="shared" si="42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/>
      <c r="L2469" s="34"/>
      <c r="M2469" s="34" t="s">
        <v>9737</v>
      </c>
    </row>
    <row r="2470" spans="1:13" hidden="1">
      <c r="A2470" s="40">
        <f t="shared" si="42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/>
      <c r="L2470" s="34"/>
      <c r="M2470" s="34" t="s">
        <v>9737</v>
      </c>
    </row>
    <row r="2471" spans="1:13" hidden="1">
      <c r="A2471" s="40">
        <f t="shared" si="42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/>
      <c r="L2471" s="34"/>
      <c r="M2471" s="34" t="s">
        <v>9737</v>
      </c>
    </row>
    <row r="2472" spans="1:13" hidden="1">
      <c r="A2472" s="40">
        <f t="shared" si="42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/>
      <c r="L2472" s="34"/>
      <c r="M2472" s="34" t="s">
        <v>9737</v>
      </c>
    </row>
    <row r="2473" spans="1:13" hidden="1">
      <c r="A2473" s="40">
        <f t="shared" si="42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/>
      <c r="L2473" s="34"/>
      <c r="M2473" s="34" t="s">
        <v>9737</v>
      </c>
    </row>
    <row r="2474" spans="1:13" hidden="1">
      <c r="A2474" s="40">
        <f t="shared" si="42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/>
      <c r="L2474" s="34"/>
      <c r="M2474" s="34" t="s">
        <v>9737</v>
      </c>
    </row>
    <row r="2475" spans="1:13" hidden="1">
      <c r="A2475" s="40">
        <f t="shared" si="42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/>
      <c r="L2475" s="34"/>
      <c r="M2475" s="34" t="s">
        <v>9737</v>
      </c>
    </row>
    <row r="2476" spans="1:13" hidden="1">
      <c r="A2476" s="40">
        <f t="shared" si="42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/>
      <c r="L2476" s="34"/>
      <c r="M2476" s="34" t="s">
        <v>9737</v>
      </c>
    </row>
    <row r="2477" spans="1:13" hidden="1">
      <c r="A2477" s="40">
        <f t="shared" si="42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/>
      <c r="L2477" s="34"/>
      <c r="M2477" s="34" t="s">
        <v>9737</v>
      </c>
    </row>
    <row r="2478" spans="1:13" hidden="1">
      <c r="A2478" s="40">
        <f t="shared" si="42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/>
      <c r="L2478" s="34"/>
      <c r="M2478" s="34" t="s">
        <v>9737</v>
      </c>
    </row>
    <row r="2479" spans="1:13" hidden="1">
      <c r="A2479" s="40">
        <f t="shared" si="42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/>
      <c r="L2479" s="34"/>
      <c r="M2479" s="34" t="s">
        <v>9737</v>
      </c>
    </row>
    <row r="2480" spans="1:13" hidden="1">
      <c r="A2480" s="40">
        <f t="shared" si="42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/>
      <c r="L2480" s="34"/>
      <c r="M2480" s="34" t="s">
        <v>9737</v>
      </c>
    </row>
    <row r="2481" spans="1:13" hidden="1">
      <c r="A2481" s="40">
        <f t="shared" si="42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/>
      <c r="L2481" s="34"/>
      <c r="M2481" s="34" t="s">
        <v>9737</v>
      </c>
    </row>
    <row r="2482" spans="1:13" hidden="1">
      <c r="A2482" s="40">
        <f t="shared" si="42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/>
      <c r="L2482" s="34"/>
      <c r="M2482" s="34" t="s">
        <v>9737</v>
      </c>
    </row>
    <row r="2483" spans="1:13" hidden="1">
      <c r="A2483" s="40">
        <f t="shared" si="42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/>
      <c r="L2483" s="34"/>
      <c r="M2483" s="34" t="s">
        <v>9737</v>
      </c>
    </row>
    <row r="2484" spans="1:13" hidden="1">
      <c r="A2484" s="40">
        <f t="shared" si="42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/>
      <c r="L2484" s="34"/>
      <c r="M2484" s="34" t="s">
        <v>9737</v>
      </c>
    </row>
    <row r="2485" spans="1:13" hidden="1">
      <c r="A2485" s="40">
        <f t="shared" si="42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/>
      <c r="L2485" s="34"/>
      <c r="M2485" s="34" t="s">
        <v>9737</v>
      </c>
    </row>
    <row r="2486" spans="1:13" hidden="1">
      <c r="A2486" s="40">
        <f t="shared" si="42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/>
      <c r="L2486" s="34"/>
      <c r="M2486" s="34" t="s">
        <v>9737</v>
      </c>
    </row>
    <row r="2487" spans="1:13" hidden="1">
      <c r="A2487" s="40">
        <f t="shared" si="42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/>
      <c r="L2487" s="34"/>
      <c r="M2487" s="34" t="s">
        <v>9737</v>
      </c>
    </row>
    <row r="2488" spans="1:13" hidden="1">
      <c r="A2488" s="40">
        <f t="shared" si="42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/>
      <c r="L2488" s="34"/>
      <c r="M2488" s="34" t="s">
        <v>9737</v>
      </c>
    </row>
    <row r="2489" spans="1:13" hidden="1">
      <c r="A2489" s="40">
        <f t="shared" si="42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/>
      <c r="L2489" s="34"/>
      <c r="M2489" s="34" t="s">
        <v>9737</v>
      </c>
    </row>
    <row r="2490" spans="1:13" hidden="1">
      <c r="A2490" s="40">
        <f t="shared" si="42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/>
      <c r="L2490" s="34"/>
      <c r="M2490" s="34" t="s">
        <v>9737</v>
      </c>
    </row>
    <row r="2491" spans="1:13" hidden="1">
      <c r="A2491" s="40">
        <f t="shared" si="42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/>
      <c r="L2491" s="34"/>
      <c r="M2491" s="34" t="s">
        <v>9737</v>
      </c>
    </row>
    <row r="2492" spans="1:13" hidden="1">
      <c r="A2492" s="40">
        <f t="shared" si="42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/>
      <c r="L2492" s="34"/>
      <c r="M2492" s="34" t="s">
        <v>9737</v>
      </c>
    </row>
    <row r="2493" spans="1:13" hidden="1">
      <c r="A2493" s="40">
        <f t="shared" si="42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/>
      <c r="L2493" s="34"/>
      <c r="M2493" s="34" t="s">
        <v>9737</v>
      </c>
    </row>
    <row r="2494" spans="1:13" hidden="1">
      <c r="A2494" s="40">
        <f t="shared" ref="A2494:A2557" si="43">1+A2493</f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/>
      <c r="L2494" s="34"/>
      <c r="M2494" s="34" t="s">
        <v>9737</v>
      </c>
    </row>
    <row r="2495" spans="1:13" hidden="1">
      <c r="A2495" s="40">
        <f t="shared" si="43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/>
      <c r="L2495" s="34"/>
      <c r="M2495" s="34" t="s">
        <v>9737</v>
      </c>
    </row>
    <row r="2496" spans="1:13" hidden="1">
      <c r="A2496" s="40">
        <f t="shared" si="43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/>
      <c r="L2496" s="34"/>
      <c r="M2496" s="34" t="s">
        <v>9737</v>
      </c>
    </row>
    <row r="2497" spans="1:13" hidden="1">
      <c r="A2497" s="40">
        <f t="shared" si="43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/>
      <c r="L2497" s="34"/>
      <c r="M2497" s="34" t="s">
        <v>9737</v>
      </c>
    </row>
    <row r="2498" spans="1:13" hidden="1">
      <c r="A2498" s="40">
        <f t="shared" si="43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/>
      <c r="L2498" s="34"/>
      <c r="M2498" s="34" t="s">
        <v>9737</v>
      </c>
    </row>
    <row r="2499" spans="1:13" hidden="1">
      <c r="A2499" s="40">
        <f t="shared" si="43"/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/>
      <c r="L2499" s="34"/>
      <c r="M2499" s="34" t="s">
        <v>9737</v>
      </c>
    </row>
    <row r="2500" spans="1:13" hidden="1">
      <c r="A2500" s="40">
        <f t="shared" si="43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/>
      <c r="L2500" s="34"/>
      <c r="M2500" s="34" t="s">
        <v>9737</v>
      </c>
    </row>
    <row r="2501" spans="1:13" hidden="1">
      <c r="A2501" s="40">
        <f t="shared" si="43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/>
      <c r="L2501" s="34"/>
      <c r="M2501" s="34" t="s">
        <v>9737</v>
      </c>
    </row>
    <row r="2502" spans="1:13" hidden="1">
      <c r="A2502" s="40">
        <f t="shared" si="43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/>
      <c r="L2502" s="34"/>
      <c r="M2502" s="34" t="s">
        <v>9737</v>
      </c>
    </row>
    <row r="2503" spans="1:13" hidden="1">
      <c r="A2503" s="40">
        <f t="shared" si="43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/>
      <c r="L2503" s="34"/>
      <c r="M2503" s="34" t="s">
        <v>9737</v>
      </c>
    </row>
    <row r="2504" spans="1:13" hidden="1">
      <c r="A2504" s="40">
        <f t="shared" si="43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/>
      <c r="L2504" s="34"/>
      <c r="M2504" s="34" t="s">
        <v>9737</v>
      </c>
    </row>
    <row r="2505" spans="1:13" hidden="1">
      <c r="A2505" s="40">
        <f t="shared" si="43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/>
      <c r="L2505" s="34"/>
      <c r="M2505" s="34" t="s">
        <v>9737</v>
      </c>
    </row>
    <row r="2506" spans="1:13" hidden="1">
      <c r="A2506" s="40">
        <f t="shared" si="43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/>
      <c r="L2506" s="34"/>
      <c r="M2506" s="34" t="s">
        <v>9737</v>
      </c>
    </row>
    <row r="2507" spans="1:13" hidden="1">
      <c r="A2507" s="40">
        <f t="shared" si="43"/>
        <v>2506</v>
      </c>
      <c r="B2507" s="34" t="s">
        <v>8</v>
      </c>
      <c r="C2507" s="8" t="s">
        <v>11463</v>
      </c>
      <c r="D2507" s="8" t="s">
        <v>11464</v>
      </c>
      <c r="E2507" s="8" t="s">
        <v>11289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43"/>
        <v>2507</v>
      </c>
      <c r="B2508" s="34" t="s">
        <v>8</v>
      </c>
      <c r="C2508" s="34" t="s">
        <v>11463</v>
      </c>
      <c r="D2508" s="8" t="s">
        <v>11465</v>
      </c>
      <c r="E2508" s="8" t="s">
        <v>11290</v>
      </c>
      <c r="F2508" s="34" t="s">
        <v>11464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43"/>
        <v>2508</v>
      </c>
      <c r="B2509" s="34" t="s">
        <v>8</v>
      </c>
      <c r="C2509" s="34" t="s">
        <v>11463</v>
      </c>
      <c r="D2509" s="8" t="s">
        <v>11466</v>
      </c>
      <c r="E2509" s="8" t="s">
        <v>11291</v>
      </c>
      <c r="F2509" s="34" t="s">
        <v>11464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43"/>
        <v>2509</v>
      </c>
      <c r="B2510" s="34" t="s">
        <v>8</v>
      </c>
      <c r="C2510" s="34" t="s">
        <v>11463</v>
      </c>
      <c r="D2510" s="8" t="s">
        <v>11467</v>
      </c>
      <c r="E2510" s="8" t="s">
        <v>11292</v>
      </c>
      <c r="F2510" s="34" t="s">
        <v>11465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43"/>
        <v>2510</v>
      </c>
      <c r="B2511" s="34" t="s">
        <v>8</v>
      </c>
      <c r="C2511" s="34" t="s">
        <v>11463</v>
      </c>
      <c r="D2511" s="8" t="s">
        <v>11468</v>
      </c>
      <c r="E2511" s="8" t="s">
        <v>11293</v>
      </c>
      <c r="F2511" s="34" t="s">
        <v>11465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43"/>
        <v>2511</v>
      </c>
      <c r="B2512" s="34" t="s">
        <v>8</v>
      </c>
      <c r="C2512" s="34" t="s">
        <v>11463</v>
      </c>
      <c r="D2512" s="8" t="s">
        <v>11469</v>
      </c>
      <c r="E2512" s="8" t="s">
        <v>11294</v>
      </c>
      <c r="F2512" s="34" t="s">
        <v>11465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43"/>
        <v>2512</v>
      </c>
      <c r="B2513" s="34" t="s">
        <v>8</v>
      </c>
      <c r="C2513" s="34" t="s">
        <v>11463</v>
      </c>
      <c r="D2513" s="8" t="s">
        <v>11470</v>
      </c>
      <c r="E2513" s="8" t="s">
        <v>11295</v>
      </c>
      <c r="F2513" s="34" t="s">
        <v>11465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43"/>
        <v>2513</v>
      </c>
      <c r="B2514" s="34" t="s">
        <v>8</v>
      </c>
      <c r="C2514" s="34" t="s">
        <v>11463</v>
      </c>
      <c r="D2514" s="8" t="s">
        <v>11471</v>
      </c>
      <c r="E2514" s="8" t="s">
        <v>11296</v>
      </c>
      <c r="F2514" s="34" t="s">
        <v>11465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43"/>
        <v>2514</v>
      </c>
      <c r="B2515" s="34" t="s">
        <v>8</v>
      </c>
      <c r="C2515" s="34" t="s">
        <v>11463</v>
      </c>
      <c r="D2515" s="8" t="s">
        <v>11472</v>
      </c>
      <c r="E2515" s="8" t="s">
        <v>11297</v>
      </c>
      <c r="F2515" s="34" t="s">
        <v>11465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43"/>
        <v>2515</v>
      </c>
      <c r="B2516" s="34" t="s">
        <v>8</v>
      </c>
      <c r="C2516" s="34" t="s">
        <v>11463</v>
      </c>
      <c r="D2516" s="8" t="s">
        <v>11473</v>
      </c>
      <c r="E2516" s="8" t="s">
        <v>11298</v>
      </c>
      <c r="F2516" s="34" t="s">
        <v>11465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43"/>
        <v>2516</v>
      </c>
      <c r="B2517" s="34" t="s">
        <v>8</v>
      </c>
      <c r="C2517" s="34" t="s">
        <v>11463</v>
      </c>
      <c r="D2517" s="8" t="s">
        <v>11474</v>
      </c>
      <c r="E2517" s="8" t="s">
        <v>11299</v>
      </c>
      <c r="F2517" s="34" t="s">
        <v>11465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43"/>
        <v>2517</v>
      </c>
      <c r="B2518" s="34" t="s">
        <v>8</v>
      </c>
      <c r="C2518" s="34" t="s">
        <v>11463</v>
      </c>
      <c r="D2518" s="8" t="s">
        <v>11475</v>
      </c>
      <c r="E2518" s="8" t="s">
        <v>11300</v>
      </c>
      <c r="F2518" s="34" t="s">
        <v>11465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43"/>
        <v>2518</v>
      </c>
      <c r="B2519" s="34" t="s">
        <v>8</v>
      </c>
      <c r="C2519" s="34" t="s">
        <v>11463</v>
      </c>
      <c r="D2519" s="8" t="s">
        <v>11476</v>
      </c>
      <c r="E2519" s="8" t="s">
        <v>11301</v>
      </c>
      <c r="F2519" s="34" t="s">
        <v>11465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43"/>
        <v>2519</v>
      </c>
      <c r="B2520" s="34" t="s">
        <v>8</v>
      </c>
      <c r="C2520" s="34" t="s">
        <v>11463</v>
      </c>
      <c r="D2520" s="8" t="s">
        <v>11477</v>
      </c>
      <c r="E2520" s="8" t="s">
        <v>11302</v>
      </c>
      <c r="F2520" s="34" t="s">
        <v>11465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43"/>
        <v>2520</v>
      </c>
      <c r="B2521" s="34" t="s">
        <v>8</v>
      </c>
      <c r="C2521" s="34" t="s">
        <v>11463</v>
      </c>
      <c r="D2521" s="8" t="s">
        <v>11478</v>
      </c>
      <c r="E2521" s="8" t="s">
        <v>11303</v>
      </c>
      <c r="F2521" s="34" t="s">
        <v>11465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43"/>
        <v>2521</v>
      </c>
      <c r="B2522" s="34" t="s">
        <v>8</v>
      </c>
      <c r="C2522" s="34" t="s">
        <v>11463</v>
      </c>
      <c r="D2522" s="8" t="s">
        <v>11479</v>
      </c>
      <c r="E2522" s="8" t="s">
        <v>11304</v>
      </c>
      <c r="F2522" s="34" t="s">
        <v>11465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43"/>
        <v>2522</v>
      </c>
      <c r="B2523" s="34" t="s">
        <v>8</v>
      </c>
      <c r="C2523" s="34" t="s">
        <v>11463</v>
      </c>
      <c r="D2523" s="8" t="s">
        <v>11480</v>
      </c>
      <c r="E2523" s="8" t="s">
        <v>11305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43"/>
        <v>2523</v>
      </c>
      <c r="B2524" s="34" t="s">
        <v>8</v>
      </c>
      <c r="C2524" s="34" t="s">
        <v>11463</v>
      </c>
      <c r="D2524" s="8" t="s">
        <v>11481</v>
      </c>
      <c r="E2524" s="8" t="s">
        <v>11306</v>
      </c>
      <c r="F2524" s="34" t="s">
        <v>11480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43"/>
        <v>2524</v>
      </c>
      <c r="B2525" s="34" t="s">
        <v>8</v>
      </c>
      <c r="C2525" s="34" t="s">
        <v>11463</v>
      </c>
      <c r="D2525" s="8" t="s">
        <v>11482</v>
      </c>
      <c r="E2525" s="8" t="s">
        <v>11307</v>
      </c>
      <c r="F2525" s="34" t="s">
        <v>11480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43"/>
        <v>2525</v>
      </c>
      <c r="B2526" s="34" t="s">
        <v>8</v>
      </c>
      <c r="C2526" s="34" t="s">
        <v>11463</v>
      </c>
      <c r="D2526" s="8" t="s">
        <v>11483</v>
      </c>
      <c r="E2526" s="8" t="s">
        <v>11308</v>
      </c>
      <c r="F2526" s="34" t="s">
        <v>11481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43"/>
        <v>2526</v>
      </c>
      <c r="B2527" s="34" t="s">
        <v>8</v>
      </c>
      <c r="C2527" s="34" t="s">
        <v>11463</v>
      </c>
      <c r="D2527" s="8" t="s">
        <v>11484</v>
      </c>
      <c r="E2527" s="8" t="s">
        <v>11309</v>
      </c>
      <c r="F2527" s="34" t="s">
        <v>11481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43"/>
        <v>2527</v>
      </c>
      <c r="B2528" s="34" t="s">
        <v>8</v>
      </c>
      <c r="C2528" s="34" t="s">
        <v>11463</v>
      </c>
      <c r="D2528" s="8" t="s">
        <v>11485</v>
      </c>
      <c r="E2528" s="8" t="s">
        <v>11310</v>
      </c>
      <c r="F2528" s="34" t="s">
        <v>11481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43"/>
        <v>2528</v>
      </c>
      <c r="B2529" s="34" t="s">
        <v>8</v>
      </c>
      <c r="C2529" s="34" t="s">
        <v>11463</v>
      </c>
      <c r="D2529" s="8" t="s">
        <v>11486</v>
      </c>
      <c r="E2529" s="8" t="s">
        <v>11311</v>
      </c>
      <c r="F2529" s="34" t="s">
        <v>11481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43"/>
        <v>2529</v>
      </c>
      <c r="B2530" s="34" t="s">
        <v>8</v>
      </c>
      <c r="C2530" s="34" t="s">
        <v>11463</v>
      </c>
      <c r="D2530" s="8" t="s">
        <v>11487</v>
      </c>
      <c r="E2530" s="8" t="s">
        <v>11312</v>
      </c>
      <c r="F2530" s="34" t="s">
        <v>11481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43"/>
        <v>2530</v>
      </c>
      <c r="B2531" s="34" t="s">
        <v>8</v>
      </c>
      <c r="C2531" s="34" t="s">
        <v>11463</v>
      </c>
      <c r="D2531" s="8" t="s">
        <v>11488</v>
      </c>
      <c r="E2531" s="8" t="s">
        <v>11313</v>
      </c>
      <c r="F2531" s="34" t="s">
        <v>11481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43"/>
        <v>2531</v>
      </c>
      <c r="B2532" s="34" t="s">
        <v>8</v>
      </c>
      <c r="C2532" s="34" t="s">
        <v>11463</v>
      </c>
      <c r="D2532" s="8" t="s">
        <v>11489</v>
      </c>
      <c r="E2532" s="8" t="s">
        <v>11314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43"/>
        <v>2532</v>
      </c>
      <c r="B2533" s="34" t="s">
        <v>8</v>
      </c>
      <c r="C2533" s="34" t="s">
        <v>11463</v>
      </c>
      <c r="D2533" s="8" t="s">
        <v>11490</v>
      </c>
      <c r="E2533" s="8" t="s">
        <v>11315</v>
      </c>
      <c r="F2533" s="34" t="s">
        <v>11489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43"/>
        <v>2533</v>
      </c>
      <c r="B2534" s="34" t="s">
        <v>8</v>
      </c>
      <c r="C2534" s="34" t="s">
        <v>11463</v>
      </c>
      <c r="D2534" s="8" t="s">
        <v>11491</v>
      </c>
      <c r="E2534" s="8" t="s">
        <v>11316</v>
      </c>
      <c r="F2534" s="34" t="s">
        <v>11489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43"/>
        <v>2534</v>
      </c>
      <c r="B2535" s="34" t="s">
        <v>8</v>
      </c>
      <c r="C2535" s="34" t="s">
        <v>11463</v>
      </c>
      <c r="D2535" s="8" t="s">
        <v>11492</v>
      </c>
      <c r="E2535" s="8" t="s">
        <v>11317</v>
      </c>
      <c r="F2535" s="34" t="s">
        <v>11490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43"/>
        <v>2535</v>
      </c>
      <c r="B2536" s="34" t="s">
        <v>8</v>
      </c>
      <c r="C2536" s="34" t="s">
        <v>11463</v>
      </c>
      <c r="D2536" s="8" t="s">
        <v>11493</v>
      </c>
      <c r="E2536" s="8" t="s">
        <v>11318</v>
      </c>
      <c r="F2536" s="34" t="s">
        <v>11490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43"/>
        <v>2536</v>
      </c>
      <c r="B2537" s="34" t="s">
        <v>8</v>
      </c>
      <c r="C2537" s="34" t="s">
        <v>11463</v>
      </c>
      <c r="D2537" s="8" t="s">
        <v>11494</v>
      </c>
      <c r="E2537" s="8" t="s">
        <v>11319</v>
      </c>
      <c r="F2537" s="34" t="s">
        <v>11490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43"/>
        <v>2537</v>
      </c>
      <c r="B2538" s="34" t="s">
        <v>8</v>
      </c>
      <c r="C2538" s="34" t="s">
        <v>11463</v>
      </c>
      <c r="D2538" s="8" t="s">
        <v>11495</v>
      </c>
      <c r="E2538" s="8" t="s">
        <v>11320</v>
      </c>
      <c r="F2538" s="34" t="s">
        <v>11490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43"/>
        <v>2538</v>
      </c>
      <c r="B2539" s="34" t="s">
        <v>8</v>
      </c>
      <c r="C2539" s="34" t="s">
        <v>11463</v>
      </c>
      <c r="D2539" s="8" t="s">
        <v>11496</v>
      </c>
      <c r="E2539" s="8" t="s">
        <v>11321</v>
      </c>
      <c r="F2539" s="34" t="s">
        <v>11490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43"/>
        <v>2539</v>
      </c>
      <c r="B2540" s="34" t="s">
        <v>8</v>
      </c>
      <c r="C2540" s="34" t="s">
        <v>11463</v>
      </c>
      <c r="D2540" s="8" t="s">
        <v>11497</v>
      </c>
      <c r="E2540" s="8" t="s">
        <v>11322</v>
      </c>
      <c r="F2540" s="34" t="s">
        <v>11490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43"/>
        <v>2540</v>
      </c>
      <c r="B2541" s="34" t="s">
        <v>8</v>
      </c>
      <c r="C2541" s="34" t="s">
        <v>11463</v>
      </c>
      <c r="D2541" s="8" t="s">
        <v>11498</v>
      </c>
      <c r="E2541" s="8" t="s">
        <v>11323</v>
      </c>
      <c r="F2541" s="34" t="s">
        <v>11490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43"/>
        <v>2541</v>
      </c>
      <c r="B2542" s="34" t="s">
        <v>8</v>
      </c>
      <c r="C2542" s="34" t="s">
        <v>11463</v>
      </c>
      <c r="D2542" s="8" t="s">
        <v>11499</v>
      </c>
      <c r="E2542" s="8" t="s">
        <v>11324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43"/>
        <v>2542</v>
      </c>
      <c r="B2543" s="34" t="s">
        <v>8</v>
      </c>
      <c r="C2543" s="34" t="s">
        <v>11463</v>
      </c>
      <c r="D2543" s="8" t="s">
        <v>11500</v>
      </c>
      <c r="E2543" s="8" t="s">
        <v>11325</v>
      </c>
      <c r="F2543" s="34" t="s">
        <v>11499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43"/>
        <v>2543</v>
      </c>
      <c r="B2544" s="34" t="s">
        <v>8</v>
      </c>
      <c r="C2544" s="34" t="s">
        <v>11463</v>
      </c>
      <c r="D2544" s="8" t="s">
        <v>11501</v>
      </c>
      <c r="E2544" s="8" t="s">
        <v>11326</v>
      </c>
      <c r="F2544" s="34" t="s">
        <v>11499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43"/>
        <v>2544</v>
      </c>
      <c r="B2545" s="34" t="s">
        <v>8</v>
      </c>
      <c r="C2545" s="34" t="s">
        <v>11463</v>
      </c>
      <c r="D2545" s="8" t="s">
        <v>11502</v>
      </c>
      <c r="E2545" s="8" t="s">
        <v>11327</v>
      </c>
      <c r="F2545" s="34" t="s">
        <v>11500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43"/>
        <v>2545</v>
      </c>
      <c r="B2546" s="34" t="s">
        <v>8</v>
      </c>
      <c r="C2546" s="34" t="s">
        <v>11463</v>
      </c>
      <c r="D2546" s="8" t="s">
        <v>11503</v>
      </c>
      <c r="E2546" s="8" t="s">
        <v>11328</v>
      </c>
      <c r="F2546" s="34" t="s">
        <v>11500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43"/>
        <v>2546</v>
      </c>
      <c r="B2547" s="34" t="s">
        <v>8</v>
      </c>
      <c r="C2547" s="34" t="s">
        <v>11463</v>
      </c>
      <c r="D2547" s="8" t="s">
        <v>11504</v>
      </c>
      <c r="E2547" s="8" t="s">
        <v>11329</v>
      </c>
      <c r="F2547" s="34" t="s">
        <v>11500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43"/>
        <v>2547</v>
      </c>
      <c r="B2548" s="34" t="s">
        <v>8</v>
      </c>
      <c r="C2548" s="34" t="s">
        <v>11463</v>
      </c>
      <c r="D2548" s="8" t="s">
        <v>11505</v>
      </c>
      <c r="E2548" s="8" t="s">
        <v>11330</v>
      </c>
      <c r="F2548" s="34" t="s">
        <v>11500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43"/>
        <v>2548</v>
      </c>
      <c r="B2549" s="34" t="s">
        <v>8</v>
      </c>
      <c r="C2549" s="34" t="s">
        <v>11463</v>
      </c>
      <c r="D2549" s="8" t="s">
        <v>11506</v>
      </c>
      <c r="E2549" s="8" t="s">
        <v>11331</v>
      </c>
      <c r="F2549" s="34" t="s">
        <v>11500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43"/>
        <v>2549</v>
      </c>
      <c r="B2550" s="34" t="s">
        <v>8</v>
      </c>
      <c r="C2550" s="34" t="s">
        <v>11463</v>
      </c>
      <c r="D2550" s="8" t="s">
        <v>11507</v>
      </c>
      <c r="E2550" s="8" t="s">
        <v>11332</v>
      </c>
      <c r="F2550" s="34" t="s">
        <v>11500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43"/>
        <v>2550</v>
      </c>
      <c r="B2551" s="34" t="s">
        <v>8</v>
      </c>
      <c r="C2551" s="34" t="s">
        <v>11463</v>
      </c>
      <c r="D2551" s="8" t="s">
        <v>11508</v>
      </c>
      <c r="E2551" s="8" t="s">
        <v>11333</v>
      </c>
      <c r="F2551" s="34" t="s">
        <v>11500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43"/>
        <v>2551</v>
      </c>
      <c r="B2552" s="34" t="s">
        <v>8</v>
      </c>
      <c r="C2552" s="34" t="s">
        <v>11463</v>
      </c>
      <c r="D2552" s="8" t="s">
        <v>11509</v>
      </c>
      <c r="E2552" s="8" t="s">
        <v>11334</v>
      </c>
      <c r="F2552" s="34" t="s">
        <v>11500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43"/>
        <v>2552</v>
      </c>
      <c r="B2553" s="34" t="s">
        <v>8</v>
      </c>
      <c r="C2553" s="34" t="s">
        <v>11463</v>
      </c>
      <c r="D2553" s="8" t="s">
        <v>11510</v>
      </c>
      <c r="E2553" s="8" t="s">
        <v>11335</v>
      </c>
      <c r="F2553" s="34" t="s">
        <v>11500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43"/>
        <v>2553</v>
      </c>
      <c r="B2554" s="34" t="s">
        <v>8</v>
      </c>
      <c r="C2554" s="34" t="s">
        <v>11463</v>
      </c>
      <c r="D2554" s="8" t="s">
        <v>11511</v>
      </c>
      <c r="E2554" s="8" t="s">
        <v>11336</v>
      </c>
      <c r="F2554" s="34" t="s">
        <v>11500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43"/>
        <v>2554</v>
      </c>
      <c r="B2555" s="34" t="s">
        <v>8</v>
      </c>
      <c r="C2555" s="34" t="s">
        <v>11463</v>
      </c>
      <c r="D2555" s="8" t="s">
        <v>11512</v>
      </c>
      <c r="E2555" s="8" t="s">
        <v>11337</v>
      </c>
      <c r="F2555" s="34" t="s">
        <v>11500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43"/>
        <v>2555</v>
      </c>
      <c r="B2556" s="34" t="s">
        <v>8</v>
      </c>
      <c r="C2556" s="34" t="s">
        <v>11463</v>
      </c>
      <c r="D2556" s="8" t="s">
        <v>11513</v>
      </c>
      <c r="E2556" s="8" t="s">
        <v>11338</v>
      </c>
      <c r="F2556" s="34" t="s">
        <v>11500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43"/>
        <v>2556</v>
      </c>
      <c r="B2557" s="34" t="s">
        <v>8</v>
      </c>
      <c r="C2557" s="34" t="s">
        <v>11463</v>
      </c>
      <c r="D2557" s="8" t="s">
        <v>11514</v>
      </c>
      <c r="E2557" s="8" t="s">
        <v>11339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ref="A2558:A2621" si="44">1+A2557</f>
        <v>2557</v>
      </c>
      <c r="B2558" s="34" t="s">
        <v>8</v>
      </c>
      <c r="C2558" s="34" t="s">
        <v>11463</v>
      </c>
      <c r="D2558" s="8" t="s">
        <v>11515</v>
      </c>
      <c r="E2558" s="8" t="s">
        <v>11340</v>
      </c>
      <c r="F2558" s="34" t="s">
        <v>11514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44"/>
        <v>2558</v>
      </c>
      <c r="B2559" s="34" t="s">
        <v>8</v>
      </c>
      <c r="C2559" s="34" t="s">
        <v>11463</v>
      </c>
      <c r="D2559" s="8" t="s">
        <v>11516</v>
      </c>
      <c r="E2559" s="8" t="s">
        <v>11341</v>
      </c>
      <c r="F2559" s="34" t="s">
        <v>11514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44"/>
        <v>2559</v>
      </c>
      <c r="B2560" s="34" t="s">
        <v>8</v>
      </c>
      <c r="C2560" s="34" t="s">
        <v>11463</v>
      </c>
      <c r="D2560" s="8" t="s">
        <v>11517</v>
      </c>
      <c r="E2560" s="8" t="s">
        <v>11342</v>
      </c>
      <c r="F2560" s="34" t="s">
        <v>11515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44"/>
        <v>2560</v>
      </c>
      <c r="B2561" s="34" t="s">
        <v>8</v>
      </c>
      <c r="C2561" s="34" t="s">
        <v>11463</v>
      </c>
      <c r="D2561" s="8" t="s">
        <v>11518</v>
      </c>
      <c r="E2561" s="8" t="s">
        <v>11343</v>
      </c>
      <c r="F2561" s="34" t="s">
        <v>11515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44"/>
        <v>2561</v>
      </c>
      <c r="B2562" s="34" t="s">
        <v>8</v>
      </c>
      <c r="C2562" s="34" t="s">
        <v>11463</v>
      </c>
      <c r="D2562" s="8" t="s">
        <v>11519</v>
      </c>
      <c r="E2562" s="8" t="s">
        <v>11344</v>
      </c>
      <c r="F2562" s="34" t="s">
        <v>11515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si="44"/>
        <v>2562</v>
      </c>
      <c r="B2563" s="34" t="s">
        <v>8</v>
      </c>
      <c r="C2563" s="34" t="s">
        <v>11463</v>
      </c>
      <c r="D2563" s="8" t="s">
        <v>11520</v>
      </c>
      <c r="E2563" s="8" t="s">
        <v>11345</v>
      </c>
      <c r="F2563" s="34" t="s">
        <v>11515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4"/>
        <v>2563</v>
      </c>
      <c r="B2564" s="34" t="s">
        <v>8</v>
      </c>
      <c r="C2564" s="34" t="s">
        <v>11463</v>
      </c>
      <c r="D2564" s="8" t="s">
        <v>11521</v>
      </c>
      <c r="E2564" s="8" t="s">
        <v>11346</v>
      </c>
      <c r="F2564" s="34" t="s">
        <v>11515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4"/>
        <v>2564</v>
      </c>
      <c r="B2565" s="34" t="s">
        <v>8</v>
      </c>
      <c r="C2565" s="34" t="s">
        <v>11463</v>
      </c>
      <c r="D2565" s="8" t="s">
        <v>11522</v>
      </c>
      <c r="E2565" s="8" t="s">
        <v>11347</v>
      </c>
      <c r="F2565" s="34" t="s">
        <v>11515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4"/>
        <v>2565</v>
      </c>
      <c r="B2566" s="34" t="s">
        <v>8</v>
      </c>
      <c r="C2566" s="34" t="s">
        <v>11463</v>
      </c>
      <c r="D2566" s="8" t="s">
        <v>11523</v>
      </c>
      <c r="E2566" s="8" t="s">
        <v>11348</v>
      </c>
      <c r="F2566" s="34" t="s">
        <v>11515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4"/>
        <v>2566</v>
      </c>
      <c r="B2567" s="34" t="s">
        <v>8</v>
      </c>
      <c r="C2567" s="34" t="s">
        <v>11463</v>
      </c>
      <c r="D2567" s="8" t="s">
        <v>11524</v>
      </c>
      <c r="E2567" s="8" t="s">
        <v>11349</v>
      </c>
      <c r="F2567" s="34" t="s">
        <v>11515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4"/>
        <v>2567</v>
      </c>
      <c r="B2568" s="34" t="s">
        <v>8</v>
      </c>
      <c r="C2568" s="34" t="s">
        <v>11463</v>
      </c>
      <c r="D2568" s="8" t="s">
        <v>11525</v>
      </c>
      <c r="E2568" s="8" t="s">
        <v>11350</v>
      </c>
      <c r="F2568" s="34" t="s">
        <v>11515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4"/>
        <v>2568</v>
      </c>
      <c r="B2569" s="34" t="s">
        <v>8</v>
      </c>
      <c r="C2569" s="34" t="s">
        <v>11463</v>
      </c>
      <c r="D2569" s="8" t="s">
        <v>11526</v>
      </c>
      <c r="E2569" s="8" t="s">
        <v>11351</v>
      </c>
      <c r="F2569" s="34" t="s">
        <v>11515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4"/>
        <v>2569</v>
      </c>
      <c r="B2570" s="34" t="s">
        <v>8</v>
      </c>
      <c r="C2570" s="34" t="s">
        <v>11463</v>
      </c>
      <c r="D2570" s="8" t="s">
        <v>11527</v>
      </c>
      <c r="E2570" s="8" t="s">
        <v>11352</v>
      </c>
      <c r="F2570" s="34" t="s">
        <v>11515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4"/>
        <v>2570</v>
      </c>
      <c r="B2571" s="34" t="s">
        <v>8</v>
      </c>
      <c r="C2571" s="34" t="s">
        <v>11463</v>
      </c>
      <c r="D2571" s="8" t="s">
        <v>11528</v>
      </c>
      <c r="E2571" s="8" t="s">
        <v>11353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4"/>
        <v>2571</v>
      </c>
      <c r="B2572" s="34" t="s">
        <v>8</v>
      </c>
      <c r="C2572" s="34" t="s">
        <v>11463</v>
      </c>
      <c r="D2572" s="8" t="s">
        <v>11529</v>
      </c>
      <c r="E2572" s="8" t="s">
        <v>11354</v>
      </c>
      <c r="F2572" s="34" t="s">
        <v>11528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4"/>
        <v>2572</v>
      </c>
      <c r="B2573" s="34" t="s">
        <v>8</v>
      </c>
      <c r="C2573" s="34" t="s">
        <v>11463</v>
      </c>
      <c r="D2573" s="8" t="s">
        <v>11530</v>
      </c>
      <c r="E2573" s="8" t="s">
        <v>11355</v>
      </c>
      <c r="F2573" s="34" t="s">
        <v>11528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4"/>
        <v>2573</v>
      </c>
      <c r="B2574" s="34" t="s">
        <v>8</v>
      </c>
      <c r="C2574" s="34" t="s">
        <v>11463</v>
      </c>
      <c r="D2574" s="8" t="s">
        <v>11531</v>
      </c>
      <c r="E2574" s="8" t="s">
        <v>11356</v>
      </c>
      <c r="F2574" s="34" t="s">
        <v>11529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4"/>
        <v>2574</v>
      </c>
      <c r="B2575" s="34" t="s">
        <v>8</v>
      </c>
      <c r="C2575" s="34" t="s">
        <v>11463</v>
      </c>
      <c r="D2575" s="8" t="s">
        <v>11532</v>
      </c>
      <c r="E2575" s="8" t="s">
        <v>11357</v>
      </c>
      <c r="F2575" s="34" t="s">
        <v>11529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4"/>
        <v>2575</v>
      </c>
      <c r="B2576" s="34" t="s">
        <v>8</v>
      </c>
      <c r="C2576" s="34" t="s">
        <v>11463</v>
      </c>
      <c r="D2576" s="8" t="s">
        <v>11533</v>
      </c>
      <c r="E2576" s="8" t="s">
        <v>11358</v>
      </c>
      <c r="F2576" s="34" t="s">
        <v>11529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4"/>
        <v>2576</v>
      </c>
      <c r="B2577" s="34" t="s">
        <v>8</v>
      </c>
      <c r="C2577" s="34" t="s">
        <v>11463</v>
      </c>
      <c r="D2577" s="8" t="s">
        <v>11534</v>
      </c>
      <c r="E2577" s="8" t="s">
        <v>11359</v>
      </c>
      <c r="F2577" s="34" t="s">
        <v>11529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4"/>
        <v>2577</v>
      </c>
      <c r="B2578" s="34" t="s">
        <v>8</v>
      </c>
      <c r="C2578" s="34" t="s">
        <v>11463</v>
      </c>
      <c r="D2578" s="8" t="s">
        <v>11535</v>
      </c>
      <c r="E2578" s="8" t="s">
        <v>11360</v>
      </c>
      <c r="F2578" s="34" t="s">
        <v>11529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4"/>
        <v>2578</v>
      </c>
      <c r="B2579" s="34" t="s">
        <v>8</v>
      </c>
      <c r="C2579" s="34" t="s">
        <v>11463</v>
      </c>
      <c r="D2579" s="8" t="s">
        <v>11536</v>
      </c>
      <c r="E2579" s="8" t="s">
        <v>11361</v>
      </c>
      <c r="F2579" s="34" t="s">
        <v>11529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4"/>
        <v>2579</v>
      </c>
      <c r="B2580" s="34" t="s">
        <v>8</v>
      </c>
      <c r="C2580" s="34" t="s">
        <v>11463</v>
      </c>
      <c r="D2580" s="8" t="s">
        <v>11537</v>
      </c>
      <c r="E2580" s="8" t="s">
        <v>11362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4"/>
        <v>2580</v>
      </c>
      <c r="B2581" s="34" t="s">
        <v>8</v>
      </c>
      <c r="C2581" s="34" t="s">
        <v>11463</v>
      </c>
      <c r="D2581" s="8" t="s">
        <v>11538</v>
      </c>
      <c r="E2581" s="8" t="s">
        <v>11363</v>
      </c>
      <c r="F2581" s="34" t="s">
        <v>11537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4"/>
        <v>2581</v>
      </c>
      <c r="B2582" s="34" t="s">
        <v>8</v>
      </c>
      <c r="C2582" s="34" t="s">
        <v>11463</v>
      </c>
      <c r="D2582" s="8" t="s">
        <v>11539</v>
      </c>
      <c r="E2582" s="8" t="s">
        <v>11364</v>
      </c>
      <c r="F2582" s="34" t="s">
        <v>11537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4"/>
        <v>2582</v>
      </c>
      <c r="B2583" s="34" t="s">
        <v>8</v>
      </c>
      <c r="C2583" s="34" t="s">
        <v>11463</v>
      </c>
      <c r="D2583" s="8" t="s">
        <v>11540</v>
      </c>
      <c r="E2583" s="8" t="s">
        <v>11365</v>
      </c>
      <c r="F2583" s="34" t="s">
        <v>11538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4"/>
        <v>2583</v>
      </c>
      <c r="B2584" s="34" t="s">
        <v>8</v>
      </c>
      <c r="C2584" s="34" t="s">
        <v>11463</v>
      </c>
      <c r="D2584" s="8" t="s">
        <v>11541</v>
      </c>
      <c r="E2584" s="8" t="s">
        <v>11366</v>
      </c>
      <c r="F2584" s="34" t="s">
        <v>11538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4"/>
        <v>2584</v>
      </c>
      <c r="B2585" s="34" t="s">
        <v>8</v>
      </c>
      <c r="C2585" s="34" t="s">
        <v>11463</v>
      </c>
      <c r="D2585" s="8" t="s">
        <v>11542</v>
      </c>
      <c r="E2585" s="8" t="s">
        <v>11367</v>
      </c>
      <c r="F2585" s="34" t="s">
        <v>11538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4"/>
        <v>2585</v>
      </c>
      <c r="B2586" s="34" t="s">
        <v>8</v>
      </c>
      <c r="C2586" s="34" t="s">
        <v>11463</v>
      </c>
      <c r="D2586" s="8" t="s">
        <v>11543</v>
      </c>
      <c r="E2586" s="8" t="s">
        <v>11368</v>
      </c>
      <c r="F2586" s="34" t="s">
        <v>11538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4"/>
        <v>2586</v>
      </c>
      <c r="B2587" s="34" t="s">
        <v>8</v>
      </c>
      <c r="C2587" s="34" t="s">
        <v>11463</v>
      </c>
      <c r="D2587" s="8" t="s">
        <v>11544</v>
      </c>
      <c r="E2587" s="8" t="s">
        <v>11369</v>
      </c>
      <c r="F2587" s="34" t="s">
        <v>11538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4"/>
        <v>2587</v>
      </c>
      <c r="B2588" s="34" t="s">
        <v>8</v>
      </c>
      <c r="C2588" s="34" t="s">
        <v>11463</v>
      </c>
      <c r="D2588" s="8" t="s">
        <v>11545</v>
      </c>
      <c r="E2588" s="8" t="s">
        <v>11370</v>
      </c>
      <c r="F2588" s="34" t="s">
        <v>11538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4"/>
        <v>2588</v>
      </c>
      <c r="B2589" s="34" t="s">
        <v>8</v>
      </c>
      <c r="C2589" s="34" t="s">
        <v>11463</v>
      </c>
      <c r="D2589" s="8" t="s">
        <v>11546</v>
      </c>
      <c r="E2589" s="8" t="s">
        <v>11371</v>
      </c>
      <c r="F2589" s="34" t="s">
        <v>11538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4"/>
        <v>2589</v>
      </c>
      <c r="B2590" s="34" t="s">
        <v>8</v>
      </c>
      <c r="C2590" s="34" t="s">
        <v>11463</v>
      </c>
      <c r="D2590" s="8" t="s">
        <v>11547</v>
      </c>
      <c r="E2590" s="8" t="s">
        <v>11372</v>
      </c>
      <c r="F2590" s="34" t="s">
        <v>11538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4"/>
        <v>2590</v>
      </c>
      <c r="B2591" s="34" t="s">
        <v>8</v>
      </c>
      <c r="C2591" s="34" t="s">
        <v>11463</v>
      </c>
      <c r="D2591" s="8" t="s">
        <v>11548</v>
      </c>
      <c r="E2591" s="8" t="s">
        <v>11373</v>
      </c>
      <c r="F2591" s="34" t="s">
        <v>11538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4"/>
        <v>2591</v>
      </c>
      <c r="B2592" s="34" t="s">
        <v>8</v>
      </c>
      <c r="C2592" s="34" t="s">
        <v>11463</v>
      </c>
      <c r="D2592" s="8" t="s">
        <v>11549</v>
      </c>
      <c r="E2592" s="8" t="s">
        <v>11374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4"/>
        <v>2592</v>
      </c>
      <c r="B2593" s="34" t="s">
        <v>8</v>
      </c>
      <c r="C2593" s="34" t="s">
        <v>11463</v>
      </c>
      <c r="D2593" s="8" t="s">
        <v>11550</v>
      </c>
      <c r="E2593" s="8" t="s">
        <v>11375</v>
      </c>
      <c r="F2593" s="34" t="s">
        <v>11549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4"/>
        <v>2593</v>
      </c>
      <c r="B2594" s="34" t="s">
        <v>8</v>
      </c>
      <c r="C2594" s="34" t="s">
        <v>11463</v>
      </c>
      <c r="D2594" s="8" t="s">
        <v>11551</v>
      </c>
      <c r="E2594" s="8" t="s">
        <v>11376</v>
      </c>
      <c r="F2594" s="34" t="s">
        <v>11549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4"/>
        <v>2594</v>
      </c>
      <c r="B2595" s="34" t="s">
        <v>8</v>
      </c>
      <c r="C2595" s="34" t="s">
        <v>11463</v>
      </c>
      <c r="D2595" s="8" t="s">
        <v>11552</v>
      </c>
      <c r="E2595" s="8" t="s">
        <v>11377</v>
      </c>
      <c r="F2595" s="34" t="s">
        <v>11550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4"/>
        <v>2595</v>
      </c>
      <c r="B2596" s="34" t="s">
        <v>8</v>
      </c>
      <c r="C2596" s="34" t="s">
        <v>11463</v>
      </c>
      <c r="D2596" s="8" t="s">
        <v>11553</v>
      </c>
      <c r="E2596" s="8" t="s">
        <v>11378</v>
      </c>
      <c r="F2596" s="34" t="s">
        <v>11550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4"/>
        <v>2596</v>
      </c>
      <c r="B2597" s="34" t="s">
        <v>8</v>
      </c>
      <c r="C2597" s="34" t="s">
        <v>11463</v>
      </c>
      <c r="D2597" s="8" t="s">
        <v>11554</v>
      </c>
      <c r="E2597" s="8" t="s">
        <v>11379</v>
      </c>
      <c r="F2597" s="34" t="s">
        <v>11550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4"/>
        <v>2597</v>
      </c>
      <c r="B2598" s="34" t="s">
        <v>8</v>
      </c>
      <c r="C2598" s="34" t="s">
        <v>11463</v>
      </c>
      <c r="D2598" s="8" t="s">
        <v>11555</v>
      </c>
      <c r="E2598" s="8" t="s">
        <v>11380</v>
      </c>
      <c r="F2598" s="34" t="s">
        <v>11550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4"/>
        <v>2598</v>
      </c>
      <c r="B2599" s="34" t="s">
        <v>8</v>
      </c>
      <c r="C2599" s="34" t="s">
        <v>11463</v>
      </c>
      <c r="D2599" s="8" t="s">
        <v>11556</v>
      </c>
      <c r="E2599" s="8" t="s">
        <v>11381</v>
      </c>
      <c r="F2599" s="34" t="s">
        <v>11550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4"/>
        <v>2599</v>
      </c>
      <c r="B2600" s="34" t="s">
        <v>8</v>
      </c>
      <c r="C2600" s="34" t="s">
        <v>11463</v>
      </c>
      <c r="D2600" s="8" t="s">
        <v>11557</v>
      </c>
      <c r="E2600" s="8" t="s">
        <v>11382</v>
      </c>
      <c r="F2600" s="34" t="s">
        <v>11550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4"/>
        <v>2600</v>
      </c>
      <c r="B2601" s="34" t="s">
        <v>8</v>
      </c>
      <c r="C2601" s="34" t="s">
        <v>11463</v>
      </c>
      <c r="D2601" s="8" t="s">
        <v>11558</v>
      </c>
      <c r="E2601" s="8" t="s">
        <v>11383</v>
      </c>
      <c r="F2601" s="34" t="s">
        <v>11550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4"/>
        <v>2601</v>
      </c>
      <c r="B2602" s="34" t="s">
        <v>8</v>
      </c>
      <c r="C2602" s="34" t="s">
        <v>11463</v>
      </c>
      <c r="D2602" s="8" t="s">
        <v>11559</v>
      </c>
      <c r="E2602" s="8" t="s">
        <v>11384</v>
      </c>
      <c r="F2602" s="34" t="s">
        <v>11550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4"/>
        <v>2602</v>
      </c>
      <c r="B2603" s="34" t="s">
        <v>8</v>
      </c>
      <c r="C2603" s="34" t="s">
        <v>11463</v>
      </c>
      <c r="D2603" s="8" t="s">
        <v>11560</v>
      </c>
      <c r="E2603" s="8" t="s">
        <v>11385</v>
      </c>
      <c r="F2603" s="34" t="s">
        <v>11550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4"/>
        <v>2603</v>
      </c>
      <c r="B2604" s="34" t="s">
        <v>8</v>
      </c>
      <c r="C2604" s="34" t="s">
        <v>11463</v>
      </c>
      <c r="D2604" s="8" t="s">
        <v>11561</v>
      </c>
      <c r="E2604" s="8" t="s">
        <v>11386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4"/>
        <v>2604</v>
      </c>
      <c r="B2605" s="34" t="s">
        <v>8</v>
      </c>
      <c r="C2605" s="34" t="s">
        <v>11463</v>
      </c>
      <c r="D2605" s="8" t="s">
        <v>11387</v>
      </c>
      <c r="E2605" s="8" t="s">
        <v>11388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4"/>
        <v>2605</v>
      </c>
      <c r="B2606" s="34" t="s">
        <v>8</v>
      </c>
      <c r="C2606" s="34" t="s">
        <v>11463</v>
      </c>
      <c r="D2606" s="8" t="s">
        <v>11389</v>
      </c>
      <c r="E2606" s="8" t="s">
        <v>11390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4"/>
        <v>2606</v>
      </c>
      <c r="B2607" s="34" t="s">
        <v>8</v>
      </c>
      <c r="C2607" s="34" t="s">
        <v>11463</v>
      </c>
      <c r="D2607" s="8" t="s">
        <v>11391</v>
      </c>
      <c r="E2607" s="8" t="s">
        <v>11392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4"/>
        <v>2607</v>
      </c>
      <c r="B2608" s="34" t="s">
        <v>8</v>
      </c>
      <c r="C2608" s="34" t="s">
        <v>11463</v>
      </c>
      <c r="D2608" s="8" t="s">
        <v>11393</v>
      </c>
      <c r="E2608" s="8" t="s">
        <v>11394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4"/>
        <v>2608</v>
      </c>
      <c r="B2609" s="34" t="s">
        <v>8</v>
      </c>
      <c r="C2609" s="34" t="s">
        <v>11463</v>
      </c>
      <c r="D2609" s="8" t="s">
        <v>11395</v>
      </c>
      <c r="E2609" s="8" t="s">
        <v>11396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4"/>
        <v>2609</v>
      </c>
      <c r="B2610" s="34" t="s">
        <v>8</v>
      </c>
      <c r="C2610" s="34" t="s">
        <v>11463</v>
      </c>
      <c r="D2610" s="8" t="s">
        <v>11397</v>
      </c>
      <c r="E2610" s="8" t="s">
        <v>11398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4"/>
        <v>2610</v>
      </c>
      <c r="B2611" s="34" t="s">
        <v>8</v>
      </c>
      <c r="C2611" s="34" t="s">
        <v>11463</v>
      </c>
      <c r="D2611" s="8" t="s">
        <v>3694</v>
      </c>
      <c r="E2611" s="8" t="s">
        <v>11399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4"/>
        <v>2611</v>
      </c>
      <c r="B2612" s="34" t="s">
        <v>8</v>
      </c>
      <c r="C2612" s="34" t="s">
        <v>11463</v>
      </c>
      <c r="D2612" s="8" t="s">
        <v>12261</v>
      </c>
      <c r="E2612" s="8" t="s">
        <v>11400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4"/>
        <v>2612</v>
      </c>
      <c r="B2613" s="34" t="s">
        <v>8</v>
      </c>
      <c r="C2613" s="34" t="s">
        <v>11463</v>
      </c>
      <c r="D2613" s="8" t="s">
        <v>11401</v>
      </c>
      <c r="E2613" s="8" t="s">
        <v>11402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4"/>
        <v>2613</v>
      </c>
      <c r="B2614" s="34" t="s">
        <v>8</v>
      </c>
      <c r="C2614" s="34" t="s">
        <v>11463</v>
      </c>
      <c r="D2614" s="8" t="s">
        <v>11403</v>
      </c>
      <c r="E2614" s="8" t="s">
        <v>11404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4"/>
        <v>2614</v>
      </c>
      <c r="B2615" s="34" t="s">
        <v>8</v>
      </c>
      <c r="C2615" s="34" t="s">
        <v>11463</v>
      </c>
      <c r="D2615" s="8" t="s">
        <v>11405</v>
      </c>
      <c r="E2615" s="8" t="s">
        <v>11406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4"/>
        <v>2615</v>
      </c>
      <c r="B2616" s="34" t="s">
        <v>8</v>
      </c>
      <c r="C2616" s="34" t="s">
        <v>11463</v>
      </c>
      <c r="D2616" s="8" t="s">
        <v>11407</v>
      </c>
      <c r="E2616" s="8" t="s">
        <v>11408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4"/>
        <v>2616</v>
      </c>
      <c r="B2617" s="34" t="s">
        <v>8</v>
      </c>
      <c r="C2617" s="34" t="s">
        <v>11463</v>
      </c>
      <c r="D2617" s="8" t="s">
        <v>11409</v>
      </c>
      <c r="E2617" s="8" t="s">
        <v>11410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4"/>
        <v>2617</v>
      </c>
      <c r="B2618" s="34" t="s">
        <v>8</v>
      </c>
      <c r="C2618" s="34" t="s">
        <v>11463</v>
      </c>
      <c r="D2618" s="8" t="s">
        <v>11411</v>
      </c>
      <c r="E2618" s="8" t="s">
        <v>11412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4"/>
        <v>2618</v>
      </c>
      <c r="B2619" s="34" t="s">
        <v>8</v>
      </c>
      <c r="C2619" s="34" t="s">
        <v>11463</v>
      </c>
      <c r="D2619" s="8" t="s">
        <v>11413</v>
      </c>
      <c r="E2619" s="8" t="s">
        <v>11414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4"/>
        <v>2619</v>
      </c>
      <c r="B2620" s="34" t="s">
        <v>8</v>
      </c>
      <c r="C2620" s="34" t="s">
        <v>11463</v>
      </c>
      <c r="D2620" s="8" t="s">
        <v>11415</v>
      </c>
      <c r="E2620" s="8" t="s">
        <v>11416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4"/>
        <v>2620</v>
      </c>
      <c r="B2621" s="34" t="s">
        <v>8</v>
      </c>
      <c r="C2621" s="34" t="s">
        <v>11463</v>
      </c>
      <c r="D2621" s="8" t="s">
        <v>11417</v>
      </c>
      <c r="E2621" s="8" t="s">
        <v>11418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ref="A2622:A2685" si="45">1+A2621</f>
        <v>2621</v>
      </c>
      <c r="B2622" s="34" t="s">
        <v>8</v>
      </c>
      <c r="C2622" s="34" t="s">
        <v>11463</v>
      </c>
      <c r="D2622" s="8" t="s">
        <v>11419</v>
      </c>
      <c r="E2622" s="8" t="s">
        <v>11420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5"/>
        <v>2622</v>
      </c>
      <c r="B2623" s="34" t="s">
        <v>8</v>
      </c>
      <c r="C2623" s="34" t="s">
        <v>11463</v>
      </c>
      <c r="D2623" s="8" t="s">
        <v>4802</v>
      </c>
      <c r="E2623" s="8" t="s">
        <v>11421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5"/>
        <v>2623</v>
      </c>
      <c r="B2624" s="34" t="s">
        <v>8</v>
      </c>
      <c r="C2624" s="34" t="s">
        <v>11463</v>
      </c>
      <c r="D2624" s="8" t="s">
        <v>11422</v>
      </c>
      <c r="E2624" s="8" t="s">
        <v>11423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5"/>
        <v>2624</v>
      </c>
      <c r="B2625" s="34" t="s">
        <v>8</v>
      </c>
      <c r="C2625" s="34" t="s">
        <v>11463</v>
      </c>
      <c r="D2625" s="8" t="s">
        <v>4836</v>
      </c>
      <c r="E2625" s="8" t="s">
        <v>11424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5"/>
        <v>2625</v>
      </c>
      <c r="B2626" s="34" t="s">
        <v>8</v>
      </c>
      <c r="C2626" s="34" t="s">
        <v>11463</v>
      </c>
      <c r="D2626" s="8" t="s">
        <v>11425</v>
      </c>
      <c r="E2626" s="8" t="s">
        <v>11426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si="45"/>
        <v>2626</v>
      </c>
      <c r="B2627" s="34" t="s">
        <v>8</v>
      </c>
      <c r="C2627" s="34" t="s">
        <v>11463</v>
      </c>
      <c r="D2627" s="8" t="s">
        <v>11427</v>
      </c>
      <c r="E2627" s="8" t="s">
        <v>11428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5"/>
        <v>2627</v>
      </c>
      <c r="B2628" s="34" t="s">
        <v>8</v>
      </c>
      <c r="C2628" s="34" t="s">
        <v>11463</v>
      </c>
      <c r="D2628" s="8" t="s">
        <v>5792</v>
      </c>
      <c r="E2628" s="8" t="s">
        <v>11429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5"/>
        <v>2628</v>
      </c>
      <c r="B2629" s="34" t="s">
        <v>8</v>
      </c>
      <c r="C2629" s="34" t="s">
        <v>11463</v>
      </c>
      <c r="D2629" s="8" t="s">
        <v>11430</v>
      </c>
      <c r="E2629" s="8" t="s">
        <v>11431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5"/>
        <v>2629</v>
      </c>
      <c r="B2630" s="34" t="s">
        <v>8</v>
      </c>
      <c r="C2630" s="34" t="s">
        <v>11463</v>
      </c>
      <c r="D2630" s="8" t="s">
        <v>11432</v>
      </c>
      <c r="E2630" s="8" t="s">
        <v>11433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5"/>
        <v>2630</v>
      </c>
      <c r="B2631" s="34" t="s">
        <v>8</v>
      </c>
      <c r="C2631" s="34" t="s">
        <v>11463</v>
      </c>
      <c r="D2631" s="8" t="s">
        <v>4839</v>
      </c>
      <c r="E2631" s="8" t="s">
        <v>11434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5"/>
        <v>2631</v>
      </c>
      <c r="B2632" s="34" t="s">
        <v>8</v>
      </c>
      <c r="C2632" s="34" t="s">
        <v>11463</v>
      </c>
      <c r="D2632" s="8" t="s">
        <v>11435</v>
      </c>
      <c r="E2632" s="8" t="s">
        <v>11436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5"/>
        <v>2632</v>
      </c>
      <c r="B2633" s="34" t="s">
        <v>8</v>
      </c>
      <c r="C2633" s="34" t="s">
        <v>11463</v>
      </c>
      <c r="D2633" s="8" t="s">
        <v>11437</v>
      </c>
      <c r="E2633" s="8" t="s">
        <v>11438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5"/>
        <v>2633</v>
      </c>
      <c r="B2634" s="34" t="s">
        <v>8</v>
      </c>
      <c r="C2634" s="34" t="s">
        <v>11463</v>
      </c>
      <c r="D2634" s="8" t="s">
        <v>11439</v>
      </c>
      <c r="E2634" s="8" t="s">
        <v>11440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5"/>
        <v>2634</v>
      </c>
      <c r="B2635" s="34" t="s">
        <v>8</v>
      </c>
      <c r="C2635" s="34" t="s">
        <v>11463</v>
      </c>
      <c r="D2635" s="8" t="s">
        <v>11441</v>
      </c>
      <c r="E2635" s="8" t="s">
        <v>11442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5"/>
        <v>2635</v>
      </c>
      <c r="B2636" s="34" t="s">
        <v>8</v>
      </c>
      <c r="C2636" s="34" t="s">
        <v>11463</v>
      </c>
      <c r="D2636" s="8" t="s">
        <v>11443</v>
      </c>
      <c r="E2636" s="8" t="s">
        <v>11444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5"/>
        <v>2636</v>
      </c>
      <c r="B2637" s="34" t="s">
        <v>8</v>
      </c>
      <c r="C2637" s="34" t="s">
        <v>11463</v>
      </c>
      <c r="D2637" s="8" t="s">
        <v>5454</v>
      </c>
      <c r="E2637" s="8" t="s">
        <v>11445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5"/>
        <v>2637</v>
      </c>
      <c r="B2638" s="34" t="s">
        <v>8</v>
      </c>
      <c r="C2638" s="34" t="s">
        <v>11463</v>
      </c>
      <c r="D2638" s="8" t="s">
        <v>11446</v>
      </c>
      <c r="E2638" s="8" t="s">
        <v>11447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5"/>
        <v>2638</v>
      </c>
      <c r="B2639" s="34" t="s">
        <v>8</v>
      </c>
      <c r="C2639" s="34" t="s">
        <v>11463</v>
      </c>
      <c r="D2639" s="8" t="s">
        <v>4821</v>
      </c>
      <c r="E2639" s="8" t="s">
        <v>11448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5"/>
        <v>2639</v>
      </c>
      <c r="B2640" s="34" t="s">
        <v>8</v>
      </c>
      <c r="C2640" s="34" t="s">
        <v>11463</v>
      </c>
      <c r="D2640" s="8" t="s">
        <v>4823</v>
      </c>
      <c r="E2640" s="8" t="s">
        <v>11449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5"/>
        <v>2640</v>
      </c>
      <c r="B2641" s="34" t="s">
        <v>8</v>
      </c>
      <c r="C2641" s="34" t="s">
        <v>11463</v>
      </c>
      <c r="D2641" s="8" t="s">
        <v>4826</v>
      </c>
      <c r="E2641" s="8" t="s">
        <v>11450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5"/>
        <v>2641</v>
      </c>
      <c r="B2642" s="34" t="s">
        <v>8</v>
      </c>
      <c r="C2642" s="34" t="s">
        <v>11463</v>
      </c>
      <c r="D2642" s="8" t="s">
        <v>11451</v>
      </c>
      <c r="E2642" s="8" t="s">
        <v>11452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5"/>
        <v>2642</v>
      </c>
      <c r="B2643" s="34" t="s">
        <v>8</v>
      </c>
      <c r="C2643" s="34" t="s">
        <v>11463</v>
      </c>
      <c r="D2643" s="8" t="s">
        <v>5451</v>
      </c>
      <c r="E2643" s="8" t="s">
        <v>11453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5"/>
        <v>2643</v>
      </c>
      <c r="B2644" s="34" t="s">
        <v>8</v>
      </c>
      <c r="C2644" s="34" t="s">
        <v>11463</v>
      </c>
      <c r="D2644" s="8" t="s">
        <v>11454</v>
      </c>
      <c r="E2644" s="8" t="s">
        <v>11455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5"/>
        <v>2644</v>
      </c>
      <c r="B2645" s="34" t="s">
        <v>8</v>
      </c>
      <c r="C2645" s="34" t="s">
        <v>11463</v>
      </c>
      <c r="D2645" s="8" t="s">
        <v>11456</v>
      </c>
      <c r="E2645" s="8" t="s">
        <v>11457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5"/>
        <v>2645</v>
      </c>
      <c r="B2646" s="34" t="s">
        <v>8</v>
      </c>
      <c r="C2646" s="34" t="s">
        <v>11463</v>
      </c>
      <c r="D2646" s="8" t="s">
        <v>5722</v>
      </c>
      <c r="E2646" s="8" t="s">
        <v>11458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5"/>
        <v>2646</v>
      </c>
      <c r="B2647" s="34" t="s">
        <v>8</v>
      </c>
      <c r="C2647" s="34" t="s">
        <v>11463</v>
      </c>
      <c r="D2647" s="8" t="s">
        <v>11459</v>
      </c>
      <c r="E2647" s="8" t="s">
        <v>11460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5"/>
        <v>2647</v>
      </c>
      <c r="B2648" s="34" t="s">
        <v>8</v>
      </c>
      <c r="C2648" s="34" t="s">
        <v>11463</v>
      </c>
      <c r="D2648" s="8" t="s">
        <v>7629</v>
      </c>
      <c r="E2648" s="8" t="s">
        <v>11461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5"/>
        <v>2648</v>
      </c>
      <c r="B2649" s="34" t="s">
        <v>8</v>
      </c>
      <c r="C2649" s="34" t="s">
        <v>11463</v>
      </c>
      <c r="D2649" s="8" t="s">
        <v>7628</v>
      </c>
      <c r="E2649" s="8" t="s">
        <v>11462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5"/>
        <v>2649</v>
      </c>
      <c r="B2650" s="34" t="s">
        <v>8</v>
      </c>
      <c r="C2650" s="8" t="s">
        <v>11679</v>
      </c>
      <c r="D2650" t="s">
        <v>12137</v>
      </c>
      <c r="E2650" s="8" t="s">
        <v>11562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 hidden="1">
      <c r="A2651" s="40">
        <f t="shared" si="45"/>
        <v>2650</v>
      </c>
      <c r="B2651" s="34" t="s">
        <v>8</v>
      </c>
      <c r="C2651" s="34" t="s">
        <v>11679</v>
      </c>
      <c r="D2651" t="s">
        <v>12138</v>
      </c>
      <c r="E2651" s="8" t="s">
        <v>11563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 hidden="1">
      <c r="A2652" s="40">
        <f t="shared" si="45"/>
        <v>2651</v>
      </c>
      <c r="B2652" s="34" t="s">
        <v>8</v>
      </c>
      <c r="C2652" s="34" t="s">
        <v>11679</v>
      </c>
      <c r="D2652" t="s">
        <v>12139</v>
      </c>
      <c r="E2652" s="8" t="s">
        <v>11564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 hidden="1">
      <c r="A2653" s="40">
        <f t="shared" si="45"/>
        <v>2652</v>
      </c>
      <c r="B2653" s="34" t="s">
        <v>8</v>
      </c>
      <c r="C2653" s="34" t="s">
        <v>11679</v>
      </c>
      <c r="D2653" t="s">
        <v>12140</v>
      </c>
      <c r="E2653" s="8" t="s">
        <v>11565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 hidden="1">
      <c r="A2654" s="40">
        <f t="shared" si="45"/>
        <v>2653</v>
      </c>
      <c r="B2654" s="34" t="s">
        <v>8</v>
      </c>
      <c r="C2654" s="34" t="s">
        <v>11679</v>
      </c>
      <c r="D2654" t="s">
        <v>12141</v>
      </c>
      <c r="E2654" s="8" t="s">
        <v>11566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 hidden="1">
      <c r="A2655" s="40">
        <f t="shared" si="45"/>
        <v>2654</v>
      </c>
      <c r="B2655" s="34" t="s">
        <v>8</v>
      </c>
      <c r="C2655" s="34" t="s">
        <v>11679</v>
      </c>
      <c r="D2655" t="s">
        <v>12142</v>
      </c>
      <c r="E2655" s="8" t="s">
        <v>11567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 hidden="1">
      <c r="A2656" s="40">
        <f t="shared" si="45"/>
        <v>2655</v>
      </c>
      <c r="B2656" s="34" t="s">
        <v>8</v>
      </c>
      <c r="C2656" s="34" t="s">
        <v>11679</v>
      </c>
      <c r="D2656" t="s">
        <v>12143</v>
      </c>
      <c r="E2656" s="8" t="s">
        <v>11568</v>
      </c>
      <c r="F2656" s="8" t="s">
        <v>12142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 hidden="1">
      <c r="A2657" s="40">
        <f t="shared" si="45"/>
        <v>2656</v>
      </c>
      <c r="B2657" s="34" t="s">
        <v>8</v>
      </c>
      <c r="C2657" s="34" t="s">
        <v>11679</v>
      </c>
      <c r="D2657" t="s">
        <v>12144</v>
      </c>
      <c r="E2657" s="8" t="s">
        <v>11569</v>
      </c>
      <c r="F2657" s="34" t="s">
        <v>12142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 hidden="1">
      <c r="A2658" s="40">
        <f t="shared" si="45"/>
        <v>2657</v>
      </c>
      <c r="B2658" s="34" t="s">
        <v>8</v>
      </c>
      <c r="C2658" s="34" t="s">
        <v>11679</v>
      </c>
      <c r="D2658" t="s">
        <v>12145</v>
      </c>
      <c r="E2658" s="8" t="s">
        <v>11570</v>
      </c>
      <c r="F2658" s="34" t="s">
        <v>12142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 hidden="1">
      <c r="A2659" s="40">
        <f t="shared" si="45"/>
        <v>2658</v>
      </c>
      <c r="B2659" s="34" t="s">
        <v>8</v>
      </c>
      <c r="C2659" s="34" t="s">
        <v>11679</v>
      </c>
      <c r="D2659" t="s">
        <v>12146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 hidden="1">
      <c r="A2660" s="40">
        <f t="shared" si="45"/>
        <v>2659</v>
      </c>
      <c r="B2660" s="34" t="s">
        <v>8</v>
      </c>
      <c r="C2660" s="34" t="s">
        <v>11679</v>
      </c>
      <c r="D2660" t="s">
        <v>12147</v>
      </c>
      <c r="E2660" s="8" t="s">
        <v>11571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 hidden="1">
      <c r="A2661" s="40">
        <f t="shared" si="45"/>
        <v>2660</v>
      </c>
      <c r="B2661" s="34" t="s">
        <v>8</v>
      </c>
      <c r="C2661" s="34" t="s">
        <v>11679</v>
      </c>
      <c r="D2661" t="s">
        <v>12148</v>
      </c>
      <c r="E2661" s="8" t="s">
        <v>11572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 hidden="1">
      <c r="A2662" s="40">
        <f t="shared" si="45"/>
        <v>2661</v>
      </c>
      <c r="B2662" s="34" t="s">
        <v>8</v>
      </c>
      <c r="C2662" s="34" t="s">
        <v>11679</v>
      </c>
      <c r="D2662" t="s">
        <v>12149</v>
      </c>
      <c r="E2662" s="8" t="s">
        <v>11573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 hidden="1">
      <c r="A2663" s="40">
        <f t="shared" si="45"/>
        <v>2662</v>
      </c>
      <c r="B2663" s="34" t="s">
        <v>8</v>
      </c>
      <c r="C2663" s="34" t="s">
        <v>11679</v>
      </c>
      <c r="D2663" t="s">
        <v>12150</v>
      </c>
      <c r="E2663" s="8" t="s">
        <v>11574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 hidden="1">
      <c r="A2664" s="40">
        <f t="shared" si="45"/>
        <v>2663</v>
      </c>
      <c r="B2664" s="34" t="s">
        <v>8</v>
      </c>
      <c r="C2664" s="34" t="s">
        <v>11679</v>
      </c>
      <c r="D2664" t="s">
        <v>12151</v>
      </c>
      <c r="E2664" s="8" t="s">
        <v>11575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 hidden="1">
      <c r="A2665" s="40">
        <f t="shared" si="45"/>
        <v>2664</v>
      </c>
      <c r="B2665" s="34" t="s">
        <v>8</v>
      </c>
      <c r="C2665" s="34" t="s">
        <v>11679</v>
      </c>
      <c r="D2665" t="s">
        <v>12152</v>
      </c>
      <c r="E2665" s="8" t="s">
        <v>11576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 hidden="1">
      <c r="A2666" s="40">
        <f t="shared" si="45"/>
        <v>2665</v>
      </c>
      <c r="B2666" s="34" t="s">
        <v>8</v>
      </c>
      <c r="C2666" s="34" t="s">
        <v>11679</v>
      </c>
      <c r="D2666" t="s">
        <v>12153</v>
      </c>
      <c r="E2666" s="8" t="s">
        <v>11577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 hidden="1">
      <c r="A2667" s="40">
        <f t="shared" si="45"/>
        <v>2666</v>
      </c>
      <c r="B2667" s="34" t="s">
        <v>8</v>
      </c>
      <c r="C2667" s="34" t="s">
        <v>11679</v>
      </c>
      <c r="D2667" t="s">
        <v>12154</v>
      </c>
      <c r="E2667" s="8" t="s">
        <v>11578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 hidden="1">
      <c r="A2668" s="40">
        <f t="shared" si="45"/>
        <v>2667</v>
      </c>
      <c r="B2668" s="34" t="s">
        <v>8</v>
      </c>
      <c r="C2668" s="34" t="s">
        <v>11679</v>
      </c>
      <c r="D2668" t="s">
        <v>12155</v>
      </c>
      <c r="E2668" s="8" t="s">
        <v>11579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 hidden="1">
      <c r="A2669" s="40">
        <f t="shared" si="45"/>
        <v>2668</v>
      </c>
      <c r="B2669" s="34" t="s">
        <v>8</v>
      </c>
      <c r="C2669" s="34" t="s">
        <v>11679</v>
      </c>
      <c r="D2669" t="s">
        <v>12156</v>
      </c>
      <c r="E2669" s="8" t="s">
        <v>11580</v>
      </c>
      <c r="F2669" s="34" t="s">
        <v>12155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 hidden="1">
      <c r="A2670" s="40">
        <f t="shared" si="45"/>
        <v>2669</v>
      </c>
      <c r="B2670" s="34" t="s">
        <v>8</v>
      </c>
      <c r="C2670" s="34" t="s">
        <v>11679</v>
      </c>
      <c r="D2670" t="s">
        <v>12157</v>
      </c>
      <c r="E2670" s="8" t="s">
        <v>11581</v>
      </c>
      <c r="F2670" s="34" t="s">
        <v>12156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 hidden="1">
      <c r="A2671" s="40">
        <f t="shared" si="45"/>
        <v>2670</v>
      </c>
      <c r="B2671" s="34" t="s">
        <v>8</v>
      </c>
      <c r="C2671" s="34" t="s">
        <v>11679</v>
      </c>
      <c r="D2671" t="s">
        <v>12158</v>
      </c>
      <c r="E2671" s="8" t="s">
        <v>11582</v>
      </c>
      <c r="F2671" s="34" t="s">
        <v>12156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 hidden="1">
      <c r="A2672" s="40">
        <f t="shared" si="45"/>
        <v>2671</v>
      </c>
      <c r="B2672" s="34" t="s">
        <v>8</v>
      </c>
      <c r="C2672" s="34" t="s">
        <v>11679</v>
      </c>
      <c r="D2672" t="s">
        <v>12159</v>
      </c>
      <c r="E2672" s="8" t="s">
        <v>11583</v>
      </c>
      <c r="F2672" s="34" t="s">
        <v>12156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 hidden="1">
      <c r="A2673" s="40">
        <f t="shared" si="45"/>
        <v>2672</v>
      </c>
      <c r="B2673" s="34" t="s">
        <v>8</v>
      </c>
      <c r="C2673" s="34" t="s">
        <v>11679</v>
      </c>
      <c r="D2673" t="s">
        <v>12160</v>
      </c>
      <c r="E2673" s="8" t="s">
        <v>11584</v>
      </c>
      <c r="F2673" s="34" t="s">
        <v>12155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 hidden="1">
      <c r="A2674" s="40">
        <f t="shared" si="45"/>
        <v>2673</v>
      </c>
      <c r="B2674" s="34" t="s">
        <v>8</v>
      </c>
      <c r="C2674" s="34" t="s">
        <v>11679</v>
      </c>
      <c r="D2674" t="s">
        <v>12161</v>
      </c>
      <c r="E2674" s="8" t="s">
        <v>11585</v>
      </c>
      <c r="F2674" s="34" t="s">
        <v>12160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 hidden="1">
      <c r="A2675" s="40">
        <f t="shared" si="45"/>
        <v>2674</v>
      </c>
      <c r="B2675" s="34" t="s">
        <v>8</v>
      </c>
      <c r="C2675" s="34" t="s">
        <v>11679</v>
      </c>
      <c r="D2675" t="s">
        <v>12162</v>
      </c>
      <c r="E2675" s="8" t="s">
        <v>11586</v>
      </c>
      <c r="F2675" s="34" t="s">
        <v>12160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 hidden="1">
      <c r="A2676" s="40">
        <f t="shared" si="45"/>
        <v>2675</v>
      </c>
      <c r="B2676" s="34" t="s">
        <v>8</v>
      </c>
      <c r="C2676" s="34" t="s">
        <v>11679</v>
      </c>
      <c r="D2676" t="s">
        <v>12163</v>
      </c>
      <c r="E2676" s="8" t="s">
        <v>11587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 hidden="1">
      <c r="A2677" s="40">
        <f t="shared" si="45"/>
        <v>2676</v>
      </c>
      <c r="B2677" s="34" t="s">
        <v>8</v>
      </c>
      <c r="C2677" s="34" t="s">
        <v>11679</v>
      </c>
      <c r="D2677" t="s">
        <v>12164</v>
      </c>
      <c r="E2677" s="8" t="s">
        <v>11588</v>
      </c>
      <c r="F2677" s="34" t="s">
        <v>12163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 hidden="1">
      <c r="A2678" s="40">
        <f t="shared" si="45"/>
        <v>2677</v>
      </c>
      <c r="B2678" s="34" t="s">
        <v>8</v>
      </c>
      <c r="C2678" s="34" t="s">
        <v>11679</v>
      </c>
      <c r="D2678" t="s">
        <v>12165</v>
      </c>
      <c r="E2678" s="8" t="s">
        <v>11589</v>
      </c>
      <c r="F2678" s="34" t="s">
        <v>12163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 hidden="1">
      <c r="A2679" s="40">
        <f t="shared" si="45"/>
        <v>2678</v>
      </c>
      <c r="B2679" s="34" t="s">
        <v>8</v>
      </c>
      <c r="C2679" s="34" t="s">
        <v>11679</v>
      </c>
      <c r="D2679" t="s">
        <v>12166</v>
      </c>
      <c r="E2679" s="8" t="s">
        <v>11590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 hidden="1">
      <c r="A2680" s="40">
        <f t="shared" si="45"/>
        <v>2679</v>
      </c>
      <c r="B2680" s="34" t="s">
        <v>8</v>
      </c>
      <c r="C2680" s="34" t="s">
        <v>11679</v>
      </c>
      <c r="D2680" t="s">
        <v>12167</v>
      </c>
      <c r="E2680" s="8" t="s">
        <v>11591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 hidden="1">
      <c r="A2681" s="40">
        <f t="shared" si="45"/>
        <v>2680</v>
      </c>
      <c r="B2681" s="34" t="s">
        <v>8</v>
      </c>
      <c r="C2681" s="34" t="s">
        <v>11679</v>
      </c>
      <c r="D2681" t="s">
        <v>12168</v>
      </c>
      <c r="E2681" s="8" t="s">
        <v>11592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 hidden="1">
      <c r="A2682" s="40">
        <f t="shared" si="45"/>
        <v>2681</v>
      </c>
      <c r="B2682" s="34" t="s">
        <v>8</v>
      </c>
      <c r="C2682" s="34" t="s">
        <v>11679</v>
      </c>
      <c r="D2682" t="s">
        <v>12169</v>
      </c>
      <c r="E2682" s="8" t="s">
        <v>11593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 hidden="1">
      <c r="A2683" s="40">
        <f t="shared" si="45"/>
        <v>2682</v>
      </c>
      <c r="B2683" s="34" t="s">
        <v>8</v>
      </c>
      <c r="C2683" s="34" t="s">
        <v>11679</v>
      </c>
      <c r="D2683" t="s">
        <v>12170</v>
      </c>
      <c r="E2683" s="8" t="s">
        <v>11594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 hidden="1">
      <c r="A2684" s="40">
        <f t="shared" si="45"/>
        <v>2683</v>
      </c>
      <c r="B2684" s="34" t="s">
        <v>8</v>
      </c>
      <c r="C2684" s="34" t="s">
        <v>11679</v>
      </c>
      <c r="D2684" t="s">
        <v>12171</v>
      </c>
      <c r="E2684" s="8" t="s">
        <v>11595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 hidden="1">
      <c r="A2685" s="40">
        <f t="shared" si="45"/>
        <v>2684</v>
      </c>
      <c r="B2685" s="34" t="s">
        <v>8</v>
      </c>
      <c r="C2685" s="34" t="s">
        <v>11679</v>
      </c>
      <c r="D2685" t="s">
        <v>12172</v>
      </c>
      <c r="E2685" s="8" t="s">
        <v>11596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 hidden="1">
      <c r="A2686" s="40">
        <f t="shared" ref="A2686:A2749" si="46">1+A2685</f>
        <v>2685</v>
      </c>
      <c r="B2686" s="34" t="s">
        <v>8</v>
      </c>
      <c r="C2686" s="34" t="s">
        <v>11679</v>
      </c>
      <c r="D2686" t="s">
        <v>12173</v>
      </c>
      <c r="E2686" s="8" t="s">
        <v>11597</v>
      </c>
      <c r="F2686" s="34" t="s">
        <v>12163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 hidden="1">
      <c r="A2687" s="40">
        <f t="shared" si="46"/>
        <v>2686</v>
      </c>
      <c r="B2687" s="34" t="s">
        <v>8</v>
      </c>
      <c r="C2687" s="34" t="s">
        <v>11679</v>
      </c>
      <c r="D2687" t="s">
        <v>12174</v>
      </c>
      <c r="E2687" s="8" t="s">
        <v>11598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 hidden="1">
      <c r="A2688" s="40">
        <f t="shared" si="46"/>
        <v>2687</v>
      </c>
      <c r="B2688" s="34" t="s">
        <v>8</v>
      </c>
      <c r="C2688" s="34" t="s">
        <v>11679</v>
      </c>
      <c r="D2688" t="s">
        <v>12175</v>
      </c>
      <c r="E2688" s="8" t="s">
        <v>11599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 hidden="1">
      <c r="A2689" s="40">
        <f t="shared" si="46"/>
        <v>2688</v>
      </c>
      <c r="B2689" s="34" t="s">
        <v>8</v>
      </c>
      <c r="C2689" s="34" t="s">
        <v>11679</v>
      </c>
      <c r="D2689" t="s">
        <v>12176</v>
      </c>
      <c r="E2689" s="8" t="s">
        <v>11600</v>
      </c>
      <c r="F2689" s="34" t="s">
        <v>12175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 hidden="1">
      <c r="A2690" s="40">
        <f t="shared" si="46"/>
        <v>2689</v>
      </c>
      <c r="B2690" s="34" t="s">
        <v>8</v>
      </c>
      <c r="C2690" s="34" t="s">
        <v>11679</v>
      </c>
      <c r="D2690" t="s">
        <v>12177</v>
      </c>
      <c r="E2690" s="8" t="s">
        <v>11601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 hidden="1">
      <c r="A2691" s="40">
        <f t="shared" si="46"/>
        <v>2690</v>
      </c>
      <c r="B2691" s="34" t="s">
        <v>8</v>
      </c>
      <c r="C2691" s="34" t="s">
        <v>11679</v>
      </c>
      <c r="D2691" t="s">
        <v>12178</v>
      </c>
      <c r="E2691" s="8" t="s">
        <v>11602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 hidden="1">
      <c r="A2692" s="40">
        <f t="shared" si="46"/>
        <v>2691</v>
      </c>
      <c r="B2692" s="34" t="s">
        <v>8</v>
      </c>
      <c r="C2692" s="34" t="s">
        <v>11679</v>
      </c>
      <c r="D2692" t="s">
        <v>12179</v>
      </c>
      <c r="E2692" s="8" t="s">
        <v>11603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 hidden="1">
      <c r="A2693" s="40">
        <f t="shared" si="46"/>
        <v>2692</v>
      </c>
      <c r="B2693" s="34" t="s">
        <v>8</v>
      </c>
      <c r="C2693" s="34" t="s">
        <v>11679</v>
      </c>
      <c r="D2693" t="s">
        <v>12180</v>
      </c>
      <c r="E2693" s="8" t="s">
        <v>11604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 hidden="1">
      <c r="A2694" s="40">
        <f t="shared" si="46"/>
        <v>2693</v>
      </c>
      <c r="B2694" s="34" t="s">
        <v>8</v>
      </c>
      <c r="C2694" s="34" t="s">
        <v>11679</v>
      </c>
      <c r="D2694" t="s">
        <v>12181</v>
      </c>
      <c r="E2694" s="8" t="s">
        <v>11605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 hidden="1">
      <c r="A2695" s="40">
        <f t="shared" si="46"/>
        <v>2694</v>
      </c>
      <c r="B2695" s="34" t="s">
        <v>8</v>
      </c>
      <c r="C2695" s="34" t="s">
        <v>11679</v>
      </c>
      <c r="D2695" s="8" t="s">
        <v>5952</v>
      </c>
      <c r="E2695" s="8" t="s">
        <v>11606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 hidden="1">
      <c r="A2696" s="40">
        <f t="shared" si="46"/>
        <v>2695</v>
      </c>
      <c r="B2696" s="34" t="s">
        <v>8</v>
      </c>
      <c r="C2696" s="34" t="s">
        <v>11679</v>
      </c>
      <c r="D2696" s="8" t="s">
        <v>5404</v>
      </c>
      <c r="E2696" s="8" t="s">
        <v>11607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 hidden="1">
      <c r="A2697" s="40">
        <f t="shared" si="46"/>
        <v>2696</v>
      </c>
      <c r="B2697" s="34" t="s">
        <v>8</v>
      </c>
      <c r="C2697" s="34" t="s">
        <v>11679</v>
      </c>
      <c r="D2697" s="8" t="s">
        <v>5406</v>
      </c>
      <c r="E2697" s="8" t="s">
        <v>11608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 hidden="1">
      <c r="A2698" s="40">
        <f t="shared" si="46"/>
        <v>2697</v>
      </c>
      <c r="B2698" s="34" t="s">
        <v>8</v>
      </c>
      <c r="C2698" s="34" t="s">
        <v>11679</v>
      </c>
      <c r="D2698" s="8" t="s">
        <v>8026</v>
      </c>
      <c r="E2698" s="8" t="s">
        <v>11609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 hidden="1">
      <c r="A2699" s="40">
        <f t="shared" si="46"/>
        <v>2698</v>
      </c>
      <c r="B2699" s="34" t="s">
        <v>8</v>
      </c>
      <c r="C2699" s="34" t="s">
        <v>11679</v>
      </c>
      <c r="D2699" s="8" t="s">
        <v>8027</v>
      </c>
      <c r="E2699" s="8" t="s">
        <v>11610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 hidden="1">
      <c r="A2700" s="40">
        <f t="shared" si="46"/>
        <v>2699</v>
      </c>
      <c r="B2700" s="34" t="s">
        <v>8</v>
      </c>
      <c r="C2700" s="34" t="s">
        <v>11679</v>
      </c>
      <c r="D2700" s="8" t="s">
        <v>2025</v>
      </c>
      <c r="E2700" s="8" t="s">
        <v>11611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 hidden="1">
      <c r="A2701" s="40">
        <f t="shared" si="46"/>
        <v>2700</v>
      </c>
      <c r="B2701" s="34" t="s">
        <v>8</v>
      </c>
      <c r="C2701" s="34" t="s">
        <v>11679</v>
      </c>
      <c r="D2701" s="8" t="s">
        <v>2023</v>
      </c>
      <c r="E2701" s="8" t="s">
        <v>11612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 hidden="1">
      <c r="A2702" s="40">
        <f t="shared" si="46"/>
        <v>2701</v>
      </c>
      <c r="B2702" s="34" t="s">
        <v>8</v>
      </c>
      <c r="C2702" s="34" t="s">
        <v>11679</v>
      </c>
      <c r="D2702" s="8" t="s">
        <v>2026</v>
      </c>
      <c r="E2702" s="8" t="s">
        <v>11613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 hidden="1">
      <c r="A2703" s="40">
        <f t="shared" si="46"/>
        <v>2702</v>
      </c>
      <c r="B2703" s="34" t="s">
        <v>8</v>
      </c>
      <c r="C2703" s="34" t="s">
        <v>11679</v>
      </c>
      <c r="D2703" s="8" t="s">
        <v>2045</v>
      </c>
      <c r="E2703" s="8" t="s">
        <v>11614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 hidden="1">
      <c r="A2704" s="40">
        <f t="shared" si="46"/>
        <v>2703</v>
      </c>
      <c r="B2704" s="34" t="s">
        <v>8</v>
      </c>
      <c r="C2704" s="34" t="s">
        <v>11679</v>
      </c>
      <c r="D2704" s="8" t="s">
        <v>2043</v>
      </c>
      <c r="E2704" s="8" t="s">
        <v>11615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 hidden="1">
      <c r="A2705" s="40">
        <f t="shared" si="46"/>
        <v>2704</v>
      </c>
      <c r="B2705" s="34" t="s">
        <v>8</v>
      </c>
      <c r="C2705" s="34" t="s">
        <v>11679</v>
      </c>
      <c r="D2705" s="8" t="s">
        <v>2046</v>
      </c>
      <c r="E2705" s="8" t="s">
        <v>11616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 hidden="1">
      <c r="A2706" s="40">
        <f t="shared" si="46"/>
        <v>2705</v>
      </c>
      <c r="B2706" s="34" t="s">
        <v>8</v>
      </c>
      <c r="C2706" s="34" t="s">
        <v>11679</v>
      </c>
      <c r="D2706" s="8" t="s">
        <v>8029</v>
      </c>
      <c r="E2706" s="8" t="s">
        <v>11617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 hidden="1">
      <c r="A2707" s="40">
        <f t="shared" si="46"/>
        <v>2706</v>
      </c>
      <c r="B2707" s="34" t="s">
        <v>8</v>
      </c>
      <c r="C2707" s="34" t="s">
        <v>11679</v>
      </c>
      <c r="D2707" s="8" t="s">
        <v>2030</v>
      </c>
      <c r="E2707" s="8" t="s">
        <v>11618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 hidden="1">
      <c r="A2708" s="40">
        <f t="shared" si="46"/>
        <v>2707</v>
      </c>
      <c r="B2708" s="34" t="s">
        <v>8</v>
      </c>
      <c r="C2708" s="34" t="s">
        <v>11679</v>
      </c>
      <c r="D2708" s="8" t="s">
        <v>2028</v>
      </c>
      <c r="E2708" s="8" t="s">
        <v>11619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 hidden="1">
      <c r="A2709" s="40">
        <f t="shared" si="46"/>
        <v>2708</v>
      </c>
      <c r="B2709" s="34" t="s">
        <v>8</v>
      </c>
      <c r="C2709" s="34" t="s">
        <v>11679</v>
      </c>
      <c r="D2709" s="8" t="s">
        <v>2031</v>
      </c>
      <c r="E2709" s="8" t="s">
        <v>11620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 hidden="1">
      <c r="A2710" s="40">
        <f t="shared" si="46"/>
        <v>2709</v>
      </c>
      <c r="B2710" s="34" t="s">
        <v>8</v>
      </c>
      <c r="C2710" s="34" t="s">
        <v>11679</v>
      </c>
      <c r="D2710" s="8" t="s">
        <v>2035</v>
      </c>
      <c r="E2710" s="8" t="s">
        <v>11621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 hidden="1">
      <c r="A2711" s="40">
        <f t="shared" si="46"/>
        <v>2710</v>
      </c>
      <c r="B2711" s="34" t="s">
        <v>8</v>
      </c>
      <c r="C2711" s="34" t="s">
        <v>11679</v>
      </c>
      <c r="D2711" s="8" t="s">
        <v>2033</v>
      </c>
      <c r="E2711" s="8" t="s">
        <v>11622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 hidden="1">
      <c r="A2712" s="40">
        <f t="shared" si="46"/>
        <v>2711</v>
      </c>
      <c r="B2712" s="34" t="s">
        <v>8</v>
      </c>
      <c r="C2712" s="34" t="s">
        <v>11679</v>
      </c>
      <c r="D2712" s="8" t="s">
        <v>2036</v>
      </c>
      <c r="E2712" s="8" t="s">
        <v>11623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 hidden="1">
      <c r="A2713" s="40">
        <f t="shared" si="46"/>
        <v>2712</v>
      </c>
      <c r="B2713" s="34" t="s">
        <v>8</v>
      </c>
      <c r="C2713" s="34" t="s">
        <v>11679</v>
      </c>
      <c r="D2713" s="8" t="s">
        <v>8031</v>
      </c>
      <c r="E2713" s="8" t="s">
        <v>11624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 hidden="1">
      <c r="A2714" s="40">
        <f t="shared" si="46"/>
        <v>2713</v>
      </c>
      <c r="B2714" s="34" t="s">
        <v>8</v>
      </c>
      <c r="C2714" s="34" t="s">
        <v>11679</v>
      </c>
      <c r="D2714" s="8" t="s">
        <v>2177</v>
      </c>
      <c r="E2714" s="8" t="s">
        <v>11625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 hidden="1">
      <c r="A2715" s="40">
        <f t="shared" si="46"/>
        <v>2714</v>
      </c>
      <c r="B2715" s="34" t="s">
        <v>8</v>
      </c>
      <c r="C2715" s="34" t="s">
        <v>11679</v>
      </c>
      <c r="D2715" s="8" t="s">
        <v>2175</v>
      </c>
      <c r="E2715" s="8" t="s">
        <v>11626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 hidden="1">
      <c r="A2716" s="40">
        <f t="shared" si="46"/>
        <v>2715</v>
      </c>
      <c r="B2716" s="34" t="s">
        <v>8</v>
      </c>
      <c r="C2716" s="34" t="s">
        <v>11679</v>
      </c>
      <c r="D2716" s="8" t="s">
        <v>2178</v>
      </c>
      <c r="E2716" s="8" t="s">
        <v>11627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 hidden="1">
      <c r="A2717" s="40">
        <f t="shared" si="46"/>
        <v>2716</v>
      </c>
      <c r="B2717" s="34" t="s">
        <v>8</v>
      </c>
      <c r="C2717" s="34" t="s">
        <v>11679</v>
      </c>
      <c r="D2717" s="8" t="s">
        <v>8048</v>
      </c>
      <c r="E2717" s="8" t="s">
        <v>11628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 hidden="1">
      <c r="A2718" s="40">
        <f t="shared" si="46"/>
        <v>2717</v>
      </c>
      <c r="B2718" s="34" t="s">
        <v>8</v>
      </c>
      <c r="C2718" s="34" t="s">
        <v>11679</v>
      </c>
      <c r="D2718" s="8" t="s">
        <v>8032</v>
      </c>
      <c r="E2718" s="8" t="s">
        <v>11629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 hidden="1">
      <c r="A2719" s="40">
        <f t="shared" si="46"/>
        <v>2718</v>
      </c>
      <c r="B2719" s="34" t="s">
        <v>8</v>
      </c>
      <c r="C2719" s="34" t="s">
        <v>11679</v>
      </c>
      <c r="D2719" s="8" t="s">
        <v>2015</v>
      </c>
      <c r="E2719" s="8" t="s">
        <v>11630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 hidden="1">
      <c r="A2720" s="40">
        <f t="shared" si="46"/>
        <v>2719</v>
      </c>
      <c r="B2720" s="34" t="s">
        <v>8</v>
      </c>
      <c r="C2720" s="34" t="s">
        <v>11679</v>
      </c>
      <c r="D2720" s="8" t="s">
        <v>2013</v>
      </c>
      <c r="E2720" s="8" t="s">
        <v>11631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 hidden="1">
      <c r="A2721" s="40">
        <f t="shared" si="46"/>
        <v>2720</v>
      </c>
      <c r="B2721" s="34" t="s">
        <v>8</v>
      </c>
      <c r="C2721" s="34" t="s">
        <v>11679</v>
      </c>
      <c r="D2721" s="8" t="s">
        <v>2016</v>
      </c>
      <c r="E2721" s="8" t="s">
        <v>11632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 hidden="1">
      <c r="A2722" s="40">
        <f t="shared" si="46"/>
        <v>2721</v>
      </c>
      <c r="B2722" s="34" t="s">
        <v>8</v>
      </c>
      <c r="C2722" s="34" t="s">
        <v>11679</v>
      </c>
      <c r="D2722" s="8" t="s">
        <v>2182</v>
      </c>
      <c r="E2722" s="8" t="s">
        <v>11633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 hidden="1">
      <c r="A2723" s="40">
        <f t="shared" si="46"/>
        <v>2722</v>
      </c>
      <c r="B2723" s="34" t="s">
        <v>8</v>
      </c>
      <c r="C2723" s="34" t="s">
        <v>11679</v>
      </c>
      <c r="D2723" s="8" t="s">
        <v>2180</v>
      </c>
      <c r="E2723" s="8" t="s">
        <v>11634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 hidden="1">
      <c r="A2724" s="40">
        <f t="shared" si="46"/>
        <v>2723</v>
      </c>
      <c r="B2724" s="34" t="s">
        <v>8</v>
      </c>
      <c r="C2724" s="34" t="s">
        <v>11679</v>
      </c>
      <c r="D2724" s="8" t="s">
        <v>2183</v>
      </c>
      <c r="E2724" s="8" t="s">
        <v>11635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 hidden="1">
      <c r="A2725" s="40">
        <f t="shared" si="46"/>
        <v>2724</v>
      </c>
      <c r="B2725" s="34" t="s">
        <v>8</v>
      </c>
      <c r="C2725" s="34" t="s">
        <v>11679</v>
      </c>
      <c r="D2725" s="8" t="s">
        <v>8033</v>
      </c>
      <c r="E2725" s="8" t="s">
        <v>11636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 hidden="1">
      <c r="A2726" s="40">
        <f t="shared" si="46"/>
        <v>2725</v>
      </c>
      <c r="B2726" s="34" t="s">
        <v>8</v>
      </c>
      <c r="C2726" s="34" t="s">
        <v>11679</v>
      </c>
      <c r="D2726" s="8" t="s">
        <v>8035</v>
      </c>
      <c r="E2726" s="8" t="s">
        <v>11637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 hidden="1">
      <c r="A2727" s="40">
        <f t="shared" si="46"/>
        <v>2726</v>
      </c>
      <c r="B2727" s="34" t="s">
        <v>8</v>
      </c>
      <c r="C2727" s="34" t="s">
        <v>11679</v>
      </c>
      <c r="D2727" s="8" t="s">
        <v>2040</v>
      </c>
      <c r="E2727" s="8" t="s">
        <v>11638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 hidden="1">
      <c r="A2728" s="40">
        <f t="shared" si="46"/>
        <v>2727</v>
      </c>
      <c r="B2728" s="34" t="s">
        <v>8</v>
      </c>
      <c r="C2728" s="34" t="s">
        <v>11679</v>
      </c>
      <c r="D2728" s="8" t="s">
        <v>2038</v>
      </c>
      <c r="E2728" s="8" t="s">
        <v>11639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 hidden="1">
      <c r="A2729" s="40">
        <f t="shared" si="46"/>
        <v>2728</v>
      </c>
      <c r="B2729" s="34" t="s">
        <v>8</v>
      </c>
      <c r="C2729" s="34" t="s">
        <v>11679</v>
      </c>
      <c r="D2729" s="8" t="s">
        <v>2041</v>
      </c>
      <c r="E2729" s="8" t="s">
        <v>11640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 hidden="1">
      <c r="A2730" s="40">
        <f t="shared" si="46"/>
        <v>2729</v>
      </c>
      <c r="B2730" s="34" t="s">
        <v>8</v>
      </c>
      <c r="C2730" s="34" t="s">
        <v>11679</v>
      </c>
      <c r="D2730" s="8" t="s">
        <v>2187</v>
      </c>
      <c r="E2730" s="8" t="s">
        <v>11641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 hidden="1">
      <c r="A2731" s="40">
        <f t="shared" si="46"/>
        <v>2730</v>
      </c>
      <c r="B2731" s="34" t="s">
        <v>8</v>
      </c>
      <c r="C2731" s="34" t="s">
        <v>11679</v>
      </c>
      <c r="D2731" s="8" t="s">
        <v>2185</v>
      </c>
      <c r="E2731" s="8" t="s">
        <v>11642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 hidden="1">
      <c r="A2732" s="40">
        <f t="shared" si="46"/>
        <v>2731</v>
      </c>
      <c r="B2732" s="34" t="s">
        <v>8</v>
      </c>
      <c r="C2732" s="34" t="s">
        <v>11679</v>
      </c>
      <c r="D2732" s="8" t="s">
        <v>2188</v>
      </c>
      <c r="E2732" s="8" t="s">
        <v>11643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 hidden="1">
      <c r="A2733" s="40">
        <f t="shared" si="46"/>
        <v>2732</v>
      </c>
      <c r="B2733" s="34" t="s">
        <v>8</v>
      </c>
      <c r="C2733" s="34" t="s">
        <v>11679</v>
      </c>
      <c r="D2733" s="8" t="s">
        <v>2287</v>
      </c>
      <c r="E2733" s="8" t="s">
        <v>11644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 hidden="1">
      <c r="A2734" s="40">
        <f t="shared" si="46"/>
        <v>2733</v>
      </c>
      <c r="B2734" s="34" t="s">
        <v>8</v>
      </c>
      <c r="C2734" s="34" t="s">
        <v>11679</v>
      </c>
      <c r="D2734" s="8" t="s">
        <v>2285</v>
      </c>
      <c r="E2734" s="8" t="s">
        <v>11645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 hidden="1">
      <c r="A2735" s="40">
        <f t="shared" si="46"/>
        <v>2734</v>
      </c>
      <c r="B2735" s="34" t="s">
        <v>8</v>
      </c>
      <c r="C2735" s="34" t="s">
        <v>11679</v>
      </c>
      <c r="D2735" s="8" t="s">
        <v>2301</v>
      </c>
      <c r="E2735" s="8" t="s">
        <v>11646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 hidden="1">
      <c r="A2736" s="40">
        <f t="shared" si="46"/>
        <v>2735</v>
      </c>
      <c r="B2736" s="34" t="s">
        <v>8</v>
      </c>
      <c r="C2736" s="34" t="s">
        <v>11679</v>
      </c>
      <c r="D2736" s="8" t="s">
        <v>8036</v>
      </c>
      <c r="E2736" s="8" t="s">
        <v>11647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 hidden="1">
      <c r="A2737" s="40">
        <f t="shared" si="46"/>
        <v>2736</v>
      </c>
      <c r="B2737" s="34" t="s">
        <v>8</v>
      </c>
      <c r="C2737" s="34" t="s">
        <v>11679</v>
      </c>
      <c r="D2737" s="8" t="s">
        <v>2172</v>
      </c>
      <c r="E2737" s="8" t="s">
        <v>11648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 hidden="1">
      <c r="A2738" s="40">
        <f t="shared" si="46"/>
        <v>2737</v>
      </c>
      <c r="B2738" s="34" t="s">
        <v>8</v>
      </c>
      <c r="C2738" s="34" t="s">
        <v>11679</v>
      </c>
      <c r="D2738" s="8" t="s">
        <v>2170</v>
      </c>
      <c r="E2738" s="8" t="s">
        <v>11649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 hidden="1">
      <c r="A2739" s="40">
        <f t="shared" si="46"/>
        <v>2738</v>
      </c>
      <c r="B2739" s="34" t="s">
        <v>8</v>
      </c>
      <c r="C2739" s="34" t="s">
        <v>11679</v>
      </c>
      <c r="D2739" s="8" t="s">
        <v>2173</v>
      </c>
      <c r="E2739" s="8" t="s">
        <v>11650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 hidden="1">
      <c r="A2740" s="40">
        <f t="shared" si="46"/>
        <v>2739</v>
      </c>
      <c r="B2740" s="34" t="s">
        <v>8</v>
      </c>
      <c r="C2740" s="34" t="s">
        <v>11679</v>
      </c>
      <c r="D2740" s="8" t="s">
        <v>2255</v>
      </c>
      <c r="E2740" s="8" t="s">
        <v>11651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 hidden="1">
      <c r="A2741" s="40">
        <f t="shared" si="46"/>
        <v>2740</v>
      </c>
      <c r="B2741" s="34" t="s">
        <v>8</v>
      </c>
      <c r="C2741" s="34" t="s">
        <v>11679</v>
      </c>
      <c r="D2741" s="8" t="s">
        <v>2253</v>
      </c>
      <c r="E2741" s="8" t="s">
        <v>11652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 hidden="1">
      <c r="A2742" s="40">
        <f t="shared" si="46"/>
        <v>2741</v>
      </c>
      <c r="B2742" s="34" t="s">
        <v>8</v>
      </c>
      <c r="C2742" s="34" t="s">
        <v>11679</v>
      </c>
      <c r="D2742" s="8" t="s">
        <v>2269</v>
      </c>
      <c r="E2742" s="8" t="s">
        <v>11653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 hidden="1">
      <c r="A2743" s="40">
        <f t="shared" si="46"/>
        <v>2742</v>
      </c>
      <c r="B2743" s="34" t="s">
        <v>8</v>
      </c>
      <c r="C2743" s="34" t="s">
        <v>11679</v>
      </c>
      <c r="D2743" s="8" t="s">
        <v>2273</v>
      </c>
      <c r="E2743" s="8" t="s">
        <v>11654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 hidden="1">
      <c r="A2744" s="40">
        <f t="shared" si="46"/>
        <v>2743</v>
      </c>
      <c r="B2744" s="34" t="s">
        <v>8</v>
      </c>
      <c r="C2744" s="34" t="s">
        <v>11679</v>
      </c>
      <c r="D2744" s="8" t="s">
        <v>2271</v>
      </c>
      <c r="E2744" s="8" t="s">
        <v>11655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 hidden="1">
      <c r="A2745" s="40">
        <f t="shared" si="46"/>
        <v>2744</v>
      </c>
      <c r="B2745" s="34" t="s">
        <v>8</v>
      </c>
      <c r="C2745" s="34" t="s">
        <v>11679</v>
      </c>
      <c r="D2745" s="8" t="s">
        <v>2283</v>
      </c>
      <c r="E2745" s="8" t="s">
        <v>11656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 hidden="1">
      <c r="A2746" s="40">
        <f t="shared" si="46"/>
        <v>2745</v>
      </c>
      <c r="B2746" s="34" t="s">
        <v>8</v>
      </c>
      <c r="C2746" s="34" t="s">
        <v>11679</v>
      </c>
      <c r="D2746" s="8" t="s">
        <v>8037</v>
      </c>
      <c r="E2746" s="8" t="s">
        <v>11657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 hidden="1">
      <c r="A2747" s="40">
        <f t="shared" si="46"/>
        <v>2746</v>
      </c>
      <c r="B2747" s="34" t="s">
        <v>8</v>
      </c>
      <c r="C2747" s="34" t="s">
        <v>11679</v>
      </c>
      <c r="D2747" s="8" t="s">
        <v>8854</v>
      </c>
      <c r="E2747" s="8" t="s">
        <v>11658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 hidden="1">
      <c r="A2748" s="40">
        <f t="shared" si="46"/>
        <v>2747</v>
      </c>
      <c r="B2748" s="34" t="s">
        <v>8</v>
      </c>
      <c r="C2748" s="34" t="s">
        <v>11679</v>
      </c>
      <c r="D2748" s="8" t="s">
        <v>4685</v>
      </c>
      <c r="E2748" s="8" t="s">
        <v>11659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 hidden="1">
      <c r="A2749" s="40">
        <f t="shared" si="46"/>
        <v>2748</v>
      </c>
      <c r="B2749" s="34" t="s">
        <v>8</v>
      </c>
      <c r="C2749" s="34" t="s">
        <v>11679</v>
      </c>
      <c r="D2749" s="8" t="s">
        <v>8903</v>
      </c>
      <c r="E2749" s="8" t="s">
        <v>11660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 hidden="1">
      <c r="A2750" s="40">
        <f t="shared" ref="A2750:A2813" si="47">1+A2749</f>
        <v>2749</v>
      </c>
      <c r="B2750" s="34" t="s">
        <v>8</v>
      </c>
      <c r="C2750" s="34" t="s">
        <v>11679</v>
      </c>
      <c r="D2750" s="8" t="s">
        <v>8916</v>
      </c>
      <c r="E2750" s="8" t="s">
        <v>11661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 hidden="1">
      <c r="A2751" s="40">
        <f t="shared" si="47"/>
        <v>2750</v>
      </c>
      <c r="B2751" s="34" t="s">
        <v>8</v>
      </c>
      <c r="C2751" s="34" t="s">
        <v>11679</v>
      </c>
      <c r="D2751" s="8" t="s">
        <v>8906</v>
      </c>
      <c r="E2751" s="8" t="s">
        <v>11662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 hidden="1">
      <c r="A2752" s="40">
        <f t="shared" si="47"/>
        <v>2751</v>
      </c>
      <c r="B2752" s="34" t="s">
        <v>8</v>
      </c>
      <c r="C2752" s="34" t="s">
        <v>11679</v>
      </c>
      <c r="D2752" s="8" t="s">
        <v>8907</v>
      </c>
      <c r="E2752" s="8" t="s">
        <v>11663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 hidden="1">
      <c r="A2753" s="40">
        <f t="shared" si="47"/>
        <v>2752</v>
      </c>
      <c r="B2753" s="34" t="s">
        <v>8</v>
      </c>
      <c r="C2753" s="34" t="s">
        <v>11679</v>
      </c>
      <c r="D2753" s="8" t="s">
        <v>8908</v>
      </c>
      <c r="E2753" s="8" t="s">
        <v>11664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 hidden="1">
      <c r="A2754" s="40">
        <f t="shared" si="47"/>
        <v>2753</v>
      </c>
      <c r="B2754" s="34" t="s">
        <v>8</v>
      </c>
      <c r="C2754" s="34" t="s">
        <v>11679</v>
      </c>
      <c r="D2754" s="8" t="s">
        <v>2625</v>
      </c>
      <c r="E2754" s="8" t="s">
        <v>11665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 hidden="1">
      <c r="A2755" s="40">
        <f t="shared" si="47"/>
        <v>2754</v>
      </c>
      <c r="B2755" s="34" t="s">
        <v>8</v>
      </c>
      <c r="C2755" s="34" t="s">
        <v>11679</v>
      </c>
      <c r="D2755" s="8" t="s">
        <v>2674</v>
      </c>
      <c r="E2755" s="8" t="s">
        <v>11666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 hidden="1">
      <c r="A2756" s="40">
        <f t="shared" si="47"/>
        <v>2755</v>
      </c>
      <c r="B2756" s="34" t="s">
        <v>8</v>
      </c>
      <c r="C2756" s="34" t="s">
        <v>11679</v>
      </c>
      <c r="D2756" s="8" t="s">
        <v>8017</v>
      </c>
      <c r="E2756" s="8" t="s">
        <v>11667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 hidden="1">
      <c r="A2757" s="40">
        <f t="shared" si="47"/>
        <v>2756</v>
      </c>
      <c r="B2757" s="34" t="s">
        <v>8</v>
      </c>
      <c r="C2757" s="34" t="s">
        <v>11679</v>
      </c>
      <c r="D2757" s="8" t="s">
        <v>4872</v>
      </c>
      <c r="E2757" s="8" t="s">
        <v>11668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 hidden="1">
      <c r="A2758" s="40">
        <f t="shared" si="47"/>
        <v>2757</v>
      </c>
      <c r="B2758" s="34" t="s">
        <v>8</v>
      </c>
      <c r="C2758" s="34" t="s">
        <v>11679</v>
      </c>
      <c r="D2758" s="8" t="s">
        <v>8018</v>
      </c>
      <c r="E2758" s="8" t="s">
        <v>11669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 hidden="1">
      <c r="A2759" s="40">
        <f t="shared" si="47"/>
        <v>2758</v>
      </c>
      <c r="B2759" s="34" t="s">
        <v>8</v>
      </c>
      <c r="C2759" s="34" t="s">
        <v>11679</v>
      </c>
      <c r="D2759" s="8" t="s">
        <v>8019</v>
      </c>
      <c r="E2759" s="8" t="s">
        <v>11670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 hidden="1">
      <c r="A2760" s="40">
        <f t="shared" si="47"/>
        <v>2759</v>
      </c>
      <c r="B2760" s="34" t="s">
        <v>8</v>
      </c>
      <c r="C2760" s="34" t="s">
        <v>11679</v>
      </c>
      <c r="D2760" s="8" t="s">
        <v>3239</v>
      </c>
      <c r="E2760" s="8" t="s">
        <v>11671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 hidden="1">
      <c r="A2761" s="40">
        <f t="shared" si="47"/>
        <v>2760</v>
      </c>
      <c r="B2761" s="34" t="s">
        <v>8</v>
      </c>
      <c r="C2761" s="34" t="s">
        <v>11679</v>
      </c>
      <c r="D2761" s="8" t="s">
        <v>3241</v>
      </c>
      <c r="E2761" s="8" t="s">
        <v>11672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 hidden="1">
      <c r="A2762" s="40">
        <f t="shared" si="47"/>
        <v>2761</v>
      </c>
      <c r="B2762" s="34" t="s">
        <v>8</v>
      </c>
      <c r="C2762" s="34" t="s">
        <v>11679</v>
      </c>
      <c r="D2762" s="8" t="s">
        <v>3243</v>
      </c>
      <c r="E2762" s="8" t="s">
        <v>11673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 hidden="1">
      <c r="A2763" s="40">
        <f t="shared" si="47"/>
        <v>2762</v>
      </c>
      <c r="B2763" s="34" t="s">
        <v>8</v>
      </c>
      <c r="C2763" s="34" t="s">
        <v>11679</v>
      </c>
      <c r="D2763" s="8" t="s">
        <v>8020</v>
      </c>
      <c r="E2763" s="8" t="s">
        <v>11674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 hidden="1">
      <c r="A2764" s="40">
        <f t="shared" si="47"/>
        <v>2763</v>
      </c>
      <c r="B2764" s="34" t="s">
        <v>8</v>
      </c>
      <c r="C2764" s="34" t="s">
        <v>11679</v>
      </c>
      <c r="D2764" s="8" t="s">
        <v>3237</v>
      </c>
      <c r="E2764" s="8" t="s">
        <v>11675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 hidden="1">
      <c r="A2765" s="40">
        <f t="shared" si="47"/>
        <v>2764</v>
      </c>
      <c r="B2765" s="34" t="s">
        <v>8</v>
      </c>
      <c r="C2765" s="34" t="s">
        <v>11679</v>
      </c>
      <c r="D2765" s="8" t="s">
        <v>7810</v>
      </c>
      <c r="E2765" s="8" t="s">
        <v>11676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 hidden="1">
      <c r="A2766" s="40">
        <f t="shared" si="47"/>
        <v>2765</v>
      </c>
      <c r="B2766" s="34" t="s">
        <v>8</v>
      </c>
      <c r="C2766" s="34" t="s">
        <v>11679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 hidden="1">
      <c r="A2767" s="40">
        <f t="shared" si="47"/>
        <v>2766</v>
      </c>
      <c r="B2767" s="34" t="s">
        <v>8</v>
      </c>
      <c r="C2767" s="34" t="s">
        <v>11679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 hidden="1">
      <c r="A2768" s="40">
        <f t="shared" si="47"/>
        <v>2767</v>
      </c>
      <c r="B2768" s="34" t="s">
        <v>8</v>
      </c>
      <c r="C2768" s="34" t="s">
        <v>11679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 hidden="1">
      <c r="A2769" s="40">
        <f t="shared" si="47"/>
        <v>2768</v>
      </c>
      <c r="B2769" s="34" t="s">
        <v>8</v>
      </c>
      <c r="C2769" s="34" t="s">
        <v>11679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 hidden="1">
      <c r="A2770" s="40">
        <f t="shared" si="47"/>
        <v>2769</v>
      </c>
      <c r="B2770" s="34" t="s">
        <v>8</v>
      </c>
      <c r="C2770" s="34" t="s">
        <v>11679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 hidden="1">
      <c r="A2771" s="40">
        <f t="shared" si="47"/>
        <v>2770</v>
      </c>
      <c r="B2771" s="34" t="s">
        <v>8</v>
      </c>
      <c r="C2771" s="34" t="s">
        <v>11679</v>
      </c>
      <c r="D2771" s="8" t="s">
        <v>11677</v>
      </c>
      <c r="E2771" s="8" t="s">
        <v>12279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/>
      <c r="L2771" s="34"/>
      <c r="M2771" s="34" t="s">
        <v>8007</v>
      </c>
    </row>
    <row r="2772" spans="1:13" hidden="1">
      <c r="A2772" s="40">
        <f t="shared" si="47"/>
        <v>2771</v>
      </c>
      <c r="B2772" s="34" t="s">
        <v>8</v>
      </c>
      <c r="C2772" s="34" t="s">
        <v>11679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 hidden="1">
      <c r="A2773" s="40">
        <f t="shared" si="47"/>
        <v>2772</v>
      </c>
      <c r="B2773" s="34" t="s">
        <v>8</v>
      </c>
      <c r="C2773" s="34" t="s">
        <v>11679</v>
      </c>
      <c r="D2773" s="8" t="s">
        <v>11678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 hidden="1">
      <c r="A2774" s="40">
        <f t="shared" si="47"/>
        <v>2773</v>
      </c>
      <c r="B2774" s="34" t="s">
        <v>8</v>
      </c>
      <c r="C2774" s="34" t="s">
        <v>11679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 hidden="1">
      <c r="A2775" s="40">
        <f t="shared" si="47"/>
        <v>2774</v>
      </c>
      <c r="B2775" s="34" t="s">
        <v>8</v>
      </c>
      <c r="C2775" s="34" t="s">
        <v>11679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 hidden="1">
      <c r="A2776" s="40">
        <f t="shared" si="47"/>
        <v>2775</v>
      </c>
      <c r="B2776" s="34" t="s">
        <v>8</v>
      </c>
      <c r="C2776" s="34" t="s">
        <v>11679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 hidden="1">
      <c r="A2777" s="40">
        <f t="shared" si="47"/>
        <v>2776</v>
      </c>
      <c r="B2777" s="34" t="s">
        <v>8</v>
      </c>
      <c r="C2777" s="34" t="s">
        <v>11679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 hidden="1">
      <c r="A2778" s="40">
        <f t="shared" si="47"/>
        <v>2777</v>
      </c>
      <c r="B2778" s="34" t="s">
        <v>8</v>
      </c>
      <c r="C2778" s="34" t="s">
        <v>11679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 hidden="1">
      <c r="A2779" s="40">
        <f t="shared" si="47"/>
        <v>2778</v>
      </c>
      <c r="B2779" s="34" t="s">
        <v>8</v>
      </c>
      <c r="C2779" s="34" t="s">
        <v>11679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 hidden="1">
      <c r="A2780" s="40">
        <f t="shared" si="47"/>
        <v>2779</v>
      </c>
      <c r="B2780" s="34" t="s">
        <v>8</v>
      </c>
      <c r="C2780" s="8" t="s">
        <v>11680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12131</v>
      </c>
    </row>
    <row r="2781" spans="1:13" hidden="1">
      <c r="A2781" s="40">
        <f t="shared" si="47"/>
        <v>2780</v>
      </c>
      <c r="B2781" s="34" t="s">
        <v>8</v>
      </c>
      <c r="C2781" s="34" t="s">
        <v>11680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12131</v>
      </c>
    </row>
    <row r="2782" spans="1:13" hidden="1">
      <c r="A2782" s="40">
        <f t="shared" si="47"/>
        <v>2781</v>
      </c>
      <c r="B2782" s="34" t="s">
        <v>8</v>
      </c>
      <c r="C2782" s="34" t="s">
        <v>11680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12131</v>
      </c>
    </row>
    <row r="2783" spans="1:13" hidden="1">
      <c r="A2783" s="40">
        <f t="shared" si="47"/>
        <v>2782</v>
      </c>
      <c r="B2783" s="34" t="s">
        <v>8</v>
      </c>
      <c r="C2783" s="34" t="s">
        <v>11680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12131</v>
      </c>
    </row>
    <row r="2784" spans="1:13" hidden="1">
      <c r="A2784" s="40">
        <f t="shared" si="47"/>
        <v>2783</v>
      </c>
      <c r="B2784" s="34" t="s">
        <v>8</v>
      </c>
      <c r="C2784" s="34" t="s">
        <v>11680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12131</v>
      </c>
    </row>
    <row r="2785" spans="1:13" hidden="1">
      <c r="A2785" s="40">
        <f t="shared" si="47"/>
        <v>2784</v>
      </c>
      <c r="B2785" s="34" t="s">
        <v>8</v>
      </c>
      <c r="C2785" s="34" t="s">
        <v>11680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12131</v>
      </c>
    </row>
    <row r="2786" spans="1:13" hidden="1">
      <c r="A2786" s="40">
        <f t="shared" si="47"/>
        <v>2785</v>
      </c>
      <c r="B2786" s="34" t="s">
        <v>8</v>
      </c>
      <c r="C2786" s="34" t="s">
        <v>11680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12131</v>
      </c>
    </row>
    <row r="2787" spans="1:13" hidden="1">
      <c r="A2787" s="40">
        <f t="shared" si="47"/>
        <v>2786</v>
      </c>
      <c r="B2787" s="34" t="s">
        <v>8</v>
      </c>
      <c r="C2787" s="8" t="s">
        <v>12116</v>
      </c>
      <c r="D2787" s="8" t="s">
        <v>385</v>
      </c>
      <c r="E2787" s="8" t="s">
        <v>12117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7"/>
        <v>2787</v>
      </c>
      <c r="B2788" s="34" t="s">
        <v>8</v>
      </c>
      <c r="C2788" s="8" t="s">
        <v>12118</v>
      </c>
      <c r="D2788" s="36" t="s">
        <v>385</v>
      </c>
      <c r="E2788" s="8" t="s">
        <v>12119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7"/>
        <v>2788</v>
      </c>
      <c r="B2789" s="34" t="s">
        <v>8</v>
      </c>
      <c r="C2789" s="8" t="s">
        <v>12130</v>
      </c>
      <c r="D2789" s="34" t="s">
        <v>12135</v>
      </c>
      <c r="E2789" s="8" t="s">
        <v>12120</v>
      </c>
      <c r="F2789" s="8" t="s">
        <v>12121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12131</v>
      </c>
    </row>
    <row r="2790" spans="1:13" hidden="1">
      <c r="A2790" s="40">
        <f t="shared" si="47"/>
        <v>2789</v>
      </c>
      <c r="B2790" s="34" t="s">
        <v>8</v>
      </c>
      <c r="C2790" s="34" t="s">
        <v>12130</v>
      </c>
      <c r="D2790" s="8" t="s">
        <v>12122</v>
      </c>
      <c r="E2790" s="8" t="s">
        <v>12120</v>
      </c>
      <c r="F2790" s="34" t="s">
        <v>12135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12131</v>
      </c>
    </row>
    <row r="2791" spans="1:13" hidden="1">
      <c r="A2791" s="40">
        <f t="shared" si="47"/>
        <v>2790</v>
      </c>
      <c r="B2791" s="34" t="s">
        <v>8</v>
      </c>
      <c r="C2791" s="34" t="s">
        <v>12130</v>
      </c>
      <c r="D2791" s="34" t="s">
        <v>12136</v>
      </c>
      <c r="E2791" s="8" t="s">
        <v>12123</v>
      </c>
      <c r="F2791" s="8" t="s">
        <v>12121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12131</v>
      </c>
    </row>
    <row r="2792" spans="1:13" hidden="1">
      <c r="A2792" s="40">
        <f t="shared" si="47"/>
        <v>2791</v>
      </c>
      <c r="B2792" s="34" t="s">
        <v>8</v>
      </c>
      <c r="C2792" s="34" t="s">
        <v>12130</v>
      </c>
      <c r="D2792" s="8" t="s">
        <v>12124</v>
      </c>
      <c r="E2792" s="8" t="s">
        <v>12123</v>
      </c>
      <c r="F2792" s="34" t="s">
        <v>12136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12131</v>
      </c>
    </row>
    <row r="2793" spans="1:13" hidden="1">
      <c r="A2793" s="40">
        <f t="shared" si="47"/>
        <v>2792</v>
      </c>
      <c r="B2793" s="34" t="s">
        <v>8</v>
      </c>
      <c r="C2793" s="34" t="s">
        <v>12130</v>
      </c>
      <c r="D2793" s="8" t="s">
        <v>12125</v>
      </c>
      <c r="E2793" s="8" t="s">
        <v>12280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12131</v>
      </c>
    </row>
    <row r="2794" spans="1:13" hidden="1">
      <c r="A2794" s="40">
        <f t="shared" si="47"/>
        <v>2793</v>
      </c>
      <c r="B2794" s="34" t="s">
        <v>8</v>
      </c>
      <c r="C2794" s="34" t="s">
        <v>12130</v>
      </c>
      <c r="D2794" s="8" t="s">
        <v>12126</v>
      </c>
      <c r="E2794" s="8" t="s">
        <v>12127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12131</v>
      </c>
    </row>
    <row r="2795" spans="1:13" hidden="1">
      <c r="A2795" s="40">
        <f t="shared" si="47"/>
        <v>2794</v>
      </c>
      <c r="B2795" s="34" t="s">
        <v>8</v>
      </c>
      <c r="C2795" s="34" t="s">
        <v>12130</v>
      </c>
      <c r="D2795" s="8" t="s">
        <v>12128</v>
      </c>
      <c r="E2795" s="8" t="s">
        <v>12129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12131</v>
      </c>
    </row>
    <row r="2796" spans="1:13" hidden="1">
      <c r="A2796" s="40">
        <f t="shared" si="47"/>
        <v>2795</v>
      </c>
      <c r="B2796" s="34" t="s">
        <v>8</v>
      </c>
      <c r="C2796" s="8" t="s">
        <v>12115</v>
      </c>
      <c r="D2796" s="8" t="s">
        <v>12182</v>
      </c>
      <c r="E2796" s="8" t="s">
        <v>11681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7"/>
        <v>2796</v>
      </c>
      <c r="B2797" s="34" t="s">
        <v>8</v>
      </c>
      <c r="C2797" s="34" t="s">
        <v>12115</v>
      </c>
      <c r="D2797" s="8" t="s">
        <v>12183</v>
      </c>
      <c r="E2797" s="8" t="s">
        <v>11682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7"/>
        <v>2797</v>
      </c>
      <c r="B2798" s="34" t="s">
        <v>8</v>
      </c>
      <c r="C2798" s="34" t="s">
        <v>12115</v>
      </c>
      <c r="D2798" s="8" t="s">
        <v>12184</v>
      </c>
      <c r="E2798" s="8" t="s">
        <v>11683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7"/>
        <v>2798</v>
      </c>
      <c r="B2799" s="34" t="s">
        <v>8</v>
      </c>
      <c r="C2799" s="34" t="s">
        <v>12115</v>
      </c>
      <c r="D2799" s="8" t="s">
        <v>12185</v>
      </c>
      <c r="E2799" s="8" t="s">
        <v>11684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7"/>
        <v>2799</v>
      </c>
      <c r="B2800" s="34" t="s">
        <v>8</v>
      </c>
      <c r="C2800" s="34" t="s">
        <v>12115</v>
      </c>
      <c r="D2800" s="8" t="s">
        <v>12186</v>
      </c>
      <c r="E2800" s="8" t="s">
        <v>11685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7"/>
        <v>2800</v>
      </c>
      <c r="B2801" s="34" t="s">
        <v>8</v>
      </c>
      <c r="C2801" s="34" t="s">
        <v>12115</v>
      </c>
      <c r="D2801" s="8" t="s">
        <v>12187</v>
      </c>
      <c r="E2801" s="8" t="s">
        <v>11686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7"/>
        <v>2801</v>
      </c>
      <c r="B2802" s="34" t="s">
        <v>8</v>
      </c>
      <c r="C2802" s="34" t="s">
        <v>12115</v>
      </c>
      <c r="D2802" s="8" t="s">
        <v>12188</v>
      </c>
      <c r="E2802" s="8" t="s">
        <v>11687</v>
      </c>
      <c r="F2802" s="8" t="s">
        <v>11688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7"/>
        <v>2802</v>
      </c>
      <c r="B2803" s="34" t="s">
        <v>8</v>
      </c>
      <c r="C2803" s="34" t="s">
        <v>12115</v>
      </c>
      <c r="D2803" s="8" t="s">
        <v>12189</v>
      </c>
      <c r="E2803" s="8" t="s">
        <v>11689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7"/>
        <v>2803</v>
      </c>
      <c r="B2804" s="34" t="s">
        <v>8</v>
      </c>
      <c r="C2804" s="34" t="s">
        <v>12115</v>
      </c>
      <c r="D2804" s="8" t="s">
        <v>12190</v>
      </c>
      <c r="E2804" s="8" t="s">
        <v>11690</v>
      </c>
      <c r="F2804" s="8" t="s">
        <v>12189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7"/>
        <v>2804</v>
      </c>
      <c r="B2805" s="34" t="s">
        <v>8</v>
      </c>
      <c r="C2805" s="34" t="s">
        <v>12115</v>
      </c>
      <c r="D2805" s="8" t="s">
        <v>12191</v>
      </c>
      <c r="E2805" s="8" t="s">
        <v>11691</v>
      </c>
      <c r="F2805" s="8" t="s">
        <v>12189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7"/>
        <v>2805</v>
      </c>
      <c r="B2806" s="34" t="s">
        <v>8</v>
      </c>
      <c r="C2806" s="34" t="s">
        <v>12115</v>
      </c>
      <c r="D2806" s="8" t="s">
        <v>12192</v>
      </c>
      <c r="E2806" s="8" t="s">
        <v>11692</v>
      </c>
      <c r="F2806" s="34" t="s">
        <v>12189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7"/>
        <v>2806</v>
      </c>
      <c r="B2807" s="34" t="s">
        <v>8</v>
      </c>
      <c r="C2807" s="34" t="s">
        <v>12115</v>
      </c>
      <c r="D2807" s="8" t="s">
        <v>12193</v>
      </c>
      <c r="E2807" s="8" t="s">
        <v>11693</v>
      </c>
      <c r="F2807" s="34" t="s">
        <v>12189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7"/>
        <v>2807</v>
      </c>
      <c r="B2808" s="34" t="s">
        <v>8</v>
      </c>
      <c r="C2808" s="34" t="s">
        <v>12115</v>
      </c>
      <c r="D2808" s="8" t="s">
        <v>12194</v>
      </c>
      <c r="E2808" s="8" t="s">
        <v>11694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7"/>
        <v>2808</v>
      </c>
      <c r="B2809" s="34" t="s">
        <v>8</v>
      </c>
      <c r="C2809" s="34" t="s">
        <v>12115</v>
      </c>
      <c r="D2809" s="8" t="s">
        <v>12195</v>
      </c>
      <c r="E2809" s="8" t="s">
        <v>11695</v>
      </c>
      <c r="F2809" s="34" t="s">
        <v>12194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7"/>
        <v>2809</v>
      </c>
      <c r="B2810" s="34" t="s">
        <v>8</v>
      </c>
      <c r="C2810" s="34" t="s">
        <v>12115</v>
      </c>
      <c r="D2810" s="8" t="s">
        <v>12196</v>
      </c>
      <c r="E2810" s="8" t="s">
        <v>11696</v>
      </c>
      <c r="F2810" s="34" t="s">
        <v>12194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7"/>
        <v>2810</v>
      </c>
      <c r="B2811" s="34" t="s">
        <v>8</v>
      </c>
      <c r="C2811" s="34" t="s">
        <v>12115</v>
      </c>
      <c r="D2811" s="8" t="s">
        <v>12197</v>
      </c>
      <c r="E2811" s="8" t="s">
        <v>11697</v>
      </c>
      <c r="F2811" s="34" t="s">
        <v>12194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7"/>
        <v>2811</v>
      </c>
      <c r="B2812" s="34" t="s">
        <v>8</v>
      </c>
      <c r="C2812" s="34" t="s">
        <v>12115</v>
      </c>
      <c r="D2812" s="8" t="s">
        <v>12198</v>
      </c>
      <c r="E2812" s="8" t="s">
        <v>11698</v>
      </c>
      <c r="F2812" s="34" t="s">
        <v>12194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7"/>
        <v>2812</v>
      </c>
      <c r="B2813" s="34" t="s">
        <v>8</v>
      </c>
      <c r="C2813" s="34" t="s">
        <v>12115</v>
      </c>
      <c r="D2813" s="8" t="s">
        <v>12199</v>
      </c>
      <c r="E2813" s="8" t="s">
        <v>11699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ref="A2814:A2877" si="48">1+A2813</f>
        <v>2813</v>
      </c>
      <c r="B2814" s="34" t="s">
        <v>8</v>
      </c>
      <c r="C2814" s="34" t="s">
        <v>12115</v>
      </c>
      <c r="D2814" s="8" t="s">
        <v>12200</v>
      </c>
      <c r="E2814" s="8" t="s">
        <v>11700</v>
      </c>
      <c r="F2814" s="34" t="s">
        <v>12199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8"/>
        <v>2814</v>
      </c>
      <c r="B2815" s="34" t="s">
        <v>8</v>
      </c>
      <c r="C2815" s="34" t="s">
        <v>12115</v>
      </c>
      <c r="D2815" s="8" t="s">
        <v>12201</v>
      </c>
      <c r="E2815" s="8" t="s">
        <v>11701</v>
      </c>
      <c r="F2815" s="34" t="s">
        <v>12199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8"/>
        <v>2815</v>
      </c>
      <c r="B2816" s="34" t="s">
        <v>8</v>
      </c>
      <c r="C2816" s="34" t="s">
        <v>12115</v>
      </c>
      <c r="D2816" s="8" t="s">
        <v>12202</v>
      </c>
      <c r="E2816" s="8" t="s">
        <v>11702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8"/>
        <v>2816</v>
      </c>
      <c r="B2817" s="34" t="s">
        <v>8</v>
      </c>
      <c r="C2817" s="34" t="s">
        <v>12115</v>
      </c>
      <c r="D2817" s="8" t="s">
        <v>12203</v>
      </c>
      <c r="E2817" s="8" t="s">
        <v>11703</v>
      </c>
      <c r="F2817" s="34" t="s">
        <v>12202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8"/>
        <v>2817</v>
      </c>
      <c r="B2818" s="34" t="s">
        <v>8</v>
      </c>
      <c r="C2818" s="34" t="s">
        <v>12115</v>
      </c>
      <c r="D2818" s="8" t="s">
        <v>12204</v>
      </c>
      <c r="E2818" s="8" t="s">
        <v>11704</v>
      </c>
      <c r="F2818" s="34" t="s">
        <v>12202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si="48"/>
        <v>2818</v>
      </c>
      <c r="B2819" s="34" t="s">
        <v>8</v>
      </c>
      <c r="C2819" s="34" t="s">
        <v>12115</v>
      </c>
      <c r="D2819" s="8" t="s">
        <v>12205</v>
      </c>
      <c r="E2819" s="8" t="s">
        <v>11705</v>
      </c>
      <c r="F2819" s="34" t="s">
        <v>12202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8"/>
        <v>2819</v>
      </c>
      <c r="B2820" s="34" t="s">
        <v>8</v>
      </c>
      <c r="C2820" s="34" t="s">
        <v>12115</v>
      </c>
      <c r="D2820" s="8" t="s">
        <v>12206</v>
      </c>
      <c r="E2820" s="8" t="s">
        <v>11706</v>
      </c>
      <c r="F2820" s="34" t="s">
        <v>12202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8"/>
        <v>2820</v>
      </c>
      <c r="B2821" s="34" t="s">
        <v>8</v>
      </c>
      <c r="C2821" s="34" t="s">
        <v>12115</v>
      </c>
      <c r="D2821" s="8" t="s">
        <v>12207</v>
      </c>
      <c r="E2821" s="8" t="s">
        <v>11707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8"/>
        <v>2821</v>
      </c>
      <c r="B2822" s="34" t="s">
        <v>8</v>
      </c>
      <c r="C2822" s="34" t="s">
        <v>12115</v>
      </c>
      <c r="D2822" s="8" t="s">
        <v>12208</v>
      </c>
      <c r="E2822" s="8" t="s">
        <v>11708</v>
      </c>
      <c r="F2822" s="34" t="s">
        <v>12207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8"/>
        <v>2822</v>
      </c>
      <c r="B2823" s="34" t="s">
        <v>8</v>
      </c>
      <c r="C2823" s="34" t="s">
        <v>12115</v>
      </c>
      <c r="D2823" s="8" t="s">
        <v>12209</v>
      </c>
      <c r="E2823" s="8" t="s">
        <v>11709</v>
      </c>
      <c r="F2823" s="34" t="s">
        <v>12208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8"/>
        <v>2823</v>
      </c>
      <c r="B2824" s="34" t="s">
        <v>8</v>
      </c>
      <c r="C2824" s="34" t="s">
        <v>12115</v>
      </c>
      <c r="D2824" s="8" t="s">
        <v>12210</v>
      </c>
      <c r="E2824" s="8" t="s">
        <v>11710</v>
      </c>
      <c r="F2824" s="34" t="s">
        <v>12209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8"/>
        <v>2824</v>
      </c>
      <c r="B2825" s="34" t="s">
        <v>8</v>
      </c>
      <c r="C2825" s="34" t="s">
        <v>12115</v>
      </c>
      <c r="D2825" s="8" t="s">
        <v>12211</v>
      </c>
      <c r="E2825" s="8" t="s">
        <v>11711</v>
      </c>
      <c r="F2825" s="34" t="s">
        <v>12209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8"/>
        <v>2825</v>
      </c>
      <c r="B2826" s="34" t="s">
        <v>8</v>
      </c>
      <c r="C2826" s="34" t="s">
        <v>12115</v>
      </c>
      <c r="D2826" s="8" t="s">
        <v>12212</v>
      </c>
      <c r="E2826" s="8" t="s">
        <v>11712</v>
      </c>
      <c r="F2826" s="34" t="s">
        <v>12209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8"/>
        <v>2826</v>
      </c>
      <c r="B2827" s="34" t="s">
        <v>8</v>
      </c>
      <c r="C2827" s="34" t="s">
        <v>12115</v>
      </c>
      <c r="D2827" s="8" t="s">
        <v>12213</v>
      </c>
      <c r="E2827" s="8" t="s">
        <v>11713</v>
      </c>
      <c r="F2827" s="34" t="s">
        <v>12209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8"/>
        <v>2827</v>
      </c>
      <c r="B2828" s="34" t="s">
        <v>8</v>
      </c>
      <c r="C2828" s="34" t="s">
        <v>12115</v>
      </c>
      <c r="D2828" s="8" t="s">
        <v>12214</v>
      </c>
      <c r="E2828" s="8" t="s">
        <v>11714</v>
      </c>
      <c r="F2828" s="34" t="s">
        <v>12208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8"/>
        <v>2828</v>
      </c>
      <c r="B2829" s="34" t="s">
        <v>8</v>
      </c>
      <c r="C2829" s="34" t="s">
        <v>12115</v>
      </c>
      <c r="D2829" s="8" t="s">
        <v>12215</v>
      </c>
      <c r="E2829" s="8" t="s">
        <v>11715</v>
      </c>
      <c r="F2829" s="34" t="s">
        <v>12214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8"/>
        <v>2829</v>
      </c>
      <c r="B2830" s="34" t="s">
        <v>8</v>
      </c>
      <c r="C2830" s="34" t="s">
        <v>12115</v>
      </c>
      <c r="D2830" s="8" t="s">
        <v>12216</v>
      </c>
      <c r="E2830" s="8" t="s">
        <v>11716</v>
      </c>
      <c r="F2830" s="34" t="s">
        <v>12214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8"/>
        <v>2830</v>
      </c>
      <c r="B2831" s="34" t="s">
        <v>8</v>
      </c>
      <c r="C2831" s="34" t="s">
        <v>12115</v>
      </c>
      <c r="D2831" s="8" t="s">
        <v>12217</v>
      </c>
      <c r="E2831" s="8" t="s">
        <v>11717</v>
      </c>
      <c r="F2831" s="34" t="s">
        <v>12214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8"/>
        <v>2831</v>
      </c>
      <c r="B2832" s="34" t="s">
        <v>8</v>
      </c>
      <c r="C2832" s="34" t="s">
        <v>12115</v>
      </c>
      <c r="D2832" s="8" t="s">
        <v>12218</v>
      </c>
      <c r="E2832" s="8" t="s">
        <v>11718</v>
      </c>
      <c r="F2832" s="34" t="s">
        <v>12214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8"/>
        <v>2832</v>
      </c>
      <c r="B2833" s="34" t="s">
        <v>8</v>
      </c>
      <c r="C2833" s="34" t="s">
        <v>12115</v>
      </c>
      <c r="D2833" s="8" t="s">
        <v>12219</v>
      </c>
      <c r="E2833" s="8" t="s">
        <v>11719</v>
      </c>
      <c r="F2833" s="34" t="s">
        <v>12208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8"/>
        <v>2833</v>
      </c>
      <c r="B2834" s="34" t="s">
        <v>8</v>
      </c>
      <c r="C2834" s="34" t="s">
        <v>12115</v>
      </c>
      <c r="D2834" s="8" t="s">
        <v>12220</v>
      </c>
      <c r="E2834" s="8" t="s">
        <v>11720</v>
      </c>
      <c r="F2834" s="34" t="s">
        <v>12219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8"/>
        <v>2834</v>
      </c>
      <c r="B2835" s="34" t="s">
        <v>8</v>
      </c>
      <c r="C2835" s="34" t="s">
        <v>12115</v>
      </c>
      <c r="D2835" s="8" t="s">
        <v>12221</v>
      </c>
      <c r="E2835" s="8" t="s">
        <v>11721</v>
      </c>
      <c r="F2835" s="34" t="s">
        <v>12219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8"/>
        <v>2835</v>
      </c>
      <c r="B2836" s="34" t="s">
        <v>8</v>
      </c>
      <c r="C2836" s="34" t="s">
        <v>12115</v>
      </c>
      <c r="D2836" s="8" t="s">
        <v>12222</v>
      </c>
      <c r="E2836" s="8" t="s">
        <v>11722</v>
      </c>
      <c r="F2836" s="34" t="s">
        <v>12208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8"/>
        <v>2836</v>
      </c>
      <c r="B2837" s="34" t="s">
        <v>8</v>
      </c>
      <c r="C2837" s="34" t="s">
        <v>12115</v>
      </c>
      <c r="D2837" s="8" t="s">
        <v>12223</v>
      </c>
      <c r="E2837" s="8" t="s">
        <v>11723</v>
      </c>
      <c r="F2837" s="34" t="s">
        <v>12222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8"/>
        <v>2837</v>
      </c>
      <c r="B2838" s="34" t="s">
        <v>8</v>
      </c>
      <c r="C2838" s="34" t="s">
        <v>12115</v>
      </c>
      <c r="D2838" s="8" t="s">
        <v>12224</v>
      </c>
      <c r="E2838" s="8" t="s">
        <v>11724</v>
      </c>
      <c r="F2838" s="34" t="s">
        <v>12222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8"/>
        <v>2838</v>
      </c>
      <c r="B2839" s="34" t="s">
        <v>8</v>
      </c>
      <c r="C2839" s="34" t="s">
        <v>12115</v>
      </c>
      <c r="D2839" s="8" t="s">
        <v>12225</v>
      </c>
      <c r="E2839" s="8" t="s">
        <v>11725</v>
      </c>
      <c r="F2839" s="34" t="s">
        <v>12222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8"/>
        <v>2839</v>
      </c>
      <c r="B2840" s="34" t="s">
        <v>8</v>
      </c>
      <c r="C2840" s="34" t="s">
        <v>12115</v>
      </c>
      <c r="D2840" s="8" t="s">
        <v>12226</v>
      </c>
      <c r="E2840" s="8" t="s">
        <v>11726</v>
      </c>
      <c r="F2840" s="34" t="s">
        <v>12222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8"/>
        <v>2840</v>
      </c>
      <c r="B2841" s="34" t="s">
        <v>8</v>
      </c>
      <c r="C2841" s="34" t="s">
        <v>12115</v>
      </c>
      <c r="D2841" s="8" t="s">
        <v>12227</v>
      </c>
      <c r="E2841" s="8" t="s">
        <v>11727</v>
      </c>
      <c r="F2841" s="34" t="s">
        <v>12222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8"/>
        <v>2841</v>
      </c>
      <c r="B2842" s="34" t="s">
        <v>8</v>
      </c>
      <c r="C2842" s="34" t="s">
        <v>12115</v>
      </c>
      <c r="D2842" s="8" t="s">
        <v>12228</v>
      </c>
      <c r="E2842" s="8" t="s">
        <v>11728</v>
      </c>
      <c r="F2842" s="34" t="s">
        <v>12207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8"/>
        <v>2842</v>
      </c>
      <c r="B2843" s="34" t="s">
        <v>8</v>
      </c>
      <c r="C2843" s="34" t="s">
        <v>12115</v>
      </c>
      <c r="D2843" s="8" t="s">
        <v>12229</v>
      </c>
      <c r="E2843" s="8" t="s">
        <v>11729</v>
      </c>
      <c r="F2843" s="34" t="s">
        <v>12207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8"/>
        <v>2843</v>
      </c>
      <c r="B2844" s="34" t="s">
        <v>8</v>
      </c>
      <c r="C2844" s="34" t="s">
        <v>12115</v>
      </c>
      <c r="D2844" s="8" t="s">
        <v>12230</v>
      </c>
      <c r="E2844" s="8" t="s">
        <v>11730</v>
      </c>
      <c r="F2844" s="34" t="s">
        <v>12207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8"/>
        <v>2844</v>
      </c>
      <c r="B2845" s="34" t="s">
        <v>8</v>
      </c>
      <c r="C2845" s="34" t="s">
        <v>12115</v>
      </c>
      <c r="D2845" s="8" t="s">
        <v>12231</v>
      </c>
      <c r="E2845" s="8" t="s">
        <v>11731</v>
      </c>
      <c r="F2845" s="34" t="s">
        <v>12207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8"/>
        <v>2845</v>
      </c>
      <c r="B2846" s="34" t="s">
        <v>8</v>
      </c>
      <c r="C2846" s="34" t="s">
        <v>12115</v>
      </c>
      <c r="D2846" s="8" t="s">
        <v>12232</v>
      </c>
      <c r="E2846" s="8" t="s">
        <v>11732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8"/>
        <v>2846</v>
      </c>
      <c r="B2847" s="34" t="s">
        <v>8</v>
      </c>
      <c r="C2847" s="34" t="s">
        <v>12115</v>
      </c>
      <c r="D2847" s="8" t="s">
        <v>12233</v>
      </c>
      <c r="E2847" s="8" t="s">
        <v>11733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8"/>
        <v>2847</v>
      </c>
      <c r="B2848" s="34" t="s">
        <v>8</v>
      </c>
      <c r="C2848" s="34" t="s">
        <v>12115</v>
      </c>
      <c r="D2848" s="8" t="s">
        <v>12234</v>
      </c>
      <c r="E2848" s="8" t="s">
        <v>11734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8"/>
        <v>2848</v>
      </c>
      <c r="B2849" s="34" t="s">
        <v>8</v>
      </c>
      <c r="C2849" s="34" t="s">
        <v>12115</v>
      </c>
      <c r="D2849" s="8" t="s">
        <v>12235</v>
      </c>
      <c r="E2849" s="8" t="s">
        <v>11735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8"/>
        <v>2849</v>
      </c>
      <c r="B2850" s="34" t="s">
        <v>8</v>
      </c>
      <c r="C2850" s="34" t="s">
        <v>12115</v>
      </c>
      <c r="D2850" s="8" t="s">
        <v>12236</v>
      </c>
      <c r="E2850" s="8" t="s">
        <v>11736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8"/>
        <v>2850</v>
      </c>
      <c r="B2851" s="34" t="s">
        <v>8</v>
      </c>
      <c r="C2851" s="34" t="s">
        <v>12115</v>
      </c>
      <c r="D2851" s="8" t="s">
        <v>12237</v>
      </c>
      <c r="E2851" s="8" t="s">
        <v>11737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8"/>
        <v>2851</v>
      </c>
      <c r="B2852" s="34" t="s">
        <v>8</v>
      </c>
      <c r="C2852" s="34" t="s">
        <v>12115</v>
      </c>
      <c r="D2852" s="8" t="s">
        <v>12238</v>
      </c>
      <c r="E2852" s="8" t="s">
        <v>11738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8"/>
        <v>2852</v>
      </c>
      <c r="B2853" s="34" t="s">
        <v>8</v>
      </c>
      <c r="C2853" s="34" t="s">
        <v>12115</v>
      </c>
      <c r="D2853" s="8" t="s">
        <v>12239</v>
      </c>
      <c r="E2853" s="8" t="s">
        <v>11739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8"/>
        <v>2853</v>
      </c>
      <c r="B2854" s="34" t="s">
        <v>8</v>
      </c>
      <c r="C2854" s="34" t="s">
        <v>12115</v>
      </c>
      <c r="D2854" s="8" t="s">
        <v>12240</v>
      </c>
      <c r="E2854" s="8" t="s">
        <v>11740</v>
      </c>
      <c r="F2854" s="8" t="s">
        <v>11741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8"/>
        <v>2854</v>
      </c>
      <c r="B2855" s="34" t="s">
        <v>8</v>
      </c>
      <c r="C2855" s="34" t="s">
        <v>12115</v>
      </c>
      <c r="D2855" s="8" t="s">
        <v>12241</v>
      </c>
      <c r="E2855" s="8" t="s">
        <v>11742</v>
      </c>
      <c r="F2855" s="8" t="s">
        <v>11743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8"/>
        <v>2855</v>
      </c>
      <c r="B2856" s="34" t="s">
        <v>8</v>
      </c>
      <c r="C2856" s="34" t="s">
        <v>12115</v>
      </c>
      <c r="D2856" s="8" t="s">
        <v>12242</v>
      </c>
      <c r="E2856" s="8" t="s">
        <v>11744</v>
      </c>
      <c r="F2856" s="8" t="s">
        <v>11743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8"/>
        <v>2856</v>
      </c>
      <c r="B2857" s="34" t="s">
        <v>8</v>
      </c>
      <c r="C2857" s="34" t="s">
        <v>12115</v>
      </c>
      <c r="D2857" s="8" t="s">
        <v>12243</v>
      </c>
      <c r="E2857" s="8" t="s">
        <v>11745</v>
      </c>
      <c r="F2857" s="8" t="s">
        <v>11743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8"/>
        <v>2857</v>
      </c>
      <c r="B2858" s="34" t="s">
        <v>8</v>
      </c>
      <c r="C2858" s="34" t="s">
        <v>12115</v>
      </c>
      <c r="D2858" s="8" t="s">
        <v>12244</v>
      </c>
      <c r="E2858" s="8" t="s">
        <v>11746</v>
      </c>
      <c r="F2858" s="8" t="s">
        <v>11743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8"/>
        <v>2858</v>
      </c>
      <c r="B2859" s="34" t="s">
        <v>8</v>
      </c>
      <c r="C2859" s="34" t="s">
        <v>12115</v>
      </c>
      <c r="D2859" s="8" t="s">
        <v>12245</v>
      </c>
      <c r="E2859" s="8" t="s">
        <v>11747</v>
      </c>
      <c r="F2859" s="8" t="s">
        <v>11743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8"/>
        <v>2859</v>
      </c>
      <c r="B2860" s="34" t="s">
        <v>8</v>
      </c>
      <c r="C2860" s="34" t="s">
        <v>12115</v>
      </c>
      <c r="D2860" s="8" t="s">
        <v>12246</v>
      </c>
      <c r="E2860" s="8" t="s">
        <v>11748</v>
      </c>
      <c r="F2860" s="8" t="s">
        <v>11743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8"/>
        <v>2860</v>
      </c>
      <c r="B2861" s="34" t="s">
        <v>8</v>
      </c>
      <c r="C2861" s="34" t="s">
        <v>12115</v>
      </c>
      <c r="D2861" s="8" t="s">
        <v>12247</v>
      </c>
      <c r="E2861" s="8" t="s">
        <v>11749</v>
      </c>
      <c r="F2861" s="8" t="s">
        <v>11743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8"/>
        <v>2861</v>
      </c>
      <c r="B2862" s="34" t="s">
        <v>8</v>
      </c>
      <c r="C2862" s="34" t="s">
        <v>12115</v>
      </c>
      <c r="D2862" s="8" t="s">
        <v>12248</v>
      </c>
      <c r="E2862" s="8" t="s">
        <v>11750</v>
      </c>
      <c r="F2862" s="8" t="s">
        <v>11743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8"/>
        <v>2862</v>
      </c>
      <c r="B2863" s="34" t="s">
        <v>8</v>
      </c>
      <c r="C2863" s="34" t="s">
        <v>12115</v>
      </c>
      <c r="D2863" s="8" t="s">
        <v>12249</v>
      </c>
      <c r="E2863" s="8" t="s">
        <v>11751</v>
      </c>
      <c r="F2863" s="8" t="s">
        <v>11752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8"/>
        <v>2863</v>
      </c>
      <c r="B2864" s="34" t="s">
        <v>8</v>
      </c>
      <c r="C2864" s="34" t="s">
        <v>12115</v>
      </c>
      <c r="D2864" s="8" t="s">
        <v>12250</v>
      </c>
      <c r="E2864" s="8" t="s">
        <v>11753</v>
      </c>
      <c r="F2864" s="8" t="s">
        <v>11752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8"/>
        <v>2864</v>
      </c>
      <c r="B2865" s="34" t="s">
        <v>8</v>
      </c>
      <c r="C2865" s="34" t="s">
        <v>12115</v>
      </c>
      <c r="D2865" s="8" t="s">
        <v>12251</v>
      </c>
      <c r="E2865" s="8" t="s">
        <v>11754</v>
      </c>
      <c r="F2865" s="8" t="s">
        <v>11752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8"/>
        <v>2865</v>
      </c>
      <c r="B2866" s="34" t="s">
        <v>8</v>
      </c>
      <c r="C2866" s="34" t="s">
        <v>12115</v>
      </c>
      <c r="D2866" s="8" t="s">
        <v>12252</v>
      </c>
      <c r="E2866" s="8" t="s">
        <v>11755</v>
      </c>
      <c r="F2866" s="8" t="s">
        <v>11752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8"/>
        <v>2866</v>
      </c>
      <c r="B2867" s="34" t="s">
        <v>8</v>
      </c>
      <c r="C2867" s="34" t="s">
        <v>12115</v>
      </c>
      <c r="D2867" s="8" t="s">
        <v>12253</v>
      </c>
      <c r="E2867" s="8" t="s">
        <v>11756</v>
      </c>
      <c r="F2867" s="34" t="s">
        <v>12252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8"/>
        <v>2867</v>
      </c>
      <c r="B2868" s="34" t="s">
        <v>8</v>
      </c>
      <c r="C2868" s="34" t="s">
        <v>12115</v>
      </c>
      <c r="D2868" s="8" t="s">
        <v>12254</v>
      </c>
      <c r="E2868" s="8" t="s">
        <v>11757</v>
      </c>
      <c r="F2868" s="34" t="s">
        <v>12252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8"/>
        <v>2868</v>
      </c>
      <c r="B2869" s="34" t="s">
        <v>8</v>
      </c>
      <c r="C2869" s="34" t="s">
        <v>12115</v>
      </c>
      <c r="D2869" s="8" t="s">
        <v>12255</v>
      </c>
      <c r="E2869" s="8" t="s">
        <v>11758</v>
      </c>
      <c r="F2869" s="34" t="s">
        <v>12252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8"/>
        <v>2869</v>
      </c>
      <c r="B2870" s="34" t="s">
        <v>8</v>
      </c>
      <c r="C2870" s="34" t="s">
        <v>12115</v>
      </c>
      <c r="D2870" s="8" t="s">
        <v>12256</v>
      </c>
      <c r="E2870" s="8" t="s">
        <v>11759</v>
      </c>
      <c r="F2870" s="34" t="s">
        <v>12252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8"/>
        <v>2870</v>
      </c>
      <c r="B2871" s="34" t="s">
        <v>8</v>
      </c>
      <c r="C2871" s="34" t="s">
        <v>12115</v>
      </c>
      <c r="D2871" s="8" t="s">
        <v>12257</v>
      </c>
      <c r="E2871" s="8" t="s">
        <v>11760</v>
      </c>
      <c r="F2871" s="34" t="s">
        <v>12252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8"/>
        <v>2871</v>
      </c>
      <c r="B2872" s="34" t="s">
        <v>8</v>
      </c>
      <c r="C2872" s="34" t="s">
        <v>12115</v>
      </c>
      <c r="D2872" s="8" t="s">
        <v>12258</v>
      </c>
      <c r="E2872" s="8" t="s">
        <v>11761</v>
      </c>
      <c r="F2872" s="34" t="s">
        <v>12252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8"/>
        <v>2872</v>
      </c>
      <c r="B2873" s="34" t="s">
        <v>8</v>
      </c>
      <c r="C2873" s="34" t="s">
        <v>12115</v>
      </c>
      <c r="D2873" s="8" t="s">
        <v>12259</v>
      </c>
      <c r="E2873" s="8" t="s">
        <v>11762</v>
      </c>
      <c r="F2873" s="34" t="s">
        <v>12252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8"/>
        <v>2873</v>
      </c>
      <c r="B2874" s="34" t="s">
        <v>8</v>
      </c>
      <c r="C2874" s="34" t="s">
        <v>12115</v>
      </c>
      <c r="D2874" s="8" t="s">
        <v>12260</v>
      </c>
      <c r="E2874" s="8" t="s">
        <v>11763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8"/>
        <v>2874</v>
      </c>
      <c r="B2875" s="34" t="s">
        <v>8</v>
      </c>
      <c r="C2875" s="34" t="s">
        <v>12115</v>
      </c>
      <c r="D2875" s="8" t="s">
        <v>5786</v>
      </c>
      <c r="E2875" s="8" t="s">
        <v>11764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8"/>
        <v>2875</v>
      </c>
      <c r="B2876" s="34" t="s">
        <v>8</v>
      </c>
      <c r="C2876" s="34" t="s">
        <v>12115</v>
      </c>
      <c r="D2876" s="8" t="s">
        <v>3639</v>
      </c>
      <c r="E2876" s="8" t="s">
        <v>11765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8"/>
        <v>2876</v>
      </c>
      <c r="B2877" s="34" t="s">
        <v>8</v>
      </c>
      <c r="C2877" s="34" t="s">
        <v>12115</v>
      </c>
      <c r="D2877" s="8" t="s">
        <v>8969</v>
      </c>
      <c r="E2877" s="8" t="s">
        <v>11766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ref="A2878:A2941" si="49">1+A2877</f>
        <v>2877</v>
      </c>
      <c r="B2878" s="34" t="s">
        <v>8</v>
      </c>
      <c r="C2878" s="34" t="s">
        <v>12115</v>
      </c>
      <c r="D2878" s="8" t="s">
        <v>2004</v>
      </c>
      <c r="E2878" s="8" t="s">
        <v>11767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9"/>
        <v>2878</v>
      </c>
      <c r="B2879" s="34" t="s">
        <v>8</v>
      </c>
      <c r="C2879" s="34" t="s">
        <v>12115</v>
      </c>
      <c r="D2879" s="8" t="s">
        <v>11768</v>
      </c>
      <c r="E2879" s="8" t="s">
        <v>11769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9"/>
        <v>2879</v>
      </c>
      <c r="B2880" s="34" t="s">
        <v>8</v>
      </c>
      <c r="C2880" s="34" t="s">
        <v>12115</v>
      </c>
      <c r="D2880" s="8" t="s">
        <v>3497</v>
      </c>
      <c r="E2880" s="8" t="s">
        <v>11770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9"/>
        <v>2880</v>
      </c>
      <c r="B2881" s="34" t="s">
        <v>8</v>
      </c>
      <c r="C2881" s="34" t="s">
        <v>12115</v>
      </c>
      <c r="D2881" s="8" t="s">
        <v>3612</v>
      </c>
      <c r="E2881" s="8" t="s">
        <v>12281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9"/>
        <v>2881</v>
      </c>
      <c r="B2882" s="34" t="s">
        <v>8</v>
      </c>
      <c r="C2882" s="34" t="s">
        <v>12115</v>
      </c>
      <c r="D2882" s="8" t="s">
        <v>4833</v>
      </c>
      <c r="E2882" s="8" t="s">
        <v>11771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si="49"/>
        <v>2882</v>
      </c>
      <c r="B2883" s="34" t="s">
        <v>8</v>
      </c>
      <c r="C2883" s="34" t="s">
        <v>12115</v>
      </c>
      <c r="D2883" s="8" t="s">
        <v>4841</v>
      </c>
      <c r="E2883" s="8" t="s">
        <v>12282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9"/>
        <v>2883</v>
      </c>
      <c r="B2884" s="34" t="s">
        <v>8</v>
      </c>
      <c r="C2884" s="34" t="s">
        <v>12115</v>
      </c>
      <c r="D2884" s="8" t="s">
        <v>4848</v>
      </c>
      <c r="E2884" s="8" t="s">
        <v>11772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9"/>
        <v>2884</v>
      </c>
      <c r="B2885" s="34" t="s">
        <v>8</v>
      </c>
      <c r="C2885" s="34" t="s">
        <v>12115</v>
      </c>
      <c r="D2885" s="8" t="s">
        <v>3491</v>
      </c>
      <c r="E2885" s="8" t="s">
        <v>11773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9"/>
        <v>2885</v>
      </c>
      <c r="B2886" s="34" t="s">
        <v>8</v>
      </c>
      <c r="C2886" s="34" t="s">
        <v>12115</v>
      </c>
      <c r="D2886" s="8" t="s">
        <v>3611</v>
      </c>
      <c r="E2886" s="8" t="s">
        <v>11774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9"/>
        <v>2886</v>
      </c>
      <c r="B2887" s="34" t="s">
        <v>8</v>
      </c>
      <c r="C2887" s="34" t="s">
        <v>12115</v>
      </c>
      <c r="D2887" s="8" t="s">
        <v>4873</v>
      </c>
      <c r="E2887" s="8" t="s">
        <v>11775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9"/>
        <v>2887</v>
      </c>
      <c r="B2888" s="34" t="s">
        <v>8</v>
      </c>
      <c r="C2888" s="34" t="s">
        <v>12115</v>
      </c>
      <c r="D2888" s="8" t="s">
        <v>4877</v>
      </c>
      <c r="E2888" s="8" t="s">
        <v>11776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9"/>
        <v>2888</v>
      </c>
      <c r="B2889" s="34" t="s">
        <v>8</v>
      </c>
      <c r="C2889" s="34" t="s">
        <v>12115</v>
      </c>
      <c r="D2889" s="8" t="s">
        <v>7742</v>
      </c>
      <c r="E2889" s="8" t="s">
        <v>11777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9"/>
        <v>2889</v>
      </c>
      <c r="B2890" s="34" t="s">
        <v>8</v>
      </c>
      <c r="C2890" s="34" t="s">
        <v>12115</v>
      </c>
      <c r="D2890" s="8" t="s">
        <v>11778</v>
      </c>
      <c r="E2890" s="8" t="s">
        <v>11779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9"/>
        <v>2890</v>
      </c>
      <c r="B2891" s="34" t="s">
        <v>8</v>
      </c>
      <c r="C2891" s="34" t="s">
        <v>12115</v>
      </c>
      <c r="D2891" s="8" t="s">
        <v>11780</v>
      </c>
      <c r="E2891" s="8" t="s">
        <v>12283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9"/>
        <v>2891</v>
      </c>
      <c r="B2892" s="34" t="s">
        <v>8</v>
      </c>
      <c r="C2892" s="34" t="s">
        <v>12115</v>
      </c>
      <c r="D2892" s="8" t="s">
        <v>11781</v>
      </c>
      <c r="E2892" s="8" t="s">
        <v>11782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9"/>
        <v>2892</v>
      </c>
      <c r="B2893" s="34" t="s">
        <v>8</v>
      </c>
      <c r="C2893" s="34" t="s">
        <v>12115</v>
      </c>
      <c r="D2893" s="8" t="s">
        <v>11783</v>
      </c>
      <c r="E2893" s="8" t="s">
        <v>11784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9"/>
        <v>2893</v>
      </c>
      <c r="B2894" s="34" t="s">
        <v>8</v>
      </c>
      <c r="C2894" s="34" t="s">
        <v>12115</v>
      </c>
      <c r="D2894" s="8" t="s">
        <v>11785</v>
      </c>
      <c r="E2894" s="8" t="s">
        <v>11786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9"/>
        <v>2894</v>
      </c>
      <c r="B2895" s="34" t="s">
        <v>8</v>
      </c>
      <c r="C2895" s="34" t="s">
        <v>12115</v>
      </c>
      <c r="D2895" s="8" t="s">
        <v>11787</v>
      </c>
      <c r="E2895" s="8" t="s">
        <v>11788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9"/>
        <v>2895</v>
      </c>
      <c r="B2896" s="34" t="s">
        <v>8</v>
      </c>
      <c r="C2896" s="34" t="s">
        <v>12115</v>
      </c>
      <c r="D2896" s="8" t="s">
        <v>11789</v>
      </c>
      <c r="E2896" s="8" t="s">
        <v>11790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9"/>
        <v>2896</v>
      </c>
      <c r="B2897" s="34" t="s">
        <v>8</v>
      </c>
      <c r="C2897" s="34" t="s">
        <v>12115</v>
      </c>
      <c r="D2897" s="8" t="s">
        <v>11791</v>
      </c>
      <c r="E2897" s="8" t="s">
        <v>11792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9"/>
        <v>2897</v>
      </c>
      <c r="B2898" s="34" t="s">
        <v>8</v>
      </c>
      <c r="C2898" s="34" t="s">
        <v>12115</v>
      </c>
      <c r="D2898" s="8" t="s">
        <v>11793</v>
      </c>
      <c r="E2898" s="8" t="s">
        <v>11794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9"/>
        <v>2898</v>
      </c>
      <c r="B2899" s="34" t="s">
        <v>8</v>
      </c>
      <c r="C2899" s="34" t="s">
        <v>12115</v>
      </c>
      <c r="D2899" s="8" t="s">
        <v>11795</v>
      </c>
      <c r="E2899" s="8" t="s">
        <v>11796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9"/>
        <v>2899</v>
      </c>
      <c r="B2900" s="34" t="s">
        <v>8</v>
      </c>
      <c r="C2900" s="34" t="s">
        <v>12115</v>
      </c>
      <c r="D2900" s="8" t="s">
        <v>11797</v>
      </c>
      <c r="E2900" s="8" t="s">
        <v>11798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9"/>
        <v>2900</v>
      </c>
      <c r="B2901" s="34" t="s">
        <v>8</v>
      </c>
      <c r="C2901" s="34" t="s">
        <v>12115</v>
      </c>
      <c r="D2901" s="8" t="s">
        <v>11799</v>
      </c>
      <c r="E2901" s="8" t="s">
        <v>11800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9"/>
        <v>2901</v>
      </c>
      <c r="B2902" s="34" t="s">
        <v>8</v>
      </c>
      <c r="C2902" s="34" t="s">
        <v>12115</v>
      </c>
      <c r="D2902" s="8" t="s">
        <v>3446</v>
      </c>
      <c r="E2902" s="8" t="s">
        <v>11801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9"/>
        <v>2902</v>
      </c>
      <c r="B2903" s="34" t="s">
        <v>8</v>
      </c>
      <c r="C2903" s="34" t="s">
        <v>12115</v>
      </c>
      <c r="D2903" s="8" t="s">
        <v>3453</v>
      </c>
      <c r="E2903" s="8" t="s">
        <v>11802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9"/>
        <v>2903</v>
      </c>
      <c r="B2904" s="34" t="s">
        <v>8</v>
      </c>
      <c r="C2904" s="34" t="s">
        <v>12115</v>
      </c>
      <c r="D2904" s="8" t="s">
        <v>3454</v>
      </c>
      <c r="E2904" s="8" t="s">
        <v>11803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9"/>
        <v>2904</v>
      </c>
      <c r="B2905" s="34" t="s">
        <v>8</v>
      </c>
      <c r="C2905" s="34" t="s">
        <v>12115</v>
      </c>
      <c r="D2905" s="8" t="s">
        <v>11804</v>
      </c>
      <c r="E2905" s="8" t="s">
        <v>11805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9"/>
        <v>2905</v>
      </c>
      <c r="B2906" s="34" t="s">
        <v>8</v>
      </c>
      <c r="C2906" s="34" t="s">
        <v>12115</v>
      </c>
      <c r="D2906" s="8" t="s">
        <v>3372</v>
      </c>
      <c r="E2906" s="8" t="s">
        <v>11806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9"/>
        <v>2906</v>
      </c>
      <c r="B2907" s="34" t="s">
        <v>8</v>
      </c>
      <c r="C2907" s="34" t="s">
        <v>12115</v>
      </c>
      <c r="D2907" s="8" t="s">
        <v>3381</v>
      </c>
      <c r="E2907" s="8" t="s">
        <v>11807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9"/>
        <v>2907</v>
      </c>
      <c r="B2908" s="34" t="s">
        <v>8</v>
      </c>
      <c r="C2908" s="34" t="s">
        <v>12115</v>
      </c>
      <c r="D2908" s="8" t="s">
        <v>3387</v>
      </c>
      <c r="E2908" s="8" t="s">
        <v>11808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9"/>
        <v>2908</v>
      </c>
      <c r="B2909" s="34" t="s">
        <v>8</v>
      </c>
      <c r="C2909" s="34" t="s">
        <v>12115</v>
      </c>
      <c r="D2909" s="8" t="s">
        <v>3389</v>
      </c>
      <c r="E2909" s="8" t="s">
        <v>11809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9"/>
        <v>2909</v>
      </c>
      <c r="B2910" s="34" t="s">
        <v>8</v>
      </c>
      <c r="C2910" s="34" t="s">
        <v>12115</v>
      </c>
      <c r="D2910" s="8" t="s">
        <v>3402</v>
      </c>
      <c r="E2910" s="8" t="s">
        <v>11810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9"/>
        <v>2910</v>
      </c>
      <c r="B2911" s="34" t="s">
        <v>8</v>
      </c>
      <c r="C2911" s="34" t="s">
        <v>12115</v>
      </c>
      <c r="D2911" s="8" t="s">
        <v>3407</v>
      </c>
      <c r="E2911" s="8" t="s">
        <v>11810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9"/>
        <v>2911</v>
      </c>
      <c r="B2912" s="34" t="s">
        <v>8</v>
      </c>
      <c r="C2912" s="34" t="s">
        <v>12115</v>
      </c>
      <c r="D2912" s="8" t="s">
        <v>11811</v>
      </c>
      <c r="E2912" s="8" t="s">
        <v>11812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9"/>
        <v>2912</v>
      </c>
      <c r="B2913" s="34" t="s">
        <v>8</v>
      </c>
      <c r="C2913" s="34" t="s">
        <v>12115</v>
      </c>
      <c r="D2913" s="8" t="s">
        <v>11813</v>
      </c>
      <c r="E2913" s="8" t="s">
        <v>11814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9"/>
        <v>2913</v>
      </c>
      <c r="B2914" s="34" t="s">
        <v>8</v>
      </c>
      <c r="C2914" s="34" t="s">
        <v>12115</v>
      </c>
      <c r="D2914" s="8" t="s">
        <v>8656</v>
      </c>
      <c r="E2914" s="8" t="s">
        <v>11815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9"/>
        <v>2914</v>
      </c>
      <c r="B2915" s="34" t="s">
        <v>8</v>
      </c>
      <c r="C2915" s="34" t="s">
        <v>12115</v>
      </c>
      <c r="D2915" s="8" t="s">
        <v>8663</v>
      </c>
      <c r="E2915" s="8" t="s">
        <v>11816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9"/>
        <v>2915</v>
      </c>
      <c r="B2916" s="34" t="s">
        <v>8</v>
      </c>
      <c r="C2916" s="34" t="s">
        <v>12115</v>
      </c>
      <c r="D2916" s="8" t="s">
        <v>8664</v>
      </c>
      <c r="E2916" s="8" t="s">
        <v>11817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9"/>
        <v>2916</v>
      </c>
      <c r="B2917" s="34" t="s">
        <v>8</v>
      </c>
      <c r="C2917" s="34" t="s">
        <v>12115</v>
      </c>
      <c r="D2917" s="8" t="s">
        <v>8668</v>
      </c>
      <c r="E2917" s="8" t="s">
        <v>11818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9"/>
        <v>2917</v>
      </c>
      <c r="B2918" s="34" t="s">
        <v>8</v>
      </c>
      <c r="C2918" s="34" t="s">
        <v>12115</v>
      </c>
      <c r="D2918" s="8" t="s">
        <v>8669</v>
      </c>
      <c r="E2918" s="8" t="s">
        <v>11819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9"/>
        <v>2918</v>
      </c>
      <c r="B2919" s="34" t="s">
        <v>8</v>
      </c>
      <c r="C2919" s="34" t="s">
        <v>12115</v>
      </c>
      <c r="D2919" s="8" t="s">
        <v>8670</v>
      </c>
      <c r="E2919" s="8" t="s">
        <v>11820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9"/>
        <v>2919</v>
      </c>
      <c r="B2920" s="34" t="s">
        <v>8</v>
      </c>
      <c r="C2920" s="34" t="s">
        <v>12115</v>
      </c>
      <c r="D2920" s="8" t="s">
        <v>8671</v>
      </c>
      <c r="E2920" s="8" t="s">
        <v>11821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9"/>
        <v>2920</v>
      </c>
      <c r="B2921" s="34" t="s">
        <v>8</v>
      </c>
      <c r="C2921" s="34" t="s">
        <v>12115</v>
      </c>
      <c r="D2921" s="8" t="s">
        <v>5591</v>
      </c>
      <c r="E2921" s="8" t="s">
        <v>11822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9"/>
        <v>2921</v>
      </c>
      <c r="B2922" s="34" t="s">
        <v>8</v>
      </c>
      <c r="C2922" s="34" t="s">
        <v>12115</v>
      </c>
      <c r="D2922" s="8" t="s">
        <v>5585</v>
      </c>
      <c r="E2922" s="8" t="s">
        <v>11823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9"/>
        <v>2922</v>
      </c>
      <c r="B2923" s="34" t="s">
        <v>8</v>
      </c>
      <c r="C2923" s="34" t="s">
        <v>12115</v>
      </c>
      <c r="D2923" s="8" t="s">
        <v>11824</v>
      </c>
      <c r="E2923" s="8" t="s">
        <v>11825</v>
      </c>
      <c r="F2923" s="34" t="s">
        <v>12249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9"/>
        <v>2923</v>
      </c>
      <c r="B2924" s="34" t="s">
        <v>8</v>
      </c>
      <c r="C2924" s="34" t="s">
        <v>12115</v>
      </c>
      <c r="D2924" s="8" t="s">
        <v>11826</v>
      </c>
      <c r="E2924" s="8" t="s">
        <v>11827</v>
      </c>
      <c r="F2924" s="8" t="s">
        <v>11838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9"/>
        <v>2924</v>
      </c>
      <c r="B2925" s="34" t="s">
        <v>8</v>
      </c>
      <c r="C2925" s="34" t="s">
        <v>12115</v>
      </c>
      <c r="D2925" s="8" t="s">
        <v>9739</v>
      </c>
      <c r="E2925" s="8" t="s">
        <v>11828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9"/>
        <v>2925</v>
      </c>
      <c r="B2926" s="34" t="s">
        <v>8</v>
      </c>
      <c r="C2926" s="34" t="s">
        <v>12115</v>
      </c>
      <c r="D2926" s="8" t="s">
        <v>2005</v>
      </c>
      <c r="E2926" s="8" t="s">
        <v>11829</v>
      </c>
      <c r="F2926" s="34" t="s">
        <v>12202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9"/>
        <v>2926</v>
      </c>
      <c r="B2927" s="34" t="s">
        <v>8</v>
      </c>
      <c r="C2927" s="34" t="s">
        <v>12115</v>
      </c>
      <c r="D2927" s="8" t="s">
        <v>11830</v>
      </c>
      <c r="E2927" s="8" t="s">
        <v>11831</v>
      </c>
      <c r="F2927" s="8" t="s">
        <v>11839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9"/>
        <v>2927</v>
      </c>
      <c r="B2928" s="34" t="s">
        <v>8</v>
      </c>
      <c r="C2928" s="34" t="s">
        <v>12115</v>
      </c>
      <c r="D2928" s="8" t="s">
        <v>11832</v>
      </c>
      <c r="E2928" s="8" t="s">
        <v>11833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9"/>
        <v>2928</v>
      </c>
      <c r="B2929" s="34" t="s">
        <v>8</v>
      </c>
      <c r="C2929" s="34" t="s">
        <v>12115</v>
      </c>
      <c r="D2929" s="8" t="s">
        <v>11834</v>
      </c>
      <c r="E2929" s="8" t="s">
        <v>11835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9"/>
        <v>2929</v>
      </c>
      <c r="B2930" s="34" t="s">
        <v>8</v>
      </c>
      <c r="C2930" s="34" t="s">
        <v>12115</v>
      </c>
      <c r="D2930" s="8" t="s">
        <v>11836</v>
      </c>
      <c r="E2930" s="8" t="s">
        <v>11837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9"/>
        <v>2930</v>
      </c>
      <c r="B2931" s="34" t="s">
        <v>8</v>
      </c>
      <c r="C2931" s="34" t="s">
        <v>12115</v>
      </c>
      <c r="D2931" s="8" t="s">
        <v>8419</v>
      </c>
      <c r="F2931" s="34" t="s">
        <v>12186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9"/>
        <v>2931</v>
      </c>
      <c r="B2932" s="34" t="s">
        <v>8</v>
      </c>
      <c r="C2932" s="34" t="s">
        <v>12115</v>
      </c>
      <c r="D2932" s="8" t="s">
        <v>8420</v>
      </c>
      <c r="F2932" s="34" t="s">
        <v>12186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9"/>
        <v>2932</v>
      </c>
      <c r="B2933" s="34" t="s">
        <v>8</v>
      </c>
      <c r="C2933" s="34" t="s">
        <v>12115</v>
      </c>
      <c r="D2933" s="8" t="s">
        <v>8388</v>
      </c>
      <c r="F2933" s="34" t="s">
        <v>12186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9"/>
        <v>2933</v>
      </c>
      <c r="B2934" s="34" t="s">
        <v>8</v>
      </c>
      <c r="C2934" s="34" t="s">
        <v>12115</v>
      </c>
      <c r="D2934" s="8" t="s">
        <v>8576</v>
      </c>
      <c r="F2934" s="34" t="s">
        <v>12186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9"/>
        <v>2934</v>
      </c>
      <c r="B2935" s="34" t="s">
        <v>8</v>
      </c>
      <c r="C2935" s="34" t="s">
        <v>12115</v>
      </c>
      <c r="D2935" s="8" t="s">
        <v>8577</v>
      </c>
      <c r="F2935" s="34" t="s">
        <v>12186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9"/>
        <v>2935</v>
      </c>
      <c r="B2936" s="34" t="s">
        <v>8</v>
      </c>
      <c r="C2936" s="34" t="s">
        <v>12115</v>
      </c>
      <c r="D2936" s="8" t="s">
        <v>8578</v>
      </c>
      <c r="F2936" s="34" t="s">
        <v>12186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9"/>
        <v>2936</v>
      </c>
      <c r="B2937" s="34" t="s">
        <v>8</v>
      </c>
      <c r="C2937" s="34" t="s">
        <v>12115</v>
      </c>
      <c r="D2937" s="8" t="s">
        <v>8579</v>
      </c>
      <c r="F2937" s="34" t="s">
        <v>12186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9"/>
        <v>2937</v>
      </c>
      <c r="B2938" s="34" t="s">
        <v>8</v>
      </c>
      <c r="C2938" s="34" t="s">
        <v>12115</v>
      </c>
      <c r="D2938" s="8" t="s">
        <v>8435</v>
      </c>
      <c r="F2938" s="8" t="s">
        <v>11868</v>
      </c>
      <c r="G2938" s="34" t="s">
        <v>13</v>
      </c>
      <c r="H2938" s="34" t="str">
        <f>IFERROR(VLOOKUP(Table2[[#This Row], [Ticket]],Okey!A:B,2,0),"")</f>
        <v>ok</v>
      </c>
      <c r="I2938" s="34" t="s">
        <v>12295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9"/>
        <v>2938</v>
      </c>
      <c r="B2939" s="34" t="s">
        <v>8</v>
      </c>
      <c r="C2939" s="34" t="s">
        <v>12115</v>
      </c>
      <c r="D2939" s="8" t="s">
        <v>607</v>
      </c>
      <c r="F2939" s="34" t="s">
        <v>12204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9"/>
        <v>2939</v>
      </c>
      <c r="B2940" s="34" t="s">
        <v>8</v>
      </c>
      <c r="C2940" s="34" t="s">
        <v>12115</v>
      </c>
      <c r="D2940" s="8" t="s">
        <v>4818</v>
      </c>
      <c r="F2940" s="34" t="s">
        <v>12199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9"/>
        <v>2940</v>
      </c>
      <c r="B2941" s="34" t="s">
        <v>8</v>
      </c>
      <c r="C2941" s="34" t="s">
        <v>12115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ref="A2942:A3005" si="50">1+A2941</f>
        <v>2941</v>
      </c>
      <c r="B2942" s="34" t="s">
        <v>8</v>
      </c>
      <c r="C2942" s="34" t="s">
        <v>12115</v>
      </c>
      <c r="D2942" s="8" t="s">
        <v>4057</v>
      </c>
      <c r="F2942" s="34" t="s">
        <v>12238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50"/>
        <v>2942</v>
      </c>
      <c r="B2943" s="34" t="s">
        <v>8</v>
      </c>
      <c r="C2943" s="34" t="s">
        <v>12115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50"/>
        <v>2943</v>
      </c>
      <c r="B2944" s="34" t="s">
        <v>8</v>
      </c>
      <c r="C2944" s="34" t="s">
        <v>12115</v>
      </c>
      <c r="D2944" s="8" t="s">
        <v>11840</v>
      </c>
      <c r="F2944" s="8" t="s">
        <v>11869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50"/>
        <v>2944</v>
      </c>
      <c r="B2945" s="34" t="s">
        <v>8</v>
      </c>
      <c r="C2945" s="34" t="s">
        <v>12115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50"/>
        <v>2945</v>
      </c>
      <c r="B2946" s="34" t="s">
        <v>8</v>
      </c>
      <c r="C2946" s="34" t="s">
        <v>12115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si="50"/>
        <v>2946</v>
      </c>
      <c r="B2947" s="34" t="s">
        <v>8</v>
      </c>
      <c r="C2947" s="34" t="s">
        <v>12115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50"/>
        <v>2947</v>
      </c>
      <c r="B2948" s="34" t="s">
        <v>8</v>
      </c>
      <c r="C2948" s="34" t="s">
        <v>12115</v>
      </c>
      <c r="D2948" s="8" t="s">
        <v>11841</v>
      </c>
      <c r="F2948" s="34" t="s">
        <v>12249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50"/>
        <v>2948</v>
      </c>
      <c r="B2949" s="34" t="s">
        <v>8</v>
      </c>
      <c r="C2949" s="34" t="s">
        <v>12115</v>
      </c>
      <c r="D2949" s="8" t="s">
        <v>11842</v>
      </c>
      <c r="F2949" s="34" t="s">
        <v>12250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50"/>
        <v>2949</v>
      </c>
      <c r="B2950" s="34" t="s">
        <v>8</v>
      </c>
      <c r="C2950" s="34" t="s">
        <v>12115</v>
      </c>
      <c r="D2950" s="8" t="s">
        <v>11843</v>
      </c>
      <c r="F2950" s="34" t="s">
        <v>12251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50"/>
        <v>2950</v>
      </c>
      <c r="B2951" s="34" t="s">
        <v>8</v>
      </c>
      <c r="C2951" s="34" t="s">
        <v>12115</v>
      </c>
      <c r="D2951" s="8" t="s">
        <v>11844</v>
      </c>
      <c r="F2951" s="34" t="s">
        <v>12250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50"/>
        <v>2951</v>
      </c>
      <c r="B2952" s="34" t="s">
        <v>8</v>
      </c>
      <c r="C2952" s="34" t="s">
        <v>12115</v>
      </c>
      <c r="D2952" s="8" t="s">
        <v>11845</v>
      </c>
      <c r="F2952" s="34" t="s">
        <v>12249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50"/>
        <v>2952</v>
      </c>
      <c r="B2953" s="34" t="s">
        <v>8</v>
      </c>
      <c r="C2953" s="34" t="s">
        <v>12115</v>
      </c>
      <c r="D2953" s="8" t="s">
        <v>11846</v>
      </c>
      <c r="F2953" s="34" t="s">
        <v>12249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50"/>
        <v>2953</v>
      </c>
      <c r="B2954" s="34" t="s">
        <v>8</v>
      </c>
      <c r="C2954" s="34" t="s">
        <v>12115</v>
      </c>
      <c r="D2954" s="8" t="s">
        <v>11847</v>
      </c>
      <c r="F2954" s="34" t="s">
        <v>12249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50"/>
        <v>2954</v>
      </c>
      <c r="B2955" s="34" t="s">
        <v>8</v>
      </c>
      <c r="C2955" s="34" t="s">
        <v>12115</v>
      </c>
      <c r="D2955" s="8" t="s">
        <v>11848</v>
      </c>
      <c r="F2955" s="34" t="s">
        <v>12249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50"/>
        <v>2955</v>
      </c>
      <c r="B2956" s="34" t="s">
        <v>8</v>
      </c>
      <c r="C2956" s="34" t="s">
        <v>12115</v>
      </c>
      <c r="D2956" s="8" t="s">
        <v>11849</v>
      </c>
      <c r="F2956" s="34" t="s">
        <v>12250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50"/>
        <v>2956</v>
      </c>
      <c r="B2957" s="34" t="s">
        <v>8</v>
      </c>
      <c r="C2957" s="34" t="s">
        <v>12115</v>
      </c>
      <c r="D2957" s="8" t="s">
        <v>11850</v>
      </c>
      <c r="F2957" s="34" t="s">
        <v>12249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50"/>
        <v>2957</v>
      </c>
      <c r="B2958" s="34" t="s">
        <v>8</v>
      </c>
      <c r="C2958" s="34" t="s">
        <v>12115</v>
      </c>
      <c r="D2958" s="8" t="s">
        <v>11851</v>
      </c>
      <c r="F2958" s="34" t="s">
        <v>12251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50"/>
        <v>2958</v>
      </c>
      <c r="B2959" s="34" t="s">
        <v>8</v>
      </c>
      <c r="C2959" s="34" t="s">
        <v>12115</v>
      </c>
      <c r="D2959" s="8" t="s">
        <v>11852</v>
      </c>
      <c r="F2959" s="34" t="s">
        <v>12249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50"/>
        <v>2959</v>
      </c>
      <c r="B2960" s="34" t="s">
        <v>8</v>
      </c>
      <c r="C2960" s="34" t="s">
        <v>12115</v>
      </c>
      <c r="D2960" s="8" t="s">
        <v>11853</v>
      </c>
      <c r="F2960" s="34" t="s">
        <v>12249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50"/>
        <v>2960</v>
      </c>
      <c r="B2961" s="34" t="s">
        <v>8</v>
      </c>
      <c r="C2961" s="34" t="s">
        <v>12115</v>
      </c>
      <c r="D2961" s="8" t="s">
        <v>11854</v>
      </c>
      <c r="F2961" s="34" t="s">
        <v>12249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50"/>
        <v>2961</v>
      </c>
      <c r="B2962" s="34" t="s">
        <v>8</v>
      </c>
      <c r="C2962" s="34" t="s">
        <v>12115</v>
      </c>
      <c r="D2962" s="8" t="s">
        <v>11855</v>
      </c>
      <c r="F2962" s="34" t="s">
        <v>12251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50"/>
        <v>2962</v>
      </c>
      <c r="B2963" s="34" t="s">
        <v>8</v>
      </c>
      <c r="C2963" s="34" t="s">
        <v>12115</v>
      </c>
      <c r="D2963" s="8" t="s">
        <v>11856</v>
      </c>
      <c r="F2963" s="34" t="s">
        <v>12250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50"/>
        <v>2963</v>
      </c>
      <c r="B2964" s="34" t="s">
        <v>8</v>
      </c>
      <c r="C2964" s="34" t="s">
        <v>12115</v>
      </c>
      <c r="D2964" s="8" t="s">
        <v>11857</v>
      </c>
      <c r="F2964" s="34" t="s">
        <v>12249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50"/>
        <v>2964</v>
      </c>
      <c r="B2965" s="34" t="s">
        <v>8</v>
      </c>
      <c r="C2965" s="34" t="s">
        <v>12115</v>
      </c>
      <c r="D2965" s="8" t="s">
        <v>11858</v>
      </c>
      <c r="F2965" s="34" t="s">
        <v>12251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50"/>
        <v>2965</v>
      </c>
      <c r="B2966" s="34" t="s">
        <v>8</v>
      </c>
      <c r="C2966" s="34" t="s">
        <v>12115</v>
      </c>
      <c r="D2966" s="8" t="s">
        <v>11859</v>
      </c>
      <c r="F2966" s="34" t="s">
        <v>12249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50"/>
        <v>2966</v>
      </c>
      <c r="B2967" s="34" t="s">
        <v>8</v>
      </c>
      <c r="C2967" s="34" t="s">
        <v>12115</v>
      </c>
      <c r="D2967" s="8" t="s">
        <v>11860</v>
      </c>
      <c r="F2967" s="34" t="s">
        <v>12249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50"/>
        <v>2967</v>
      </c>
      <c r="B2968" s="34" t="s">
        <v>8</v>
      </c>
      <c r="C2968" s="34" t="s">
        <v>12115</v>
      </c>
      <c r="D2968" s="8" t="s">
        <v>11861</v>
      </c>
      <c r="F2968" s="34" t="s">
        <v>12249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50"/>
        <v>2968</v>
      </c>
      <c r="B2969" s="34" t="s">
        <v>8</v>
      </c>
      <c r="C2969" s="34" t="s">
        <v>12115</v>
      </c>
      <c r="D2969" s="8" t="s">
        <v>11862</v>
      </c>
      <c r="F2969" s="34" t="s">
        <v>12249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50"/>
        <v>2969</v>
      </c>
      <c r="B2970" s="34" t="s">
        <v>8</v>
      </c>
      <c r="C2970" s="34" t="s">
        <v>12115</v>
      </c>
      <c r="D2970" s="8" t="s">
        <v>11863</v>
      </c>
      <c r="F2970" s="34" t="s">
        <v>12249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50"/>
        <v>2970</v>
      </c>
      <c r="B2971" s="34" t="s">
        <v>8</v>
      </c>
      <c r="C2971" s="34" t="s">
        <v>12115</v>
      </c>
      <c r="D2971" s="8" t="s">
        <v>11864</v>
      </c>
      <c r="F2971" s="34" t="s">
        <v>12249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50"/>
        <v>2971</v>
      </c>
      <c r="B2972" s="34" t="s">
        <v>8</v>
      </c>
      <c r="C2972" s="34" t="s">
        <v>12115</v>
      </c>
      <c r="D2972" s="8" t="s">
        <v>11865</v>
      </c>
      <c r="F2972" s="34" t="s">
        <v>12249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50"/>
        <v>2972</v>
      </c>
      <c r="B2973" s="34" t="s">
        <v>8</v>
      </c>
      <c r="C2973" s="34" t="s">
        <v>12115</v>
      </c>
      <c r="D2973" s="8" t="s">
        <v>11866</v>
      </c>
      <c r="F2973" s="34" t="s">
        <v>12249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50"/>
        <v>2973</v>
      </c>
      <c r="B2974" s="34" t="s">
        <v>8</v>
      </c>
      <c r="C2974" s="34" t="s">
        <v>12115</v>
      </c>
      <c r="D2974" s="8" t="s">
        <v>11867</v>
      </c>
      <c r="F2974" s="34" t="s">
        <v>12249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50"/>
        <v>2974</v>
      </c>
      <c r="B2975" s="34" t="s">
        <v>8</v>
      </c>
      <c r="C2975" s="34" t="s">
        <v>12115</v>
      </c>
      <c r="D2975" s="8" t="s">
        <v>8628</v>
      </c>
      <c r="F2975" s="8" t="s">
        <v>12114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50"/>
        <v>2975</v>
      </c>
      <c r="B2976" s="34" t="s">
        <v>8</v>
      </c>
      <c r="C2976" s="34" t="s">
        <v>12115</v>
      </c>
      <c r="D2976" s="8" t="s">
        <v>5528</v>
      </c>
      <c r="F2976" s="8" t="s">
        <v>12114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50"/>
        <v>2976</v>
      </c>
      <c r="B2977" s="34" t="s">
        <v>8</v>
      </c>
      <c r="C2977" s="34" t="s">
        <v>12115</v>
      </c>
      <c r="D2977" s="8" t="s">
        <v>8628</v>
      </c>
      <c r="F2977" s="8" t="s">
        <v>12114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50"/>
        <v>2977</v>
      </c>
      <c r="B2978" s="34" t="s">
        <v>8</v>
      </c>
      <c r="C2978" s="34" t="s">
        <v>12115</v>
      </c>
      <c r="D2978" s="8" t="s">
        <v>5528</v>
      </c>
      <c r="F2978" s="8" t="s">
        <v>12114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50"/>
        <v>2978</v>
      </c>
      <c r="B2979" s="34" t="s">
        <v>8</v>
      </c>
      <c r="C2979" s="34" t="s">
        <v>12115</v>
      </c>
      <c r="D2979" s="8" t="s">
        <v>11870</v>
      </c>
      <c r="F2979" s="8" t="s">
        <v>12114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50"/>
        <v>2979</v>
      </c>
      <c r="B2980" s="34" t="s">
        <v>8</v>
      </c>
      <c r="C2980" s="34" t="s">
        <v>12115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50"/>
        <v>2980</v>
      </c>
      <c r="B2981" s="34" t="s">
        <v>8</v>
      </c>
      <c r="C2981" s="34" t="s">
        <v>12115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50"/>
        <v>2981</v>
      </c>
      <c r="B2982" s="34" t="s">
        <v>8</v>
      </c>
      <c r="C2982" s="34" t="s">
        <v>12115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50"/>
        <v>2982</v>
      </c>
      <c r="B2983" s="34" t="s">
        <v>8</v>
      </c>
      <c r="C2983" s="34" t="s">
        <v>12115</v>
      </c>
      <c r="D2983" s="8" t="s">
        <v>11871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50"/>
        <v>2983</v>
      </c>
      <c r="B2984" s="34" t="s">
        <v>8</v>
      </c>
      <c r="C2984" s="34" t="s">
        <v>12115</v>
      </c>
      <c r="D2984" s="8" t="s">
        <v>11872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50"/>
        <v>2984</v>
      </c>
      <c r="B2985" s="34" t="s">
        <v>8</v>
      </c>
      <c r="C2985" s="34" t="s">
        <v>12115</v>
      </c>
      <c r="D2985" s="8" t="s">
        <v>11873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50"/>
        <v>2985</v>
      </c>
      <c r="B2986" s="34" t="s">
        <v>8</v>
      </c>
      <c r="C2986" s="34" t="s">
        <v>12115</v>
      </c>
      <c r="D2986" s="8" t="s">
        <v>11874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50"/>
        <v>2986</v>
      </c>
      <c r="B2987" s="34" t="s">
        <v>8</v>
      </c>
      <c r="C2987" s="34" t="s">
        <v>12115</v>
      </c>
      <c r="D2987" s="8" t="s">
        <v>11875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50"/>
        <v>2987</v>
      </c>
      <c r="B2988" s="34" t="s">
        <v>8</v>
      </c>
      <c r="C2988" s="34" t="s">
        <v>12115</v>
      </c>
      <c r="D2988" s="8" t="s">
        <v>11876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50"/>
        <v>2988</v>
      </c>
      <c r="B2989" s="34" t="s">
        <v>8</v>
      </c>
      <c r="C2989" s="34" t="s">
        <v>12115</v>
      </c>
      <c r="D2989" s="8" t="s">
        <v>11877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50"/>
        <v>2989</v>
      </c>
      <c r="B2990" s="34" t="s">
        <v>8</v>
      </c>
      <c r="C2990" s="34" t="s">
        <v>12115</v>
      </c>
      <c r="D2990" s="8" t="s">
        <v>11878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50"/>
        <v>2990</v>
      </c>
      <c r="B2991" s="34" t="s">
        <v>8</v>
      </c>
      <c r="C2991" s="34" t="s">
        <v>12115</v>
      </c>
      <c r="D2991" s="8" t="s">
        <v>11879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50"/>
        <v>2991</v>
      </c>
      <c r="B2992" s="34" t="s">
        <v>8</v>
      </c>
      <c r="C2992" s="34" t="s">
        <v>12115</v>
      </c>
      <c r="D2992" s="8" t="s">
        <v>11880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50"/>
        <v>2992</v>
      </c>
      <c r="B2993" s="34" t="s">
        <v>8</v>
      </c>
      <c r="C2993" s="34" t="s">
        <v>12115</v>
      </c>
      <c r="D2993" s="8" t="s">
        <v>11881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50"/>
        <v>2993</v>
      </c>
      <c r="B2994" s="34" t="s">
        <v>8</v>
      </c>
      <c r="C2994" s="34" t="s">
        <v>12115</v>
      </c>
      <c r="D2994" s="8" t="s">
        <v>11882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50"/>
        <v>2994</v>
      </c>
      <c r="B2995" s="34" t="s">
        <v>8</v>
      </c>
      <c r="C2995" s="34" t="s">
        <v>12115</v>
      </c>
      <c r="D2995" s="8" t="s">
        <v>11883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50"/>
        <v>2995</v>
      </c>
      <c r="B2996" s="34" t="s">
        <v>8</v>
      </c>
      <c r="C2996" s="34" t="s">
        <v>12115</v>
      </c>
      <c r="D2996" s="8" t="s">
        <v>11884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50"/>
        <v>2996</v>
      </c>
      <c r="B2997" s="34" t="s">
        <v>8</v>
      </c>
      <c r="C2997" s="34" t="s">
        <v>12115</v>
      </c>
      <c r="D2997" s="8" t="s">
        <v>11885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50"/>
        <v>2997</v>
      </c>
      <c r="B2998" s="34" t="s">
        <v>8</v>
      </c>
      <c r="C2998" s="34" t="s">
        <v>12115</v>
      </c>
      <c r="D2998" s="8" t="s">
        <v>11886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50"/>
        <v>2998</v>
      </c>
      <c r="B2999" s="34" t="s">
        <v>8</v>
      </c>
      <c r="C2999" s="34" t="s">
        <v>12115</v>
      </c>
      <c r="D2999" s="8" t="s">
        <v>11887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50"/>
        <v>2999</v>
      </c>
      <c r="B3000" s="34" t="s">
        <v>8</v>
      </c>
      <c r="C3000" s="34" t="s">
        <v>12115</v>
      </c>
      <c r="D3000" s="8" t="s">
        <v>11888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50"/>
        <v>3000</v>
      </c>
      <c r="B3001" s="34" t="s">
        <v>8</v>
      </c>
      <c r="C3001" s="34" t="s">
        <v>12115</v>
      </c>
      <c r="D3001" s="8" t="s">
        <v>11889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50"/>
        <v>3001</v>
      </c>
      <c r="B3002" s="34" t="s">
        <v>8</v>
      </c>
      <c r="C3002" s="34" t="s">
        <v>12115</v>
      </c>
      <c r="D3002" s="8" t="s">
        <v>11890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50"/>
        <v>3002</v>
      </c>
      <c r="B3003" s="34" t="s">
        <v>8</v>
      </c>
      <c r="C3003" s="34" t="s">
        <v>12115</v>
      </c>
      <c r="D3003" s="8" t="s">
        <v>11891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50"/>
        <v>3003</v>
      </c>
      <c r="B3004" s="34" t="s">
        <v>8</v>
      </c>
      <c r="C3004" s="34" t="s">
        <v>12115</v>
      </c>
      <c r="D3004" s="8" t="s">
        <v>11892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50"/>
        <v>3004</v>
      </c>
      <c r="B3005" s="34" t="s">
        <v>8</v>
      </c>
      <c r="C3005" s="34" t="s">
        <v>12115</v>
      </c>
      <c r="D3005" s="8" t="s">
        <v>11893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ref="A3006:A3069" si="51">1+A3005</f>
        <v>3005</v>
      </c>
      <c r="B3006" s="34" t="s">
        <v>8</v>
      </c>
      <c r="C3006" s="34" t="s">
        <v>12115</v>
      </c>
      <c r="D3006" s="8" t="s">
        <v>11894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51"/>
        <v>3006</v>
      </c>
      <c r="B3007" s="34" t="s">
        <v>8</v>
      </c>
      <c r="C3007" s="34" t="s">
        <v>12115</v>
      </c>
      <c r="D3007" s="8" t="s">
        <v>11895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51"/>
        <v>3007</v>
      </c>
      <c r="B3008" s="34" t="s">
        <v>8</v>
      </c>
      <c r="C3008" s="34" t="s">
        <v>12115</v>
      </c>
      <c r="D3008" s="8" t="s">
        <v>11896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51"/>
        <v>3008</v>
      </c>
      <c r="B3009" s="34" t="s">
        <v>8</v>
      </c>
      <c r="C3009" s="34" t="s">
        <v>12115</v>
      </c>
      <c r="D3009" s="8" t="s">
        <v>11897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51"/>
        <v>3009</v>
      </c>
      <c r="B3010" s="34" t="s">
        <v>8</v>
      </c>
      <c r="C3010" s="34" t="s">
        <v>12115</v>
      </c>
      <c r="D3010" s="8" t="s">
        <v>11898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si="51"/>
        <v>3010</v>
      </c>
      <c r="B3011" s="34" t="s">
        <v>8</v>
      </c>
      <c r="C3011" s="34" t="s">
        <v>12115</v>
      </c>
      <c r="D3011" s="8" t="s">
        <v>11899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51"/>
        <v>3011</v>
      </c>
      <c r="B3012" s="34" t="s">
        <v>8</v>
      </c>
      <c r="C3012" s="34" t="s">
        <v>12115</v>
      </c>
      <c r="D3012" s="8" t="s">
        <v>11900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51"/>
        <v>3012</v>
      </c>
      <c r="B3013" s="34" t="s">
        <v>8</v>
      </c>
      <c r="C3013" s="34" t="s">
        <v>12115</v>
      </c>
      <c r="D3013" s="8" t="s">
        <v>11901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51"/>
        <v>3013</v>
      </c>
      <c r="B3014" s="34" t="s">
        <v>8</v>
      </c>
      <c r="C3014" s="34" t="s">
        <v>12115</v>
      </c>
      <c r="D3014" s="8" t="s">
        <v>11902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51"/>
        <v>3014</v>
      </c>
      <c r="B3015" s="34" t="s">
        <v>8</v>
      </c>
      <c r="C3015" s="34" t="s">
        <v>12115</v>
      </c>
      <c r="D3015" s="8" t="s">
        <v>11903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51"/>
        <v>3015</v>
      </c>
      <c r="B3016" s="34" t="s">
        <v>8</v>
      </c>
      <c r="C3016" s="34" t="s">
        <v>12115</v>
      </c>
      <c r="D3016" s="8" t="s">
        <v>11904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51"/>
        <v>3016</v>
      </c>
      <c r="B3017" s="34" t="s">
        <v>8</v>
      </c>
      <c r="C3017" s="34" t="s">
        <v>12115</v>
      </c>
      <c r="D3017" s="8" t="s">
        <v>11905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51"/>
        <v>3017</v>
      </c>
      <c r="B3018" s="34" t="s">
        <v>8</v>
      </c>
      <c r="C3018" s="34" t="s">
        <v>12115</v>
      </c>
      <c r="D3018" s="8" t="s">
        <v>11906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51"/>
        <v>3018</v>
      </c>
      <c r="B3019" s="34" t="s">
        <v>8</v>
      </c>
      <c r="C3019" s="34" t="s">
        <v>12115</v>
      </c>
      <c r="D3019" s="8" t="s">
        <v>11907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51"/>
        <v>3019</v>
      </c>
      <c r="B3020" s="34" t="s">
        <v>8</v>
      </c>
      <c r="C3020" s="34" t="s">
        <v>12115</v>
      </c>
      <c r="D3020" s="8" t="s">
        <v>11908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51"/>
        <v>3020</v>
      </c>
      <c r="B3021" s="34" t="s">
        <v>8</v>
      </c>
      <c r="C3021" s="34" t="s">
        <v>12115</v>
      </c>
      <c r="D3021" s="8" t="s">
        <v>11909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51"/>
        <v>3021</v>
      </c>
      <c r="B3022" s="34" t="s">
        <v>8</v>
      </c>
      <c r="C3022" s="34" t="s">
        <v>12115</v>
      </c>
      <c r="D3022" s="8" t="s">
        <v>11910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51"/>
        <v>3022</v>
      </c>
      <c r="B3023" s="34" t="s">
        <v>8</v>
      </c>
      <c r="C3023" s="34" t="s">
        <v>12115</v>
      </c>
      <c r="D3023" s="8" t="s">
        <v>11911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51"/>
        <v>3023</v>
      </c>
      <c r="B3024" s="34" t="s">
        <v>8</v>
      </c>
      <c r="C3024" s="34" t="s">
        <v>12115</v>
      </c>
      <c r="D3024" s="8" t="s">
        <v>11912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51"/>
        <v>3024</v>
      </c>
      <c r="B3025" s="34" t="s">
        <v>8</v>
      </c>
      <c r="C3025" s="34" t="s">
        <v>12115</v>
      </c>
      <c r="D3025" s="8" t="s">
        <v>11913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51"/>
        <v>3025</v>
      </c>
      <c r="B3026" s="34" t="s">
        <v>8</v>
      </c>
      <c r="C3026" s="34" t="s">
        <v>12115</v>
      </c>
      <c r="D3026" s="8" t="s">
        <v>11914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51"/>
        <v>3026</v>
      </c>
      <c r="B3027" s="34" t="s">
        <v>8</v>
      </c>
      <c r="C3027" s="34" t="s">
        <v>12115</v>
      </c>
      <c r="D3027" s="8" t="s">
        <v>11915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51"/>
        <v>3027</v>
      </c>
      <c r="B3028" s="34" t="s">
        <v>8</v>
      </c>
      <c r="C3028" s="34" t="s">
        <v>12115</v>
      </c>
      <c r="D3028" s="8" t="s">
        <v>11916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51"/>
        <v>3028</v>
      </c>
      <c r="B3029" s="34" t="s">
        <v>8</v>
      </c>
      <c r="C3029" s="34" t="s">
        <v>12115</v>
      </c>
      <c r="D3029" s="8" t="s">
        <v>11917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51"/>
        <v>3029</v>
      </c>
      <c r="B3030" s="34" t="s">
        <v>8</v>
      </c>
      <c r="C3030" s="34" t="s">
        <v>12115</v>
      </c>
      <c r="D3030" s="8" t="s">
        <v>11918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51"/>
        <v>3030</v>
      </c>
      <c r="B3031" s="34" t="s">
        <v>8</v>
      </c>
      <c r="C3031" s="34" t="s">
        <v>12115</v>
      </c>
      <c r="D3031" s="8" t="s">
        <v>11919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51"/>
        <v>3031</v>
      </c>
      <c r="B3032" s="34" t="s">
        <v>8</v>
      </c>
      <c r="C3032" s="34" t="s">
        <v>12115</v>
      </c>
      <c r="D3032" s="8" t="s">
        <v>11920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51"/>
        <v>3032</v>
      </c>
      <c r="B3033" s="34" t="s">
        <v>8</v>
      </c>
      <c r="C3033" s="34" t="s">
        <v>12115</v>
      </c>
      <c r="D3033" s="8" t="s">
        <v>11921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51"/>
        <v>3033</v>
      </c>
      <c r="B3034" s="34" t="s">
        <v>8</v>
      </c>
      <c r="C3034" s="34" t="s">
        <v>12115</v>
      </c>
      <c r="D3034" s="8" t="s">
        <v>11922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51"/>
        <v>3034</v>
      </c>
      <c r="B3035" s="34" t="s">
        <v>8</v>
      </c>
      <c r="C3035" s="34" t="s">
        <v>12115</v>
      </c>
      <c r="D3035" s="8" t="s">
        <v>11923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51"/>
        <v>3035</v>
      </c>
      <c r="B3036" s="34" t="s">
        <v>8</v>
      </c>
      <c r="C3036" s="34" t="s">
        <v>12115</v>
      </c>
      <c r="D3036" s="8" t="s">
        <v>11924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51"/>
        <v>3036</v>
      </c>
      <c r="B3037" s="34" t="s">
        <v>8</v>
      </c>
      <c r="C3037" s="34" t="s">
        <v>12115</v>
      </c>
      <c r="D3037" s="8" t="s">
        <v>11925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51"/>
        <v>3037</v>
      </c>
      <c r="B3038" s="34" t="s">
        <v>8</v>
      </c>
      <c r="C3038" s="34" t="s">
        <v>12115</v>
      </c>
      <c r="D3038" s="8" t="s">
        <v>11926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51"/>
        <v>3038</v>
      </c>
      <c r="B3039" s="34" t="s">
        <v>8</v>
      </c>
      <c r="C3039" s="34" t="s">
        <v>12115</v>
      </c>
      <c r="D3039" s="8" t="s">
        <v>11927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51"/>
        <v>3039</v>
      </c>
      <c r="B3040" s="34" t="s">
        <v>8</v>
      </c>
      <c r="C3040" s="34" t="s">
        <v>12115</v>
      </c>
      <c r="D3040" s="8" t="s">
        <v>11928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51"/>
        <v>3040</v>
      </c>
      <c r="B3041" s="34" t="s">
        <v>8</v>
      </c>
      <c r="C3041" s="34" t="s">
        <v>12115</v>
      </c>
      <c r="D3041" s="8" t="s">
        <v>11929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51"/>
        <v>3041</v>
      </c>
      <c r="B3042" s="34" t="s">
        <v>8</v>
      </c>
      <c r="C3042" s="34" t="s">
        <v>12115</v>
      </c>
      <c r="D3042" s="8" t="s">
        <v>11930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51"/>
        <v>3042</v>
      </c>
      <c r="B3043" s="34" t="s">
        <v>8</v>
      </c>
      <c r="C3043" s="34" t="s">
        <v>12115</v>
      </c>
      <c r="D3043" s="8" t="s">
        <v>11931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51"/>
        <v>3043</v>
      </c>
      <c r="B3044" s="34" t="s">
        <v>8</v>
      </c>
      <c r="C3044" s="34" t="s">
        <v>12115</v>
      </c>
      <c r="D3044" s="8" t="s">
        <v>11932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51"/>
        <v>3044</v>
      </c>
      <c r="B3045" s="34" t="s">
        <v>8</v>
      </c>
      <c r="C3045" s="34" t="s">
        <v>12115</v>
      </c>
      <c r="D3045" s="8" t="s">
        <v>11933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51"/>
        <v>3045</v>
      </c>
      <c r="B3046" s="34" t="s">
        <v>8</v>
      </c>
      <c r="C3046" s="34" t="s">
        <v>12115</v>
      </c>
      <c r="D3046" s="8" t="s">
        <v>11934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51"/>
        <v>3046</v>
      </c>
      <c r="B3047" s="34" t="s">
        <v>8</v>
      </c>
      <c r="C3047" s="34" t="s">
        <v>12115</v>
      </c>
      <c r="D3047" s="8" t="s">
        <v>11935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51"/>
        <v>3047</v>
      </c>
      <c r="B3048" s="34" t="s">
        <v>8</v>
      </c>
      <c r="C3048" s="34" t="s">
        <v>12115</v>
      </c>
      <c r="D3048" s="8" t="s">
        <v>11936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51"/>
        <v>3048</v>
      </c>
      <c r="B3049" s="34" t="s">
        <v>8</v>
      </c>
      <c r="C3049" s="34" t="s">
        <v>12115</v>
      </c>
      <c r="D3049" s="8" t="s">
        <v>11937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51"/>
        <v>3049</v>
      </c>
      <c r="B3050" s="34" t="s">
        <v>8</v>
      </c>
      <c r="C3050" s="34" t="s">
        <v>12115</v>
      </c>
      <c r="D3050" s="8" t="s">
        <v>11938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51"/>
        <v>3050</v>
      </c>
      <c r="B3051" s="34" t="s">
        <v>8</v>
      </c>
      <c r="C3051" s="34" t="s">
        <v>12115</v>
      </c>
      <c r="D3051" s="8" t="s">
        <v>11939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51"/>
        <v>3051</v>
      </c>
      <c r="B3052" s="34" t="s">
        <v>8</v>
      </c>
      <c r="C3052" s="34" t="s">
        <v>12115</v>
      </c>
      <c r="D3052" s="8" t="s">
        <v>11940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51"/>
        <v>3052</v>
      </c>
      <c r="B3053" s="34" t="s">
        <v>8</v>
      </c>
      <c r="C3053" s="34" t="s">
        <v>12115</v>
      </c>
      <c r="D3053" s="8" t="s">
        <v>11941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51"/>
        <v>3053</v>
      </c>
      <c r="B3054" s="34" t="s">
        <v>8</v>
      </c>
      <c r="C3054" s="34" t="s">
        <v>12115</v>
      </c>
      <c r="D3054" s="8" t="s">
        <v>11942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51"/>
        <v>3054</v>
      </c>
      <c r="B3055" s="34" t="s">
        <v>8</v>
      </c>
      <c r="C3055" s="34" t="s">
        <v>12115</v>
      </c>
      <c r="D3055" s="8" t="s">
        <v>11943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51"/>
        <v>3055</v>
      </c>
      <c r="B3056" s="34" t="s">
        <v>8</v>
      </c>
      <c r="C3056" s="34" t="s">
        <v>12115</v>
      </c>
      <c r="D3056" s="8" t="s">
        <v>11944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51"/>
        <v>3056</v>
      </c>
      <c r="B3057" s="34" t="s">
        <v>8</v>
      </c>
      <c r="C3057" s="34" t="s">
        <v>12115</v>
      </c>
      <c r="D3057" s="8" t="s">
        <v>11945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51"/>
        <v>3057</v>
      </c>
      <c r="B3058" s="34" t="s">
        <v>8</v>
      </c>
      <c r="C3058" s="34" t="s">
        <v>12115</v>
      </c>
      <c r="D3058" s="8" t="s">
        <v>11946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51"/>
        <v>3058</v>
      </c>
      <c r="B3059" s="34" t="s">
        <v>8</v>
      </c>
      <c r="C3059" s="34" t="s">
        <v>12115</v>
      </c>
      <c r="D3059" s="8" t="s">
        <v>11947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51"/>
        <v>3059</v>
      </c>
      <c r="B3060" s="34" t="s">
        <v>8</v>
      </c>
      <c r="C3060" s="34" t="s">
        <v>12115</v>
      </c>
      <c r="D3060" s="8" t="s">
        <v>11948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51"/>
        <v>3060</v>
      </c>
      <c r="B3061" s="34" t="s">
        <v>8</v>
      </c>
      <c r="C3061" s="34" t="s">
        <v>12115</v>
      </c>
      <c r="D3061" s="8" t="s">
        <v>11949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51"/>
        <v>3061</v>
      </c>
      <c r="B3062" s="34" t="s">
        <v>8</v>
      </c>
      <c r="C3062" s="34" t="s">
        <v>12115</v>
      </c>
      <c r="D3062" s="8" t="s">
        <v>11950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51"/>
        <v>3062</v>
      </c>
      <c r="B3063" s="34" t="s">
        <v>8</v>
      </c>
      <c r="C3063" s="34" t="s">
        <v>12115</v>
      </c>
      <c r="D3063" s="8" t="s">
        <v>11951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51"/>
        <v>3063</v>
      </c>
      <c r="B3064" s="34" t="s">
        <v>8</v>
      </c>
      <c r="C3064" s="34" t="s">
        <v>12115</v>
      </c>
      <c r="D3064" s="8" t="s">
        <v>11952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51"/>
        <v>3064</v>
      </c>
      <c r="B3065" s="34" t="s">
        <v>8</v>
      </c>
      <c r="C3065" s="34" t="s">
        <v>12115</v>
      </c>
      <c r="D3065" s="8" t="s">
        <v>11953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51"/>
        <v>3065</v>
      </c>
      <c r="B3066" s="34" t="s">
        <v>8</v>
      </c>
      <c r="C3066" s="34" t="s">
        <v>12115</v>
      </c>
      <c r="D3066" s="8" t="s">
        <v>11954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51"/>
        <v>3066</v>
      </c>
      <c r="B3067" s="34" t="s">
        <v>8</v>
      </c>
      <c r="C3067" s="34" t="s">
        <v>12115</v>
      </c>
      <c r="D3067" s="8" t="s">
        <v>11955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51"/>
        <v>3067</v>
      </c>
      <c r="B3068" s="34" t="s">
        <v>8</v>
      </c>
      <c r="C3068" s="34" t="s">
        <v>12115</v>
      </c>
      <c r="D3068" s="8" t="s">
        <v>11956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51"/>
        <v>3068</v>
      </c>
      <c r="B3069" s="34" t="s">
        <v>8</v>
      </c>
      <c r="C3069" s="34" t="s">
        <v>12115</v>
      </c>
      <c r="D3069" s="8" t="s">
        <v>11957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ref="A3070:A3133" si="52">1+A3069</f>
        <v>3069</v>
      </c>
      <c r="B3070" s="34" t="s">
        <v>8</v>
      </c>
      <c r="C3070" s="34" t="s">
        <v>12115</v>
      </c>
      <c r="D3070" s="8" t="s">
        <v>11958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52"/>
        <v>3070</v>
      </c>
      <c r="B3071" s="34" t="s">
        <v>8</v>
      </c>
      <c r="C3071" s="34" t="s">
        <v>12115</v>
      </c>
      <c r="D3071" s="8" t="s">
        <v>11959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52"/>
        <v>3071</v>
      </c>
      <c r="B3072" s="34" t="s">
        <v>8</v>
      </c>
      <c r="C3072" s="34" t="s">
        <v>12115</v>
      </c>
      <c r="D3072" s="8" t="s">
        <v>11960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52"/>
        <v>3072</v>
      </c>
      <c r="B3073" s="34" t="s">
        <v>8</v>
      </c>
      <c r="C3073" s="34" t="s">
        <v>12115</v>
      </c>
      <c r="D3073" s="8" t="s">
        <v>11961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52"/>
        <v>3073</v>
      </c>
      <c r="B3074" s="34" t="s">
        <v>8</v>
      </c>
      <c r="C3074" s="34" t="s">
        <v>12115</v>
      </c>
      <c r="D3074" s="8" t="s">
        <v>11962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si="52"/>
        <v>3074</v>
      </c>
      <c r="B3075" s="34" t="s">
        <v>8</v>
      </c>
      <c r="C3075" s="34" t="s">
        <v>12115</v>
      </c>
      <c r="D3075" s="8" t="s">
        <v>11963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52"/>
        <v>3075</v>
      </c>
      <c r="B3076" s="34" t="s">
        <v>8</v>
      </c>
      <c r="C3076" s="34" t="s">
        <v>12115</v>
      </c>
      <c r="D3076" s="8" t="s">
        <v>11964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52"/>
        <v>3076</v>
      </c>
      <c r="B3077" s="34" t="s">
        <v>8</v>
      </c>
      <c r="C3077" s="34" t="s">
        <v>12115</v>
      </c>
      <c r="D3077" s="8" t="s">
        <v>11965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52"/>
        <v>3077</v>
      </c>
      <c r="B3078" s="34" t="s">
        <v>8</v>
      </c>
      <c r="C3078" s="34" t="s">
        <v>12115</v>
      </c>
      <c r="D3078" s="8" t="s">
        <v>11966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52"/>
        <v>3078</v>
      </c>
      <c r="B3079" s="34" t="s">
        <v>8</v>
      </c>
      <c r="C3079" s="34" t="s">
        <v>12115</v>
      </c>
      <c r="D3079" s="8" t="s">
        <v>11967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52"/>
        <v>3079</v>
      </c>
      <c r="B3080" s="34" t="s">
        <v>8</v>
      </c>
      <c r="C3080" s="34" t="s">
        <v>12115</v>
      </c>
      <c r="D3080" s="8" t="s">
        <v>11968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52"/>
        <v>3080</v>
      </c>
      <c r="B3081" s="34" t="s">
        <v>8</v>
      </c>
      <c r="C3081" s="34" t="s">
        <v>12115</v>
      </c>
      <c r="D3081" s="8" t="s">
        <v>11969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52"/>
        <v>3081</v>
      </c>
      <c r="B3082" s="34" t="s">
        <v>8</v>
      </c>
      <c r="C3082" s="34" t="s">
        <v>12115</v>
      </c>
      <c r="D3082" s="8" t="s">
        <v>11970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52"/>
        <v>3082</v>
      </c>
      <c r="B3083" s="34" t="s">
        <v>8</v>
      </c>
      <c r="C3083" s="34" t="s">
        <v>12115</v>
      </c>
      <c r="D3083" s="8" t="s">
        <v>11971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52"/>
        <v>3083</v>
      </c>
      <c r="B3084" s="34" t="s">
        <v>8</v>
      </c>
      <c r="C3084" s="34" t="s">
        <v>12115</v>
      </c>
      <c r="D3084" s="8" t="s">
        <v>11972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52"/>
        <v>3084</v>
      </c>
      <c r="B3085" s="34" t="s">
        <v>8</v>
      </c>
      <c r="C3085" s="34" t="s">
        <v>12115</v>
      </c>
      <c r="D3085" s="8" t="s">
        <v>11973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52"/>
        <v>3085</v>
      </c>
      <c r="B3086" s="34" t="s">
        <v>8</v>
      </c>
      <c r="C3086" s="34" t="s">
        <v>12115</v>
      </c>
      <c r="D3086" s="8" t="s">
        <v>11974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52"/>
        <v>3086</v>
      </c>
      <c r="B3087" s="34" t="s">
        <v>8</v>
      </c>
      <c r="C3087" s="34" t="s">
        <v>12115</v>
      </c>
      <c r="D3087" s="8" t="s">
        <v>11975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52"/>
        <v>3087</v>
      </c>
      <c r="B3088" s="34" t="s">
        <v>8</v>
      </c>
      <c r="C3088" s="34" t="s">
        <v>12115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52"/>
        <v>3088</v>
      </c>
      <c r="B3089" s="34" t="s">
        <v>8</v>
      </c>
      <c r="C3089" s="34" t="s">
        <v>12115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52"/>
        <v>3089</v>
      </c>
      <c r="B3090" s="34" t="s">
        <v>8</v>
      </c>
      <c r="C3090" s="34" t="s">
        <v>12115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52"/>
        <v>3090</v>
      </c>
      <c r="B3091" s="34" t="s">
        <v>8</v>
      </c>
      <c r="C3091" s="34" t="s">
        <v>12115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52"/>
        <v>3091</v>
      </c>
      <c r="B3092" s="34" t="s">
        <v>8</v>
      </c>
      <c r="C3092" s="34" t="s">
        <v>12115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52"/>
        <v>3092</v>
      </c>
      <c r="B3093" s="34" t="s">
        <v>8</v>
      </c>
      <c r="C3093" s="34" t="s">
        <v>12115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52"/>
        <v>3093</v>
      </c>
      <c r="B3094" s="34" t="s">
        <v>8</v>
      </c>
      <c r="C3094" s="34" t="s">
        <v>12115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52"/>
        <v>3094</v>
      </c>
      <c r="B3095" s="34" t="s">
        <v>8</v>
      </c>
      <c r="C3095" s="34" t="s">
        <v>12115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52"/>
        <v>3095</v>
      </c>
      <c r="B3096" s="34" t="s">
        <v>8</v>
      </c>
      <c r="C3096" s="34" t="s">
        <v>12115</v>
      </c>
      <c r="D3096" s="8" t="s">
        <v>11976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52"/>
        <v>3096</v>
      </c>
      <c r="B3097" s="34" t="s">
        <v>8</v>
      </c>
      <c r="C3097" s="34" t="s">
        <v>12115</v>
      </c>
      <c r="D3097" s="8" t="s">
        <v>11977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52"/>
        <v>3097</v>
      </c>
      <c r="B3098" s="34" t="s">
        <v>8</v>
      </c>
      <c r="C3098" s="34" t="s">
        <v>12115</v>
      </c>
      <c r="D3098" s="8" t="s">
        <v>11978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52"/>
        <v>3098</v>
      </c>
      <c r="B3099" s="34" t="s">
        <v>8</v>
      </c>
      <c r="C3099" s="34" t="s">
        <v>12115</v>
      </c>
      <c r="D3099" s="8" t="s">
        <v>11979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52"/>
        <v>3099</v>
      </c>
      <c r="B3100" s="34" t="s">
        <v>8</v>
      </c>
      <c r="C3100" s="34" t="s">
        <v>12115</v>
      </c>
      <c r="D3100" s="8" t="s">
        <v>11980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52"/>
        <v>3100</v>
      </c>
      <c r="B3101" s="34" t="s">
        <v>8</v>
      </c>
      <c r="C3101" s="34" t="s">
        <v>12115</v>
      </c>
      <c r="D3101" s="8" t="s">
        <v>11981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52"/>
        <v>3101</v>
      </c>
      <c r="B3102" s="34" t="s">
        <v>8</v>
      </c>
      <c r="C3102" s="34" t="s">
        <v>12115</v>
      </c>
      <c r="D3102" s="8" t="s">
        <v>11982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52"/>
        <v>3102</v>
      </c>
      <c r="B3103" s="34" t="s">
        <v>8</v>
      </c>
      <c r="C3103" s="34" t="s">
        <v>12115</v>
      </c>
      <c r="D3103" s="8" t="s">
        <v>11983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52"/>
        <v>3103</v>
      </c>
      <c r="B3104" s="34" t="s">
        <v>8</v>
      </c>
      <c r="C3104" s="34" t="s">
        <v>12115</v>
      </c>
      <c r="D3104" s="8" t="s">
        <v>11984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52"/>
        <v>3104</v>
      </c>
      <c r="B3105" s="34" t="s">
        <v>8</v>
      </c>
      <c r="C3105" s="34" t="s">
        <v>12115</v>
      </c>
      <c r="D3105" s="8" t="s">
        <v>11985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52"/>
        <v>3105</v>
      </c>
      <c r="B3106" s="34" t="s">
        <v>8</v>
      </c>
      <c r="C3106" s="34" t="s">
        <v>12115</v>
      </c>
      <c r="D3106" s="8" t="s">
        <v>11986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52"/>
        <v>3106</v>
      </c>
      <c r="B3107" s="34" t="s">
        <v>8</v>
      </c>
      <c r="C3107" s="34" t="s">
        <v>12115</v>
      </c>
      <c r="D3107" s="8" t="s">
        <v>11987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52"/>
        <v>3107</v>
      </c>
      <c r="B3108" s="34" t="s">
        <v>8</v>
      </c>
      <c r="C3108" s="34" t="s">
        <v>12115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52"/>
        <v>3108</v>
      </c>
      <c r="B3109" s="34" t="s">
        <v>8</v>
      </c>
      <c r="C3109" s="34" t="s">
        <v>12115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52"/>
        <v>3109</v>
      </c>
      <c r="B3110" s="34" t="s">
        <v>8</v>
      </c>
      <c r="C3110" s="34" t="s">
        <v>12115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52"/>
        <v>3110</v>
      </c>
      <c r="B3111" s="34" t="s">
        <v>8</v>
      </c>
      <c r="C3111" s="34" t="s">
        <v>12115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52"/>
        <v>3111</v>
      </c>
      <c r="B3112" s="34" t="s">
        <v>8</v>
      </c>
      <c r="C3112" s="34" t="s">
        <v>12115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52"/>
        <v>3112</v>
      </c>
      <c r="B3113" s="34" t="s">
        <v>8</v>
      </c>
      <c r="C3113" s="34" t="s">
        <v>12115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52"/>
        <v>3113</v>
      </c>
      <c r="B3114" s="34" t="s">
        <v>8</v>
      </c>
      <c r="C3114" s="34" t="s">
        <v>12115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52"/>
        <v>3114</v>
      </c>
      <c r="B3115" s="34" t="s">
        <v>8</v>
      </c>
      <c r="C3115" s="34" t="s">
        <v>12115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52"/>
        <v>3115</v>
      </c>
      <c r="B3116" s="34" t="s">
        <v>8</v>
      </c>
      <c r="C3116" s="34" t="s">
        <v>12115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52"/>
        <v>3116</v>
      </c>
      <c r="B3117" s="34" t="s">
        <v>8</v>
      </c>
      <c r="C3117" s="34" t="s">
        <v>12115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52"/>
        <v>3117</v>
      </c>
      <c r="B3118" s="34" t="s">
        <v>8</v>
      </c>
      <c r="C3118" s="34" t="s">
        <v>12115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52"/>
        <v>3118</v>
      </c>
      <c r="B3119" s="34" t="s">
        <v>8</v>
      </c>
      <c r="C3119" s="34" t="s">
        <v>12115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52"/>
        <v>3119</v>
      </c>
      <c r="B3120" s="34" t="s">
        <v>8</v>
      </c>
      <c r="C3120" s="34" t="s">
        <v>12115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52"/>
        <v>3120</v>
      </c>
      <c r="B3121" s="34" t="s">
        <v>8</v>
      </c>
      <c r="C3121" s="34" t="s">
        <v>12115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52"/>
        <v>3121</v>
      </c>
      <c r="B3122" s="34" t="s">
        <v>8</v>
      </c>
      <c r="C3122" s="34" t="s">
        <v>12115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52"/>
        <v>3122</v>
      </c>
      <c r="B3123" s="34" t="s">
        <v>8</v>
      </c>
      <c r="C3123" s="34" t="s">
        <v>12115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52"/>
        <v>3123</v>
      </c>
      <c r="B3124" s="34" t="s">
        <v>8</v>
      </c>
      <c r="C3124" s="34" t="s">
        <v>12115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52"/>
        <v>3124</v>
      </c>
      <c r="B3125" s="34" t="s">
        <v>8</v>
      </c>
      <c r="C3125" s="34" t="s">
        <v>12115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52"/>
        <v>3125</v>
      </c>
      <c r="B3126" s="34" t="s">
        <v>8</v>
      </c>
      <c r="C3126" s="34" t="s">
        <v>12115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52"/>
        <v>3126</v>
      </c>
      <c r="B3127" s="34" t="s">
        <v>8</v>
      </c>
      <c r="C3127" s="34" t="s">
        <v>12115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52"/>
        <v>3127</v>
      </c>
      <c r="B3128" s="34" t="s">
        <v>8</v>
      </c>
      <c r="C3128" s="34" t="s">
        <v>12115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52"/>
        <v>3128</v>
      </c>
      <c r="B3129" s="34" t="s">
        <v>8</v>
      </c>
      <c r="C3129" s="34" t="s">
        <v>12115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52"/>
        <v>3129</v>
      </c>
      <c r="B3130" s="34" t="s">
        <v>8</v>
      </c>
      <c r="C3130" s="34" t="s">
        <v>12115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52"/>
        <v>3130</v>
      </c>
      <c r="B3131" s="34" t="s">
        <v>8</v>
      </c>
      <c r="C3131" s="34" t="s">
        <v>12115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52"/>
        <v>3131</v>
      </c>
      <c r="B3132" s="34" t="s">
        <v>8</v>
      </c>
      <c r="C3132" s="34" t="s">
        <v>12115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52"/>
        <v>3132</v>
      </c>
      <c r="B3133" s="34" t="s">
        <v>8</v>
      </c>
      <c r="C3133" s="34" t="s">
        <v>12115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ref="A3134:A3197" si="53">1+A3133</f>
        <v>3133</v>
      </c>
      <c r="B3134" s="34" t="s">
        <v>8</v>
      </c>
      <c r="C3134" s="34" t="s">
        <v>12115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53"/>
        <v>3134</v>
      </c>
      <c r="B3135" s="34" t="s">
        <v>8</v>
      </c>
      <c r="C3135" s="34" t="s">
        <v>12115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53"/>
        <v>3135</v>
      </c>
      <c r="B3136" s="34" t="s">
        <v>8</v>
      </c>
      <c r="C3136" s="34" t="s">
        <v>12115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53"/>
        <v>3136</v>
      </c>
      <c r="B3137" s="34" t="s">
        <v>8</v>
      </c>
      <c r="C3137" s="34" t="s">
        <v>12115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53"/>
        <v>3137</v>
      </c>
      <c r="B3138" s="34" t="s">
        <v>8</v>
      </c>
      <c r="C3138" s="34" t="s">
        <v>12115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si="53"/>
        <v>3138</v>
      </c>
      <c r="B3139" s="34" t="s">
        <v>8</v>
      </c>
      <c r="C3139" s="34" t="s">
        <v>12115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53"/>
        <v>3139</v>
      </c>
      <c r="B3140" s="34" t="s">
        <v>8</v>
      </c>
      <c r="C3140" s="34" t="s">
        <v>12115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53"/>
        <v>3140</v>
      </c>
      <c r="B3141" s="34" t="s">
        <v>8</v>
      </c>
      <c r="C3141" s="34" t="s">
        <v>12115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53"/>
        <v>3141</v>
      </c>
      <c r="B3142" s="34" t="s">
        <v>8</v>
      </c>
      <c r="C3142" s="34" t="s">
        <v>12115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53"/>
        <v>3142</v>
      </c>
      <c r="B3143" s="34" t="s">
        <v>8</v>
      </c>
      <c r="C3143" s="34" t="s">
        <v>12115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53"/>
        <v>3143</v>
      </c>
      <c r="B3144" s="34" t="s">
        <v>8</v>
      </c>
      <c r="C3144" s="34" t="s">
        <v>12115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53"/>
        <v>3144</v>
      </c>
      <c r="B3145" s="34" t="s">
        <v>8</v>
      </c>
      <c r="C3145" s="34" t="s">
        <v>12115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53"/>
        <v>3145</v>
      </c>
      <c r="B3146" s="34" t="s">
        <v>8</v>
      </c>
      <c r="C3146" s="34" t="s">
        <v>12115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53"/>
        <v>3146</v>
      </c>
      <c r="B3147" s="34" t="s">
        <v>8</v>
      </c>
      <c r="C3147" s="34" t="s">
        <v>12115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53"/>
        <v>3147</v>
      </c>
      <c r="B3148" s="34" t="s">
        <v>8</v>
      </c>
      <c r="C3148" s="34" t="s">
        <v>12115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53"/>
        <v>3148</v>
      </c>
      <c r="B3149" s="34" t="s">
        <v>8</v>
      </c>
      <c r="C3149" s="34" t="s">
        <v>12115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53"/>
        <v>3149</v>
      </c>
      <c r="B3150" s="34" t="s">
        <v>8</v>
      </c>
      <c r="C3150" s="34" t="s">
        <v>12115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53"/>
        <v>3150</v>
      </c>
      <c r="B3151" s="34" t="s">
        <v>8</v>
      </c>
      <c r="C3151" s="34" t="s">
        <v>12115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53"/>
        <v>3151</v>
      </c>
      <c r="B3152" s="34" t="s">
        <v>8</v>
      </c>
      <c r="C3152" s="34" t="s">
        <v>12115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53"/>
        <v>3152</v>
      </c>
      <c r="B3153" s="34" t="s">
        <v>8</v>
      </c>
      <c r="C3153" s="34" t="s">
        <v>12115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53"/>
        <v>3153</v>
      </c>
      <c r="B3154" s="34" t="s">
        <v>8</v>
      </c>
      <c r="C3154" s="34" t="s">
        <v>12115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53"/>
        <v>3154</v>
      </c>
      <c r="B3155" s="34" t="s">
        <v>8</v>
      </c>
      <c r="C3155" s="34" t="s">
        <v>12115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53"/>
        <v>3155</v>
      </c>
      <c r="B3156" s="34" t="s">
        <v>8</v>
      </c>
      <c r="C3156" s="34" t="s">
        <v>12115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53"/>
        <v>3156</v>
      </c>
      <c r="B3157" s="34" t="s">
        <v>8</v>
      </c>
      <c r="C3157" s="34" t="s">
        <v>12115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53"/>
        <v>3157</v>
      </c>
      <c r="B3158" s="34" t="s">
        <v>8</v>
      </c>
      <c r="C3158" s="34" t="s">
        <v>12115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53"/>
        <v>3158</v>
      </c>
      <c r="B3159" s="34" t="s">
        <v>8</v>
      </c>
      <c r="C3159" s="34" t="s">
        <v>12115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53"/>
        <v>3159</v>
      </c>
      <c r="B3160" s="34" t="s">
        <v>8</v>
      </c>
      <c r="C3160" s="34" t="s">
        <v>12115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53"/>
        <v>3160</v>
      </c>
      <c r="B3161" s="34" t="s">
        <v>8</v>
      </c>
      <c r="C3161" s="34" t="s">
        <v>12115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53"/>
        <v>3161</v>
      </c>
      <c r="B3162" s="34" t="s">
        <v>8</v>
      </c>
      <c r="C3162" s="34" t="s">
        <v>12115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53"/>
        <v>3162</v>
      </c>
      <c r="B3163" s="34" t="s">
        <v>8</v>
      </c>
      <c r="C3163" s="34" t="s">
        <v>12115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53"/>
        <v>3163</v>
      </c>
      <c r="B3164" s="34" t="s">
        <v>8</v>
      </c>
      <c r="C3164" s="34" t="s">
        <v>12115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53"/>
        <v>3164</v>
      </c>
      <c r="B3165" s="34" t="s">
        <v>8</v>
      </c>
      <c r="C3165" s="34" t="s">
        <v>12115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53"/>
        <v>3165</v>
      </c>
      <c r="B3166" s="34" t="s">
        <v>8</v>
      </c>
      <c r="C3166" s="34" t="s">
        <v>12115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53"/>
        <v>3166</v>
      </c>
      <c r="B3167" s="34" t="s">
        <v>8</v>
      </c>
      <c r="C3167" s="34" t="s">
        <v>12115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53"/>
        <v>3167</v>
      </c>
      <c r="B3168" s="34" t="s">
        <v>8</v>
      </c>
      <c r="C3168" s="34" t="s">
        <v>12115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53"/>
        <v>3168</v>
      </c>
      <c r="B3169" s="34" t="s">
        <v>8</v>
      </c>
      <c r="C3169" s="34" t="s">
        <v>12115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53"/>
        <v>3169</v>
      </c>
      <c r="B3170" s="34" t="s">
        <v>8</v>
      </c>
      <c r="C3170" s="34" t="s">
        <v>12115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53"/>
        <v>3170</v>
      </c>
      <c r="B3171" s="34" t="s">
        <v>8</v>
      </c>
      <c r="C3171" s="34" t="s">
        <v>12115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53"/>
        <v>3171</v>
      </c>
      <c r="B3172" s="34" t="s">
        <v>8</v>
      </c>
      <c r="C3172" s="34" t="s">
        <v>12115</v>
      </c>
      <c r="D3172" s="8" t="s">
        <v>11988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53"/>
        <v>3172</v>
      </c>
      <c r="B3173" s="34" t="s">
        <v>8</v>
      </c>
      <c r="C3173" s="34" t="s">
        <v>12115</v>
      </c>
      <c r="D3173" s="8" t="s">
        <v>11989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53"/>
        <v>3173</v>
      </c>
      <c r="B3174" s="34" t="s">
        <v>8</v>
      </c>
      <c r="C3174" s="34" t="s">
        <v>12115</v>
      </c>
      <c r="D3174" s="8" t="s">
        <v>11990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53"/>
        <v>3174</v>
      </c>
      <c r="B3175" s="34" t="s">
        <v>8</v>
      </c>
      <c r="C3175" s="34" t="s">
        <v>12115</v>
      </c>
      <c r="D3175" s="8" t="s">
        <v>11991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53"/>
        <v>3175</v>
      </c>
      <c r="B3176" s="34" t="s">
        <v>8</v>
      </c>
      <c r="C3176" s="34" t="s">
        <v>12115</v>
      </c>
      <c r="D3176" s="8" t="s">
        <v>11992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53"/>
        <v>3176</v>
      </c>
      <c r="B3177" s="34" t="s">
        <v>8</v>
      </c>
      <c r="C3177" s="34" t="s">
        <v>12115</v>
      </c>
      <c r="D3177" s="8" t="s">
        <v>11993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53"/>
        <v>3177</v>
      </c>
      <c r="B3178" s="34" t="s">
        <v>8</v>
      </c>
      <c r="C3178" s="34" t="s">
        <v>12115</v>
      </c>
      <c r="D3178" s="8" t="s">
        <v>11994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53"/>
        <v>3178</v>
      </c>
      <c r="B3179" s="34" t="s">
        <v>8</v>
      </c>
      <c r="C3179" s="34" t="s">
        <v>12115</v>
      </c>
      <c r="D3179" s="8" t="s">
        <v>11995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53"/>
        <v>3179</v>
      </c>
      <c r="B3180" s="34" t="s">
        <v>8</v>
      </c>
      <c r="C3180" s="34" t="s">
        <v>12115</v>
      </c>
      <c r="D3180" s="8" t="s">
        <v>11996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53"/>
        <v>3180</v>
      </c>
      <c r="B3181" s="34" t="s">
        <v>8</v>
      </c>
      <c r="C3181" s="34" t="s">
        <v>12115</v>
      </c>
      <c r="D3181" s="8" t="s">
        <v>11997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53"/>
        <v>3181</v>
      </c>
      <c r="B3182" s="34" t="s">
        <v>8</v>
      </c>
      <c r="C3182" s="34" t="s">
        <v>12115</v>
      </c>
      <c r="D3182" s="8" t="s">
        <v>11998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53"/>
        <v>3182</v>
      </c>
      <c r="B3183" s="34" t="s">
        <v>8</v>
      </c>
      <c r="C3183" s="34" t="s">
        <v>12115</v>
      </c>
      <c r="D3183" s="8" t="s">
        <v>11999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53"/>
        <v>3183</v>
      </c>
      <c r="B3184" s="34" t="s">
        <v>8</v>
      </c>
      <c r="C3184" s="34" t="s">
        <v>12115</v>
      </c>
      <c r="D3184" s="8" t="s">
        <v>12000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53"/>
        <v>3184</v>
      </c>
      <c r="B3185" s="34" t="s">
        <v>8</v>
      </c>
      <c r="C3185" s="34" t="s">
        <v>12115</v>
      </c>
      <c r="D3185" s="8" t="s">
        <v>12001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53"/>
        <v>3185</v>
      </c>
      <c r="B3186" s="34" t="s">
        <v>8</v>
      </c>
      <c r="C3186" s="34" t="s">
        <v>12115</v>
      </c>
      <c r="D3186" s="8" t="s">
        <v>12002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53"/>
        <v>3186</v>
      </c>
      <c r="B3187" s="34" t="s">
        <v>8</v>
      </c>
      <c r="C3187" s="34" t="s">
        <v>12115</v>
      </c>
      <c r="D3187" s="8" t="s">
        <v>12003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53"/>
        <v>3187</v>
      </c>
      <c r="B3188" s="34" t="s">
        <v>8</v>
      </c>
      <c r="C3188" s="34" t="s">
        <v>12115</v>
      </c>
      <c r="D3188" s="8" t="s">
        <v>12004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53"/>
        <v>3188</v>
      </c>
      <c r="B3189" s="34" t="s">
        <v>8</v>
      </c>
      <c r="C3189" s="34" t="s">
        <v>12115</v>
      </c>
      <c r="D3189" s="8" t="s">
        <v>12005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53"/>
        <v>3189</v>
      </c>
      <c r="B3190" s="34" t="s">
        <v>8</v>
      </c>
      <c r="C3190" s="34" t="s">
        <v>12115</v>
      </c>
      <c r="D3190" s="8" t="s">
        <v>12006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53"/>
        <v>3190</v>
      </c>
      <c r="B3191" s="34" t="s">
        <v>8</v>
      </c>
      <c r="C3191" s="34" t="s">
        <v>12115</v>
      </c>
      <c r="D3191" s="8" t="s">
        <v>12007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53"/>
        <v>3191</v>
      </c>
      <c r="B3192" s="34" t="s">
        <v>8</v>
      </c>
      <c r="C3192" s="34" t="s">
        <v>12115</v>
      </c>
      <c r="D3192" s="8" t="s">
        <v>12008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53"/>
        <v>3192</v>
      </c>
      <c r="B3193" s="34" t="s">
        <v>8</v>
      </c>
      <c r="C3193" s="34" t="s">
        <v>12115</v>
      </c>
      <c r="D3193" s="8" t="s">
        <v>12009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53"/>
        <v>3193</v>
      </c>
      <c r="B3194" s="34" t="s">
        <v>8</v>
      </c>
      <c r="C3194" s="34" t="s">
        <v>12115</v>
      </c>
      <c r="D3194" s="8" t="s">
        <v>12010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53"/>
        <v>3194</v>
      </c>
      <c r="B3195" s="34" t="s">
        <v>8</v>
      </c>
      <c r="C3195" s="34" t="s">
        <v>12115</v>
      </c>
      <c r="D3195" s="8" t="s">
        <v>12011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53"/>
        <v>3195</v>
      </c>
      <c r="B3196" s="34" t="s">
        <v>8</v>
      </c>
      <c r="C3196" s="34" t="s">
        <v>12115</v>
      </c>
      <c r="D3196" s="8" t="s">
        <v>12012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53"/>
        <v>3196</v>
      </c>
      <c r="B3197" s="34" t="s">
        <v>8</v>
      </c>
      <c r="C3197" s="34" t="s">
        <v>12115</v>
      </c>
      <c r="D3197" s="8" t="s">
        <v>12013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ref="A3198:A3261" si="54">1+A3197</f>
        <v>3197</v>
      </c>
      <c r="B3198" s="34" t="s">
        <v>8</v>
      </c>
      <c r="C3198" s="34" t="s">
        <v>12115</v>
      </c>
      <c r="D3198" s="8" t="s">
        <v>12014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54"/>
        <v>3198</v>
      </c>
      <c r="B3199" s="34" t="s">
        <v>8</v>
      </c>
      <c r="C3199" s="34" t="s">
        <v>12115</v>
      </c>
      <c r="D3199" s="8" t="s">
        <v>12015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54"/>
        <v>3199</v>
      </c>
      <c r="B3200" s="34" t="s">
        <v>8</v>
      </c>
      <c r="C3200" s="34" t="s">
        <v>12115</v>
      </c>
      <c r="D3200" s="8" t="s">
        <v>12016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54"/>
        <v>3200</v>
      </c>
      <c r="B3201" s="34" t="s">
        <v>8</v>
      </c>
      <c r="C3201" s="34" t="s">
        <v>12115</v>
      </c>
      <c r="D3201" s="8" t="s">
        <v>12017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54"/>
        <v>3201</v>
      </c>
      <c r="B3202" s="34" t="s">
        <v>8</v>
      </c>
      <c r="C3202" s="34" t="s">
        <v>12115</v>
      </c>
      <c r="D3202" s="8" t="s">
        <v>12018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si="54"/>
        <v>3202</v>
      </c>
      <c r="B3203" s="34" t="s">
        <v>8</v>
      </c>
      <c r="C3203" s="34" t="s">
        <v>12115</v>
      </c>
      <c r="D3203" s="8" t="s">
        <v>12019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4"/>
        <v>3203</v>
      </c>
      <c r="B3204" s="34" t="s">
        <v>8</v>
      </c>
      <c r="C3204" s="34" t="s">
        <v>12115</v>
      </c>
      <c r="D3204" s="8" t="s">
        <v>12020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4"/>
        <v>3204</v>
      </c>
      <c r="B3205" s="34" t="s">
        <v>8</v>
      </c>
      <c r="C3205" s="34" t="s">
        <v>12115</v>
      </c>
      <c r="D3205" s="8" t="s">
        <v>12021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4"/>
        <v>3205</v>
      </c>
      <c r="B3206" s="34" t="s">
        <v>8</v>
      </c>
      <c r="C3206" s="34" t="s">
        <v>12115</v>
      </c>
      <c r="D3206" s="8" t="s">
        <v>12022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4"/>
        <v>3206</v>
      </c>
      <c r="B3207" s="34" t="s">
        <v>8</v>
      </c>
      <c r="C3207" s="34" t="s">
        <v>12115</v>
      </c>
      <c r="D3207" s="8" t="s">
        <v>12023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4"/>
        <v>3207</v>
      </c>
      <c r="B3208" s="34" t="s">
        <v>8</v>
      </c>
      <c r="C3208" s="34" t="s">
        <v>12115</v>
      </c>
      <c r="D3208" s="8" t="s">
        <v>12024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4"/>
        <v>3208</v>
      </c>
      <c r="B3209" s="34" t="s">
        <v>8</v>
      </c>
      <c r="C3209" s="34" t="s">
        <v>12115</v>
      </c>
      <c r="D3209" s="8" t="s">
        <v>12025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4"/>
        <v>3209</v>
      </c>
      <c r="B3210" s="34" t="s">
        <v>8</v>
      </c>
      <c r="C3210" s="34" t="s">
        <v>12115</v>
      </c>
      <c r="D3210" s="8" t="s">
        <v>12026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4"/>
        <v>3210</v>
      </c>
      <c r="B3211" s="34" t="s">
        <v>8</v>
      </c>
      <c r="C3211" s="34" t="s">
        <v>12115</v>
      </c>
      <c r="D3211" s="8" t="s">
        <v>12027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4"/>
        <v>3211</v>
      </c>
      <c r="B3212" s="34" t="s">
        <v>8</v>
      </c>
      <c r="C3212" s="34" t="s">
        <v>12115</v>
      </c>
      <c r="D3212" s="8" t="s">
        <v>12028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4"/>
        <v>3212</v>
      </c>
      <c r="B3213" s="34" t="s">
        <v>8</v>
      </c>
      <c r="C3213" s="34" t="s">
        <v>12115</v>
      </c>
      <c r="D3213" s="8" t="s">
        <v>12029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4"/>
        <v>3213</v>
      </c>
      <c r="B3214" s="34" t="s">
        <v>8</v>
      </c>
      <c r="C3214" s="34" t="s">
        <v>12115</v>
      </c>
      <c r="D3214" s="8" t="s">
        <v>12030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4"/>
        <v>3214</v>
      </c>
      <c r="B3215" s="34" t="s">
        <v>8</v>
      </c>
      <c r="C3215" s="34" t="s">
        <v>12115</v>
      </c>
      <c r="D3215" s="8" t="s">
        <v>12031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4"/>
        <v>3215</v>
      </c>
      <c r="B3216" s="34" t="s">
        <v>8</v>
      </c>
      <c r="C3216" s="34" t="s">
        <v>12115</v>
      </c>
      <c r="D3216" s="8" t="s">
        <v>12032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4"/>
        <v>3216</v>
      </c>
      <c r="B3217" s="34" t="s">
        <v>8</v>
      </c>
      <c r="C3217" s="34" t="s">
        <v>12115</v>
      </c>
      <c r="D3217" s="8" t="s">
        <v>12033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4"/>
        <v>3217</v>
      </c>
      <c r="B3218" s="34" t="s">
        <v>8</v>
      </c>
      <c r="C3218" s="34" t="s">
        <v>12115</v>
      </c>
      <c r="D3218" s="8" t="s">
        <v>12034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4"/>
        <v>3218</v>
      </c>
      <c r="B3219" s="34" t="s">
        <v>8</v>
      </c>
      <c r="C3219" s="34" t="s">
        <v>12115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4"/>
        <v>3219</v>
      </c>
      <c r="B3220" s="34" t="s">
        <v>8</v>
      </c>
      <c r="C3220" s="34" t="s">
        <v>12115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4"/>
        <v>3220</v>
      </c>
      <c r="B3221" s="34" t="s">
        <v>8</v>
      </c>
      <c r="C3221" s="34" t="s">
        <v>12115</v>
      </c>
      <c r="D3221" s="8" t="s">
        <v>12035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4"/>
        <v>3221</v>
      </c>
      <c r="B3222" s="34" t="s">
        <v>8</v>
      </c>
      <c r="C3222" s="34" t="s">
        <v>12115</v>
      </c>
      <c r="D3222" s="8" t="s">
        <v>12036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4"/>
        <v>3222</v>
      </c>
      <c r="B3223" s="34" t="s">
        <v>8</v>
      </c>
      <c r="C3223" s="34" t="s">
        <v>12115</v>
      </c>
      <c r="D3223" s="8" t="s">
        <v>12037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4"/>
        <v>3223</v>
      </c>
      <c r="B3224" s="34" t="s">
        <v>8</v>
      </c>
      <c r="C3224" s="34" t="s">
        <v>12115</v>
      </c>
      <c r="D3224" s="8" t="s">
        <v>12038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4"/>
        <v>3224</v>
      </c>
      <c r="B3225" s="34" t="s">
        <v>8</v>
      </c>
      <c r="C3225" s="34" t="s">
        <v>12115</v>
      </c>
      <c r="D3225" s="8" t="s">
        <v>12039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4"/>
        <v>3225</v>
      </c>
      <c r="B3226" s="34" t="s">
        <v>8</v>
      </c>
      <c r="C3226" s="34" t="s">
        <v>12115</v>
      </c>
      <c r="D3226" s="8" t="s">
        <v>12040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4"/>
        <v>3226</v>
      </c>
      <c r="B3227" s="34" t="s">
        <v>8</v>
      </c>
      <c r="C3227" s="34" t="s">
        <v>12115</v>
      </c>
      <c r="D3227" s="8" t="s">
        <v>12041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4"/>
        <v>3227</v>
      </c>
      <c r="B3228" s="34" t="s">
        <v>8</v>
      </c>
      <c r="C3228" s="34" t="s">
        <v>12115</v>
      </c>
      <c r="D3228" s="8" t="s">
        <v>12042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4"/>
        <v>3228</v>
      </c>
      <c r="B3229" s="34" t="s">
        <v>8</v>
      </c>
      <c r="C3229" s="34" t="s">
        <v>12115</v>
      </c>
      <c r="D3229" s="8" t="s">
        <v>12043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4"/>
        <v>3229</v>
      </c>
      <c r="B3230" s="34" t="s">
        <v>8</v>
      </c>
      <c r="C3230" s="34" t="s">
        <v>12115</v>
      </c>
      <c r="D3230" s="8" t="s">
        <v>12044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4"/>
        <v>3230</v>
      </c>
      <c r="B3231" s="34" t="s">
        <v>8</v>
      </c>
      <c r="C3231" s="34" t="s">
        <v>12115</v>
      </c>
      <c r="D3231" s="8" t="s">
        <v>12045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4"/>
        <v>3231</v>
      </c>
      <c r="B3232" s="34" t="s">
        <v>8</v>
      </c>
      <c r="C3232" s="34" t="s">
        <v>12115</v>
      </c>
      <c r="D3232" s="8" t="s">
        <v>12046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4"/>
        <v>3232</v>
      </c>
      <c r="B3233" s="34" t="s">
        <v>8</v>
      </c>
      <c r="C3233" s="34" t="s">
        <v>12115</v>
      </c>
      <c r="D3233" s="8" t="s">
        <v>12047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4"/>
        <v>3233</v>
      </c>
      <c r="B3234" s="34" t="s">
        <v>8</v>
      </c>
      <c r="C3234" s="34" t="s">
        <v>12115</v>
      </c>
      <c r="D3234" s="8" t="s">
        <v>12048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4"/>
        <v>3234</v>
      </c>
      <c r="B3235" s="34" t="s">
        <v>8</v>
      </c>
      <c r="C3235" s="34" t="s">
        <v>12115</v>
      </c>
      <c r="D3235" s="8" t="s">
        <v>12049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4"/>
        <v>3235</v>
      </c>
      <c r="B3236" s="34" t="s">
        <v>8</v>
      </c>
      <c r="C3236" s="34" t="s">
        <v>12115</v>
      </c>
      <c r="D3236" s="8" t="s">
        <v>12050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4"/>
        <v>3236</v>
      </c>
      <c r="B3237" s="34" t="s">
        <v>8</v>
      </c>
      <c r="C3237" s="34" t="s">
        <v>12115</v>
      </c>
      <c r="D3237" s="8" t="s">
        <v>12051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4"/>
        <v>3237</v>
      </c>
      <c r="B3238" s="34" t="s">
        <v>8</v>
      </c>
      <c r="C3238" s="34" t="s">
        <v>12115</v>
      </c>
      <c r="D3238" s="8" t="s">
        <v>12052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4"/>
        <v>3238</v>
      </c>
      <c r="B3239" s="34" t="s">
        <v>8</v>
      </c>
      <c r="C3239" s="34" t="s">
        <v>12115</v>
      </c>
      <c r="D3239" s="8" t="s">
        <v>12053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4"/>
        <v>3239</v>
      </c>
      <c r="B3240" s="34" t="s">
        <v>8</v>
      </c>
      <c r="C3240" s="34" t="s">
        <v>12115</v>
      </c>
      <c r="D3240" s="8" t="s">
        <v>12054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4"/>
        <v>3240</v>
      </c>
      <c r="B3241" s="34" t="s">
        <v>8</v>
      </c>
      <c r="C3241" s="34" t="s">
        <v>12115</v>
      </c>
      <c r="D3241" s="8" t="s">
        <v>12055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4"/>
        <v>3241</v>
      </c>
      <c r="B3242" s="34" t="s">
        <v>8</v>
      </c>
      <c r="C3242" s="34" t="s">
        <v>12115</v>
      </c>
      <c r="D3242" s="8" t="s">
        <v>12056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4"/>
        <v>3242</v>
      </c>
      <c r="B3243" s="34" t="s">
        <v>8</v>
      </c>
      <c r="C3243" s="34" t="s">
        <v>12115</v>
      </c>
      <c r="D3243" s="8" t="s">
        <v>12057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4"/>
        <v>3243</v>
      </c>
      <c r="B3244" s="34" t="s">
        <v>8</v>
      </c>
      <c r="C3244" s="34" t="s">
        <v>12115</v>
      </c>
      <c r="D3244" s="8" t="s">
        <v>12058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4"/>
        <v>3244</v>
      </c>
      <c r="B3245" s="34" t="s">
        <v>8</v>
      </c>
      <c r="C3245" s="34" t="s">
        <v>12115</v>
      </c>
      <c r="D3245" s="8" t="s">
        <v>12059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4"/>
        <v>3245</v>
      </c>
      <c r="B3246" s="34" t="s">
        <v>8</v>
      </c>
      <c r="C3246" s="34" t="s">
        <v>12115</v>
      </c>
      <c r="D3246" s="8" t="s">
        <v>12060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4"/>
        <v>3246</v>
      </c>
      <c r="B3247" s="34" t="s">
        <v>8</v>
      </c>
      <c r="C3247" s="34" t="s">
        <v>12115</v>
      </c>
      <c r="D3247" s="8" t="s">
        <v>12061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4"/>
        <v>3247</v>
      </c>
      <c r="B3248" s="34" t="s">
        <v>8</v>
      </c>
      <c r="C3248" s="34" t="s">
        <v>12115</v>
      </c>
      <c r="D3248" s="8" t="s">
        <v>12062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4"/>
        <v>3248</v>
      </c>
      <c r="B3249" s="34" t="s">
        <v>8</v>
      </c>
      <c r="C3249" s="34" t="s">
        <v>12115</v>
      </c>
      <c r="D3249" s="8" t="s">
        <v>12063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4"/>
        <v>3249</v>
      </c>
      <c r="B3250" s="34" t="s">
        <v>8</v>
      </c>
      <c r="C3250" s="34" t="s">
        <v>12115</v>
      </c>
      <c r="D3250" s="8" t="s">
        <v>12064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4"/>
        <v>3250</v>
      </c>
      <c r="B3251" s="34" t="s">
        <v>8</v>
      </c>
      <c r="C3251" s="34" t="s">
        <v>12115</v>
      </c>
      <c r="D3251" s="8" t="s">
        <v>12065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4"/>
        <v>3251</v>
      </c>
      <c r="B3252" s="34" t="s">
        <v>8</v>
      </c>
      <c r="C3252" s="34" t="s">
        <v>12115</v>
      </c>
      <c r="D3252" s="8" t="s">
        <v>12066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4"/>
        <v>3252</v>
      </c>
      <c r="B3253" s="34" t="s">
        <v>8</v>
      </c>
      <c r="C3253" s="34" t="s">
        <v>12115</v>
      </c>
      <c r="D3253" s="8" t="s">
        <v>12067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4"/>
        <v>3253</v>
      </c>
      <c r="B3254" s="34" t="s">
        <v>8</v>
      </c>
      <c r="C3254" s="34" t="s">
        <v>12115</v>
      </c>
      <c r="D3254" s="8" t="s">
        <v>12068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4"/>
        <v>3254</v>
      </c>
      <c r="B3255" s="34" t="s">
        <v>8</v>
      </c>
      <c r="C3255" s="34" t="s">
        <v>12115</v>
      </c>
      <c r="D3255" s="8" t="s">
        <v>12069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4"/>
        <v>3255</v>
      </c>
      <c r="B3256" s="34" t="s">
        <v>8</v>
      </c>
      <c r="C3256" s="34" t="s">
        <v>12115</v>
      </c>
      <c r="D3256" s="8" t="s">
        <v>12070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4"/>
        <v>3256</v>
      </c>
      <c r="B3257" s="34" t="s">
        <v>8</v>
      </c>
      <c r="C3257" s="34" t="s">
        <v>12115</v>
      </c>
      <c r="D3257" s="8" t="s">
        <v>12071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4"/>
        <v>3257</v>
      </c>
      <c r="B3258" s="34" t="s">
        <v>8</v>
      </c>
      <c r="C3258" s="34" t="s">
        <v>12115</v>
      </c>
      <c r="D3258" s="8" t="s">
        <v>12072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4"/>
        <v>3258</v>
      </c>
      <c r="B3259" s="34" t="s">
        <v>8</v>
      </c>
      <c r="C3259" s="34" t="s">
        <v>12115</v>
      </c>
      <c r="D3259" s="8" t="s">
        <v>12073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4"/>
        <v>3259</v>
      </c>
      <c r="B3260" s="34" t="s">
        <v>8</v>
      </c>
      <c r="C3260" s="34" t="s">
        <v>12115</v>
      </c>
      <c r="D3260" s="8" t="s">
        <v>12074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4"/>
        <v>3260</v>
      </c>
      <c r="B3261" s="34" t="s">
        <v>8</v>
      </c>
      <c r="C3261" s="34" t="s">
        <v>12115</v>
      </c>
      <c r="D3261" s="8" t="s">
        <v>12075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ref="A3262:A3325" si="55">1+A3261</f>
        <v>3261</v>
      </c>
      <c r="B3262" s="34" t="s">
        <v>8</v>
      </c>
      <c r="C3262" s="34" t="s">
        <v>12115</v>
      </c>
      <c r="D3262" s="8" t="s">
        <v>12076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5"/>
        <v>3262</v>
      </c>
      <c r="B3263" s="34" t="s">
        <v>8</v>
      </c>
      <c r="C3263" s="34" t="s">
        <v>12115</v>
      </c>
      <c r="D3263" s="8" t="s">
        <v>12077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5"/>
        <v>3263</v>
      </c>
      <c r="B3264" s="34" t="s">
        <v>8</v>
      </c>
      <c r="C3264" s="34" t="s">
        <v>12115</v>
      </c>
      <c r="D3264" s="8" t="s">
        <v>12078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5"/>
        <v>3264</v>
      </c>
      <c r="B3265" s="34" t="s">
        <v>8</v>
      </c>
      <c r="C3265" s="34" t="s">
        <v>12115</v>
      </c>
      <c r="D3265" s="8" t="s">
        <v>12079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5"/>
        <v>3265</v>
      </c>
      <c r="B3266" s="34" t="s">
        <v>8</v>
      </c>
      <c r="C3266" s="34" t="s">
        <v>12115</v>
      </c>
      <c r="D3266" s="8" t="s">
        <v>12080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si="55"/>
        <v>3266</v>
      </c>
      <c r="B3267" s="34" t="s">
        <v>8</v>
      </c>
      <c r="C3267" s="34" t="s">
        <v>12115</v>
      </c>
      <c r="D3267" s="8" t="s">
        <v>12081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5"/>
        <v>3267</v>
      </c>
      <c r="B3268" s="34" t="s">
        <v>8</v>
      </c>
      <c r="C3268" s="34" t="s">
        <v>12115</v>
      </c>
      <c r="D3268" s="8" t="s">
        <v>12082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5"/>
        <v>3268</v>
      </c>
      <c r="B3269" s="34" t="s">
        <v>8</v>
      </c>
      <c r="C3269" s="34" t="s">
        <v>12115</v>
      </c>
      <c r="D3269" s="8" t="s">
        <v>12083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5"/>
        <v>3269</v>
      </c>
      <c r="B3270" s="34" t="s">
        <v>8</v>
      </c>
      <c r="C3270" s="34" t="s">
        <v>12115</v>
      </c>
      <c r="D3270" s="8" t="s">
        <v>12084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5"/>
        <v>3270</v>
      </c>
      <c r="B3271" s="34" t="s">
        <v>8</v>
      </c>
      <c r="C3271" s="34" t="s">
        <v>12115</v>
      </c>
      <c r="D3271" s="8" t="s">
        <v>12085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5"/>
        <v>3271</v>
      </c>
      <c r="B3272" s="34" t="s">
        <v>8</v>
      </c>
      <c r="C3272" s="34" t="s">
        <v>12115</v>
      </c>
      <c r="D3272" s="8" t="s">
        <v>12086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5"/>
        <v>3272</v>
      </c>
      <c r="B3273" s="34" t="s">
        <v>8</v>
      </c>
      <c r="C3273" s="34" t="s">
        <v>12115</v>
      </c>
      <c r="D3273" s="8" t="s">
        <v>12087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5"/>
        <v>3273</v>
      </c>
      <c r="B3274" s="34" t="s">
        <v>8</v>
      </c>
      <c r="C3274" s="34" t="s">
        <v>12115</v>
      </c>
      <c r="D3274" s="8" t="s">
        <v>12088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5"/>
        <v>3274</v>
      </c>
      <c r="B3275" s="34" t="s">
        <v>8</v>
      </c>
      <c r="C3275" s="34" t="s">
        <v>12115</v>
      </c>
      <c r="D3275" s="8" t="s">
        <v>12089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5"/>
        <v>3275</v>
      </c>
      <c r="B3276" s="34" t="s">
        <v>8</v>
      </c>
      <c r="C3276" s="34" t="s">
        <v>12115</v>
      </c>
      <c r="D3276" s="8" t="s">
        <v>12090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5"/>
        <v>3276</v>
      </c>
      <c r="B3277" s="34" t="s">
        <v>8</v>
      </c>
      <c r="C3277" s="34" t="s">
        <v>12115</v>
      </c>
      <c r="D3277" s="8" t="s">
        <v>12091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5"/>
        <v>3277</v>
      </c>
      <c r="B3278" s="34" t="s">
        <v>8</v>
      </c>
      <c r="C3278" s="34" t="s">
        <v>12115</v>
      </c>
      <c r="D3278" s="8" t="s">
        <v>12092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5"/>
        <v>3278</v>
      </c>
      <c r="B3279" s="34" t="s">
        <v>8</v>
      </c>
      <c r="C3279" s="34" t="s">
        <v>12115</v>
      </c>
      <c r="D3279" s="8" t="s">
        <v>12093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5"/>
        <v>3279</v>
      </c>
      <c r="B3280" s="34" t="s">
        <v>8</v>
      </c>
      <c r="C3280" s="34" t="s">
        <v>12115</v>
      </c>
      <c r="D3280" s="8" t="s">
        <v>12094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5"/>
        <v>3280</v>
      </c>
      <c r="B3281" s="34" t="s">
        <v>8</v>
      </c>
      <c r="C3281" s="34" t="s">
        <v>12115</v>
      </c>
      <c r="D3281" s="8" t="s">
        <v>12095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5"/>
        <v>3281</v>
      </c>
      <c r="B3282" s="34" t="s">
        <v>8</v>
      </c>
      <c r="C3282" s="34" t="s">
        <v>12115</v>
      </c>
      <c r="D3282" s="8" t="s">
        <v>12096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5"/>
        <v>3282</v>
      </c>
      <c r="B3283" s="34" t="s">
        <v>8</v>
      </c>
      <c r="C3283" s="34" t="s">
        <v>12115</v>
      </c>
      <c r="D3283" s="8" t="s">
        <v>12097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5"/>
        <v>3283</v>
      </c>
      <c r="B3284" s="34" t="s">
        <v>8</v>
      </c>
      <c r="C3284" s="34" t="s">
        <v>12115</v>
      </c>
      <c r="D3284" s="8" t="s">
        <v>12098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5"/>
        <v>3284</v>
      </c>
      <c r="B3285" s="34" t="s">
        <v>8</v>
      </c>
      <c r="C3285" s="34" t="s">
        <v>12115</v>
      </c>
      <c r="D3285" s="8" t="s">
        <v>12099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5"/>
        <v>3285</v>
      </c>
      <c r="B3286" s="34" t="s">
        <v>8</v>
      </c>
      <c r="C3286" s="34" t="s">
        <v>12115</v>
      </c>
      <c r="D3286" s="8" t="s">
        <v>12100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5"/>
        <v>3286</v>
      </c>
      <c r="B3287" s="34" t="s">
        <v>8</v>
      </c>
      <c r="C3287" s="34" t="s">
        <v>12115</v>
      </c>
      <c r="D3287" s="8" t="s">
        <v>12101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5"/>
        <v>3287</v>
      </c>
      <c r="B3288" s="34" t="s">
        <v>8</v>
      </c>
      <c r="C3288" s="34" t="s">
        <v>12115</v>
      </c>
      <c r="D3288" s="8" t="s">
        <v>12102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5"/>
        <v>3288</v>
      </c>
      <c r="B3289" s="34" t="s">
        <v>8</v>
      </c>
      <c r="C3289" s="34" t="s">
        <v>12115</v>
      </c>
      <c r="D3289" s="8" t="s">
        <v>12103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5"/>
        <v>3289</v>
      </c>
      <c r="B3290" s="34" t="s">
        <v>8</v>
      </c>
      <c r="C3290" s="34" t="s">
        <v>12115</v>
      </c>
      <c r="D3290" s="8" t="s">
        <v>12104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5"/>
        <v>3290</v>
      </c>
      <c r="B3291" s="34" t="s">
        <v>8</v>
      </c>
      <c r="C3291" s="34" t="s">
        <v>12115</v>
      </c>
      <c r="D3291" s="8" t="s">
        <v>12105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5"/>
        <v>3291</v>
      </c>
      <c r="B3292" s="34" t="s">
        <v>8</v>
      </c>
      <c r="C3292" s="34" t="s">
        <v>12115</v>
      </c>
      <c r="D3292" s="8" t="s">
        <v>12106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5"/>
        <v>3292</v>
      </c>
      <c r="B3293" s="34" t="s">
        <v>8</v>
      </c>
      <c r="C3293" s="34" t="s">
        <v>12115</v>
      </c>
      <c r="D3293" s="8" t="s">
        <v>12107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5"/>
        <v>3293</v>
      </c>
      <c r="B3294" s="34" t="s">
        <v>8</v>
      </c>
      <c r="C3294" s="34" t="s">
        <v>12115</v>
      </c>
      <c r="D3294" s="8" t="s">
        <v>12108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5"/>
        <v>3294</v>
      </c>
      <c r="B3295" s="34" t="s">
        <v>8</v>
      </c>
      <c r="C3295" s="34" t="s">
        <v>12115</v>
      </c>
      <c r="D3295" s="8" t="s">
        <v>12109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5"/>
        <v>3295</v>
      </c>
      <c r="B3296" s="34" t="s">
        <v>8</v>
      </c>
      <c r="C3296" s="34" t="s">
        <v>12115</v>
      </c>
      <c r="D3296" s="8" t="s">
        <v>12110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5"/>
        <v>3296</v>
      </c>
      <c r="B3297" s="34" t="s">
        <v>8</v>
      </c>
      <c r="C3297" s="34" t="s">
        <v>12115</v>
      </c>
      <c r="D3297" s="8" t="s">
        <v>12111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5"/>
        <v>3297</v>
      </c>
      <c r="B3298" s="34" t="s">
        <v>8</v>
      </c>
      <c r="C3298" s="34" t="s">
        <v>12115</v>
      </c>
      <c r="D3298" s="8" t="s">
        <v>12112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5"/>
        <v>3298</v>
      </c>
      <c r="B3299" s="34" t="s">
        <v>8</v>
      </c>
      <c r="C3299" s="34" t="s">
        <v>12115</v>
      </c>
      <c r="D3299" s="8" t="s">
        <v>12113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5"/>
        <v>3299</v>
      </c>
      <c r="B3300" s="34" t="s">
        <v>8</v>
      </c>
      <c r="C3300" s="8" t="s">
        <v>12265</v>
      </c>
      <c r="D3300" s="36" t="s">
        <v>379</v>
      </c>
      <c r="E3300" s="103" t="s">
        <v>12117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/>
      <c r="L3300" s="34"/>
      <c r="M3300" s="34" t="s">
        <v>283</v>
      </c>
    </row>
    <row r="3301" spans="1:13" hidden="1">
      <c r="A3301" s="40">
        <f t="shared" si="55"/>
        <v>3300</v>
      </c>
      <c r="B3301" s="34" t="s">
        <v>8</v>
      </c>
      <c r="C3301" s="8" t="s">
        <v>12266</v>
      </c>
      <c r="D3301" s="8" t="s">
        <v>12262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 hidden="1">
      <c r="A3302" s="40">
        <f t="shared" si="55"/>
        <v>3301</v>
      </c>
      <c r="B3302" s="34" t="s">
        <v>8</v>
      </c>
      <c r="C3302" s="8" t="s">
        <v>12267</v>
      </c>
      <c r="D3302" s="34" t="s">
        <v>12274</v>
      </c>
      <c r="E3302" s="8" t="s">
        <v>12268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 hidden="1">
      <c r="A3303" s="40">
        <f t="shared" si="55"/>
        <v>3302</v>
      </c>
      <c r="B3303" s="34" t="s">
        <v>8</v>
      </c>
      <c r="C3303" s="34" t="s">
        <v>12267</v>
      </c>
      <c r="D3303" s="34" t="s">
        <v>12275</v>
      </c>
      <c r="E3303" s="8" t="s">
        <v>12269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 hidden="1">
      <c r="A3304" s="40">
        <f t="shared" si="55"/>
        <v>3303</v>
      </c>
      <c r="B3304" s="34" t="s">
        <v>8</v>
      </c>
      <c r="C3304" s="34" t="s">
        <v>12267</v>
      </c>
      <c r="D3304" s="34" t="s">
        <v>12276</v>
      </c>
      <c r="E3304" s="8" t="s">
        <v>12270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 hidden="1">
      <c r="A3305" s="40">
        <f t="shared" si="55"/>
        <v>3304</v>
      </c>
      <c r="B3305" s="34" t="s">
        <v>8</v>
      </c>
      <c r="C3305" s="34" t="s">
        <v>12267</v>
      </c>
      <c r="D3305" s="34" t="s">
        <v>12277</v>
      </c>
      <c r="E3305" s="8" t="s">
        <v>12271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 hidden="1">
      <c r="A3306" s="40">
        <f t="shared" si="55"/>
        <v>3305</v>
      </c>
      <c r="B3306" s="34" t="s">
        <v>8</v>
      </c>
      <c r="C3306" s="34" t="s">
        <v>12267</v>
      </c>
      <c r="D3306" s="34" t="s">
        <v>12278</v>
      </c>
      <c r="E3306" s="8" t="s">
        <v>12272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 hidden="1">
      <c r="A3307" s="40">
        <f t="shared" si="55"/>
        <v>3306</v>
      </c>
      <c r="B3307" s="34" t="s">
        <v>8</v>
      </c>
      <c r="C3307" s="8" t="s">
        <v>12273</v>
      </c>
      <c r="D3307" s="8" t="s">
        <v>12263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/>
      <c r="L3307" s="34"/>
      <c r="M3307" s="34" t="s">
        <v>9027</v>
      </c>
    </row>
    <row r="3308" spans="1:13" hidden="1">
      <c r="A3308" s="40">
        <f t="shared" si="55"/>
        <v>3307</v>
      </c>
      <c r="B3308" s="34" t="s">
        <v>8</v>
      </c>
      <c r="C3308" s="34" t="s">
        <v>12273</v>
      </c>
      <c r="D3308" s="8" t="s">
        <v>12264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/>
      <c r="L3308" s="34"/>
      <c r="M3308" s="34" t="s">
        <v>9027</v>
      </c>
    </row>
    <row r="3309" spans="1:13" hidden="1">
      <c r="A3309" s="40">
        <f t="shared" si="55"/>
        <v>3308</v>
      </c>
      <c r="B3309" s="34" t="s">
        <v>8</v>
      </c>
      <c r="C3309" s="34" t="s">
        <v>12273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/>
      <c r="L3309" s="34"/>
      <c r="M3309" s="34" t="s">
        <v>9027</v>
      </c>
    </row>
    <row r="3310" spans="1:13" hidden="1">
      <c r="A3310" s="40">
        <f t="shared" si="55"/>
        <v>3309</v>
      </c>
      <c r="B3310" s="34" t="s">
        <v>8</v>
      </c>
      <c r="C3310" s="8" t="s">
        <v>12118</v>
      </c>
      <c r="D3310" s="8" t="s">
        <v>385</v>
      </c>
      <c r="E3310" s="34" t="s">
        <v>12119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 hidden="1">
      <c r="A3311" s="40">
        <f t="shared" si="55"/>
        <v>3310</v>
      </c>
      <c r="B3311" s="34" t="s">
        <v>8</v>
      </c>
      <c r="C3311" s="34" t="s">
        <v>12285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 hidden="1">
      <c r="A3312" s="40">
        <f t="shared" si="55"/>
        <v>3311</v>
      </c>
      <c r="B3312" s="34" t="s">
        <v>8</v>
      </c>
      <c r="C3312" s="34" t="s">
        <v>12285</v>
      </c>
      <c r="D3312" s="8" t="s">
        <v>12284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 hidden="1">
      <c r="A3313" s="40">
        <f t="shared" si="55"/>
        <v>3312</v>
      </c>
      <c r="B3313" s="34" t="s">
        <v>8</v>
      </c>
      <c r="C3313" s="8" t="s">
        <v>12290</v>
      </c>
      <c r="D3313" s="34" t="s">
        <v>12293</v>
      </c>
      <c r="E3313" s="8" t="s">
        <v>12286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12131</v>
      </c>
    </row>
    <row r="3314" spans="1:13" hidden="1">
      <c r="A3314" s="40">
        <f t="shared" si="55"/>
        <v>3313</v>
      </c>
      <c r="B3314" s="34" t="s">
        <v>8</v>
      </c>
      <c r="C3314" s="8" t="s">
        <v>12290</v>
      </c>
      <c r="D3314" s="34" t="s">
        <v>12294</v>
      </c>
      <c r="E3314" s="8" t="s">
        <v>12287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12131</v>
      </c>
    </row>
    <row r="3315" spans="1:13" hidden="1">
      <c r="A3315" s="40">
        <f t="shared" si="55"/>
        <v>3314</v>
      </c>
      <c r="B3315" s="34" t="s">
        <v>8</v>
      </c>
      <c r="C3315" s="8" t="s">
        <v>12289</v>
      </c>
      <c r="D3315" s="34" t="s">
        <v>12292</v>
      </c>
      <c r="E3315" s="8" t="s">
        <v>12288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 hidden="1">
      <c r="A3316" s="40">
        <f t="shared" si="55"/>
        <v>3315</v>
      </c>
      <c r="B3316" s="34" t="s">
        <v>8</v>
      </c>
      <c r="C3316" s="8" t="s">
        <v>12291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 hidden="1">
      <c r="A3317" s="40">
        <f t="shared" si="55"/>
        <v>3316</v>
      </c>
      <c r="B3317" s="34" t="s">
        <v>8</v>
      </c>
      <c r="C3317" s="34" t="s">
        <v>12291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 hidden="1">
      <c r="A3318" s="40">
        <f t="shared" si="55"/>
        <v>3317</v>
      </c>
      <c r="B3318" s="34" t="s">
        <v>8</v>
      </c>
      <c r="C3318" s="8" t="s">
        <v>12296</v>
      </c>
      <c r="D3318" s="8" t="s">
        <v>12171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 hidden="1">
      <c r="A3319" s="40">
        <f t="shared" si="55"/>
        <v>3318</v>
      </c>
      <c r="B3319" s="34" t="s">
        <v>8</v>
      </c>
      <c r="C3319" s="34" t="s">
        <v>12296</v>
      </c>
      <c r="D3319" s="8" t="s">
        <v>12172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 hidden="1">
      <c r="A3320" s="40">
        <f t="shared" si="55"/>
        <v>3319</v>
      </c>
      <c r="B3320" s="34" t="s">
        <v>8</v>
      </c>
      <c r="C3320" s="8" t="s">
        <v>12298</v>
      </c>
      <c r="D3320" s="34" t="s">
        <v>12300</v>
      </c>
      <c r="E3320" s="36" t="s">
        <v>12299</v>
      </c>
      <c r="F3320" s="8" t="s">
        <v>12297</v>
      </c>
      <c r="G3320" s="34" t="s">
        <v>14</v>
      </c>
      <c r="H3320" s="34" t="str">
        <f>IFERROR(VLOOKUP(Table2[[#This Row], [Ticket]],Okey!A:B,2,0),"")</f>
        <v>ok</v>
      </c>
      <c r="I3320" s="34" t="s">
        <v>8539</v>
      </c>
      <c r="J3320" s="34" t="str">
        <f>VLOOKUP(Table2[[#This Row],[Author]],People!A:B,2,0)</f>
        <v>LS</v>
      </c>
      <c r="L3320" s="34"/>
      <c r="M3320" s="34" t="s">
        <v>4799</v>
      </c>
    </row>
    <row r="3321" spans="1:13" hidden="1">
      <c r="A3321" s="40">
        <f t="shared" si="55"/>
        <v>3320</v>
      </c>
      <c r="B3321" s="34" t="s">
        <v>8</v>
      </c>
      <c r="C3321" s="8" t="s">
        <v>12301</v>
      </c>
      <c r="D3321" s="36" t="s">
        <v>12180</v>
      </c>
      <c r="F3321" s="8" t="s">
        <v>8039</v>
      </c>
      <c r="G3321" s="8" t="s">
        <v>13</v>
      </c>
      <c r="H3321" s="34" t="str">
        <f>IFERROR(VLOOKUP(Table2[[#This Row], [Ticket]],Okey!A:B,2,0),"")</f>
        <v>ok</v>
      </c>
      <c r="I3321" s="34" t="s">
        <v>8539</v>
      </c>
      <c r="J3321" s="34" t="str">
        <f>VLOOKUP(Table2[[#This Row],[Author]],People!A:B,2,0)</f>
        <v>EL</v>
      </c>
      <c r="L3321" s="34"/>
      <c r="M3321" s="34" t="s">
        <v>8007</v>
      </c>
    </row>
    <row r="3322" spans="1:13" hidden="1">
      <c r="A3322" s="40">
        <f t="shared" si="55"/>
        <v>3321</v>
      </c>
      <c r="B3322" s="34" t="s">
        <v>8</v>
      </c>
      <c r="C3322" s="8" t="s">
        <v>12302</v>
      </c>
      <c r="D3322" s="8" t="s">
        <v>12303</v>
      </c>
      <c r="E3322" s="106" t="s">
        <v>12304</v>
      </c>
      <c r="F3322" s="34" t="s">
        <v>12317</v>
      </c>
      <c r="G3322" s="8" t="s">
        <v>16</v>
      </c>
      <c r="H3322" s="34" t="str">
        <f>IFERROR(VLOOKUP(Table2[[#This Row], [Ticket]],Okey!A:B,2,0),"")</f>
        <v>ok</v>
      </c>
      <c r="I3322" s="34" t="s">
        <v>8539</v>
      </c>
      <c r="J3322" s="34" t="str">
        <f>VLOOKUP(Table2[[#This Row],[Author]],People!A:B,2,0)</f>
        <v>HC</v>
      </c>
      <c r="L3322" s="34"/>
      <c r="M3322" s="34" t="s">
        <v>9027</v>
      </c>
    </row>
    <row r="3323" spans="1:13" hidden="1">
      <c r="A3323" s="40">
        <f t="shared" si="55"/>
        <v>3322</v>
      </c>
      <c r="B3323" s="34" t="s">
        <v>8</v>
      </c>
      <c r="C3323" s="34" t="s">
        <v>12302</v>
      </c>
      <c r="D3323" s="34" t="s">
        <v>12317</v>
      </c>
      <c r="E3323" s="8" t="s">
        <v>12305</v>
      </c>
      <c r="F3323" s="8" t="s">
        <v>7577</v>
      </c>
      <c r="G3323" s="8" t="s">
        <v>14</v>
      </c>
      <c r="H3323" s="34" t="str">
        <f>IFERROR(VLOOKUP(Table2[[#This Row], [Ticket]],Okey!A:B,2,0),"")</f>
        <v>ok</v>
      </c>
      <c r="I3323" s="34" t="s">
        <v>8539</v>
      </c>
      <c r="J3323" s="34" t="str">
        <f>VLOOKUP(Table2[[#This Row],[Author]],People!A:B,2,0)</f>
        <v>HC</v>
      </c>
      <c r="L3323" s="34"/>
      <c r="M3323" s="34" t="s">
        <v>9027</v>
      </c>
    </row>
    <row r="3324" spans="1:13" hidden="1">
      <c r="A3324" s="40">
        <f t="shared" si="55"/>
        <v>3323</v>
      </c>
      <c r="B3324" s="34" t="s">
        <v>8</v>
      </c>
      <c r="C3324" s="34" t="s">
        <v>12302</v>
      </c>
      <c r="D3324" s="8" t="s">
        <v>12306</v>
      </c>
      <c r="F3324" s="34" t="s">
        <v>12317</v>
      </c>
      <c r="G3324" s="8" t="s">
        <v>13</v>
      </c>
      <c r="H3324" s="34" t="str">
        <f>IFERROR(VLOOKUP(Table2[[#This Row], [Ticket]],Okey!A:B,2,0),"")</f>
        <v>ok</v>
      </c>
      <c r="I3324" s="34" t="s">
        <v>8539</v>
      </c>
      <c r="J3324" s="34" t="str">
        <f>VLOOKUP(Table2[[#This Row],[Author]],People!A:B,2,0)</f>
        <v>HC</v>
      </c>
      <c r="L3324" s="34"/>
      <c r="M3324" s="34" t="s">
        <v>9027</v>
      </c>
    </row>
    <row r="3325" spans="1:13" hidden="1">
      <c r="A3325" s="40">
        <f t="shared" si="55"/>
        <v>3324</v>
      </c>
      <c r="B3325" s="34" t="s">
        <v>8</v>
      </c>
      <c r="C3325" s="8" t="s">
        <v>12307</v>
      </c>
      <c r="D3325" s="8" t="s">
        <v>12308</v>
      </c>
      <c r="F3325" s="8" t="s">
        <v>12309</v>
      </c>
      <c r="G3325" s="34" t="s">
        <v>13</v>
      </c>
      <c r="H3325" s="34" t="str">
        <f>IFERROR(VLOOKUP(Table2[[#This Row], [Ticket]],Okey!A:B,2,0),"")</f>
        <v>ok</v>
      </c>
      <c r="I3325" s="34" t="s">
        <v>8539</v>
      </c>
      <c r="J3325" s="34" t="str">
        <f>VLOOKUP(Table2[[#This Row],[Author]],People!A:B,2,0)</f>
        <v>HC</v>
      </c>
      <c r="L3325" s="34"/>
      <c r="M3325" s="34" t="s">
        <v>9027</v>
      </c>
    </row>
    <row r="3326" spans="1:13" hidden="1">
      <c r="A3326" s="40">
        <f t="shared" ref="A3326:A3389" si="56">1+A3325</f>
        <v>3325</v>
      </c>
      <c r="B3326" s="34" t="s">
        <v>8</v>
      </c>
      <c r="C3326" s="8" t="s">
        <v>12310</v>
      </c>
      <c r="D3326" s="34" t="s">
        <v>12318</v>
      </c>
      <c r="E3326" s="8" t="s">
        <v>12311</v>
      </c>
      <c r="F3326" s="8" t="s">
        <v>5266</v>
      </c>
      <c r="G3326" s="34" t="s">
        <v>14</v>
      </c>
      <c r="H3326" s="34" t="str">
        <f>IFERROR(VLOOKUP(Table2[[#This Row], [Ticket]],Okey!A:B,2,0),"")</f>
        <v>ok</v>
      </c>
      <c r="I3326" s="34" t="s">
        <v>8539</v>
      </c>
      <c r="J3326" s="34" t="str">
        <f>VLOOKUP(Table2[[#This Row],[Author]],People!A:B,2,0)</f>
        <v>LS</v>
      </c>
      <c r="L3326" s="34"/>
      <c r="M3326" s="34" t="s">
        <v>6348</v>
      </c>
    </row>
    <row r="3327" spans="1:13" hidden="1">
      <c r="A3327" s="40">
        <f t="shared" si="56"/>
        <v>3326</v>
      </c>
      <c r="B3327" s="34" t="s">
        <v>8</v>
      </c>
      <c r="C3327" s="34" t="s">
        <v>12310</v>
      </c>
      <c r="D3327" s="34" t="s">
        <v>12319</v>
      </c>
      <c r="E3327" s="8" t="s">
        <v>12312</v>
      </c>
      <c r="F3327" s="8" t="s">
        <v>3827</v>
      </c>
      <c r="G3327" s="34" t="s">
        <v>14</v>
      </c>
      <c r="H3327" s="34" t="str">
        <f>IFERROR(VLOOKUP(Table2[[#This Row], [Ticket]],Okey!A:B,2,0),"")</f>
        <v>ok</v>
      </c>
      <c r="I3327" s="34" t="s">
        <v>8539</v>
      </c>
      <c r="J3327" s="34" t="str">
        <f>VLOOKUP(Table2[[#This Row],[Author]],People!A:B,2,0)</f>
        <v>LS</v>
      </c>
      <c r="L3327" s="34"/>
      <c r="M3327" s="34" t="s">
        <v>6348</v>
      </c>
    </row>
    <row r="3328" spans="1:13" hidden="1">
      <c r="A3328" s="40">
        <f t="shared" si="56"/>
        <v>3327</v>
      </c>
      <c r="B3328" s="34" t="s">
        <v>8</v>
      </c>
      <c r="C3328" s="34" t="s">
        <v>12310</v>
      </c>
      <c r="D3328" s="34" t="s">
        <v>12320</v>
      </c>
      <c r="E3328" s="8" t="s">
        <v>12313</v>
      </c>
      <c r="F3328" s="8" t="s">
        <v>5272</v>
      </c>
      <c r="G3328" s="34" t="s">
        <v>14</v>
      </c>
      <c r="H3328" s="34" t="str">
        <f>IFERROR(VLOOKUP(Table2[[#This Row], [Ticket]],Okey!A:B,2,0),"")</f>
        <v>ok</v>
      </c>
      <c r="I3328" s="34" t="s">
        <v>8539</v>
      </c>
      <c r="J3328" s="34" t="str">
        <f>VLOOKUP(Table2[[#This Row],[Author]],People!A:B,2,0)</f>
        <v>LS</v>
      </c>
      <c r="L3328" s="34"/>
      <c r="M3328" s="34" t="s">
        <v>6348</v>
      </c>
    </row>
    <row r="3329" spans="1:13" hidden="1">
      <c r="A3329" s="40">
        <f t="shared" si="56"/>
        <v>3328</v>
      </c>
      <c r="B3329" s="34" t="s">
        <v>8</v>
      </c>
      <c r="C3329" s="34" t="s">
        <v>12310</v>
      </c>
      <c r="D3329" s="34" t="s">
        <v>12321</v>
      </c>
      <c r="E3329" s="8" t="s">
        <v>12314</v>
      </c>
      <c r="F3329" s="8" t="s">
        <v>6258</v>
      </c>
      <c r="G3329" s="8" t="s">
        <v>14</v>
      </c>
      <c r="H3329" s="34" t="str">
        <f>IFERROR(VLOOKUP(Table2[[#This Row], [Ticket]],Okey!A:B,2,0),"")</f>
        <v>ok</v>
      </c>
      <c r="I3329" s="34" t="s">
        <v>8539</v>
      </c>
      <c r="J3329" s="34" t="str">
        <f>VLOOKUP(Table2[[#This Row],[Author]],People!A:B,2,0)</f>
        <v>LS</v>
      </c>
      <c r="L3329" s="34"/>
      <c r="M3329" s="34" t="s">
        <v>6348</v>
      </c>
    </row>
    <row r="3330" spans="1:13" hidden="1">
      <c r="A3330" s="40">
        <f t="shared" si="56"/>
        <v>3329</v>
      </c>
      <c r="B3330" s="34" t="s">
        <v>8</v>
      </c>
      <c r="C3330" s="34" t="s">
        <v>12310</v>
      </c>
      <c r="D3330" s="8" t="s">
        <v>6289</v>
      </c>
      <c r="E3330" s="8" t="s">
        <v>12315</v>
      </c>
      <c r="F3330" s="8" t="s">
        <v>5266</v>
      </c>
      <c r="G3330" s="8" t="s">
        <v>16</v>
      </c>
      <c r="H3330" s="34" t="str">
        <f>IFERROR(VLOOKUP(Table2[[#This Row], [Ticket]],Okey!A:B,2,0),"")</f>
        <v>ok</v>
      </c>
      <c r="I3330" s="34" t="s">
        <v>8539</v>
      </c>
      <c r="J3330" s="34" t="str">
        <f>VLOOKUP(Table2[[#This Row],[Author]],People!A:B,2,0)</f>
        <v>LS</v>
      </c>
      <c r="L3330" s="34"/>
      <c r="M3330" s="34" t="s">
        <v>6348</v>
      </c>
    </row>
    <row r="3331" spans="1:13" hidden="1">
      <c r="A3331" s="40">
        <f t="shared" si="56"/>
        <v>3330</v>
      </c>
      <c r="B3331" s="34" t="s">
        <v>8</v>
      </c>
      <c r="C3331" s="34" t="s">
        <v>12310</v>
      </c>
      <c r="D3331" s="8" t="s">
        <v>6300</v>
      </c>
      <c r="E3331" s="8" t="s">
        <v>12316</v>
      </c>
      <c r="F3331" s="8" t="s">
        <v>3220</v>
      </c>
      <c r="G3331" s="34" t="s">
        <v>16</v>
      </c>
      <c r="H3331" s="34" t="str">
        <f>IFERROR(VLOOKUP(Table2[[#This Row], [Ticket]],Okey!A:B,2,0),"")</f>
        <v>ok</v>
      </c>
      <c r="I3331" s="34" t="s">
        <v>8539</v>
      </c>
      <c r="J3331" s="34" t="str">
        <f>VLOOKUP(Table2[[#This Row],[Author]],People!A:B,2,0)</f>
        <v>LS</v>
      </c>
      <c r="L3331" s="34"/>
      <c r="M3331" s="34" t="s">
        <v>6348</v>
      </c>
    </row>
    <row r="3332" spans="1:13" hidden="1">
      <c r="A3332" s="40">
        <f t="shared" si="56"/>
        <v>3331</v>
      </c>
      <c r="B3332" s="34" t="s">
        <v>8</v>
      </c>
      <c r="C3332" s="8" t="s">
        <v>12322</v>
      </c>
      <c r="D3332" s="34" t="s">
        <v>12329</v>
      </c>
      <c r="E3332" s="107" t="s">
        <v>12324</v>
      </c>
      <c r="F3332" s="8" t="s">
        <v>12323</v>
      </c>
      <c r="G3332" s="34" t="s">
        <v>14</v>
      </c>
      <c r="H3332" s="34" t="str">
        <f>IFERROR(VLOOKUP(Table2[[#This Row], [Ticket]],Okey!A:B,2,0),"")</f>
        <v>ok</v>
      </c>
      <c r="I3332" s="34" t="s">
        <v>8539</v>
      </c>
      <c r="J3332" s="34" t="str">
        <f>VLOOKUP(Table2[[#This Row],[Author]],People!A:B,2,0)</f>
        <v>MGF</v>
      </c>
      <c r="L3332" s="34"/>
      <c r="M3332" s="34" t="s">
        <v>4778</v>
      </c>
    </row>
    <row r="3333" spans="1:13" hidden="1">
      <c r="A3333" s="40">
        <f t="shared" si="56"/>
        <v>3332</v>
      </c>
      <c r="B3333" s="34" t="s">
        <v>8</v>
      </c>
      <c r="C3333" s="34" t="s">
        <v>12322</v>
      </c>
      <c r="D3333" s="34" t="s">
        <v>12330</v>
      </c>
      <c r="E3333" s="107" t="s">
        <v>12325</v>
      </c>
      <c r="F3333" s="8" t="s">
        <v>12323</v>
      </c>
      <c r="G3333" s="34" t="s">
        <v>14</v>
      </c>
      <c r="H3333" s="34" t="str">
        <f>IFERROR(VLOOKUP(Table2[[#This Row], [Ticket]],Okey!A:B,2,0),"")</f>
        <v>ok</v>
      </c>
      <c r="I3333" s="34" t="s">
        <v>8539</v>
      </c>
      <c r="J3333" s="34" t="str">
        <f>VLOOKUP(Table2[[#This Row],[Author]],People!A:B,2,0)</f>
        <v>MGF</v>
      </c>
      <c r="L3333" s="34"/>
      <c r="M3333" s="34" t="s">
        <v>4778</v>
      </c>
    </row>
    <row r="3334" spans="1:13" hidden="1">
      <c r="A3334" s="40">
        <f t="shared" si="56"/>
        <v>3333</v>
      </c>
      <c r="B3334" s="34" t="s">
        <v>8</v>
      </c>
      <c r="C3334" s="34" t="s">
        <v>12322</v>
      </c>
      <c r="D3334" s="34" t="s">
        <v>12331</v>
      </c>
      <c r="E3334" s="107" t="s">
        <v>12326</v>
      </c>
      <c r="F3334" s="8" t="s">
        <v>12323</v>
      </c>
      <c r="G3334" s="34" t="s">
        <v>14</v>
      </c>
      <c r="H3334" s="34" t="str">
        <f>IFERROR(VLOOKUP(Table2[[#This Row], [Ticket]],Okey!A:B,2,0),"")</f>
        <v>ok</v>
      </c>
      <c r="I3334" s="34" t="s">
        <v>8539</v>
      </c>
      <c r="J3334" s="34" t="str">
        <f>VLOOKUP(Table2[[#This Row],[Author]],People!A:B,2,0)</f>
        <v>MGF</v>
      </c>
      <c r="L3334" s="34"/>
      <c r="M3334" s="34" t="s">
        <v>4778</v>
      </c>
    </row>
    <row r="3335" spans="1:13" hidden="1">
      <c r="A3335" s="40">
        <f t="shared" si="56"/>
        <v>3334</v>
      </c>
      <c r="B3335" s="34" t="s">
        <v>8</v>
      </c>
      <c r="C3335" s="8" t="s">
        <v>12334</v>
      </c>
      <c r="D3335" s="34" t="s">
        <v>12332</v>
      </c>
      <c r="E3335" s="8" t="s">
        <v>12327</v>
      </c>
      <c r="F3335" s="8" t="s">
        <v>9872</v>
      </c>
      <c r="G3335" s="34" t="s">
        <v>14</v>
      </c>
      <c r="H3335" s="34" t="str">
        <f>IFERROR(VLOOKUP(Table2[[#This Row], [Ticket]],Okey!A:B,2,0),"")</f>
        <v>ok</v>
      </c>
      <c r="I3335" s="34" t="s">
        <v>8539</v>
      </c>
      <c r="J3335" s="34" t="e">
        <f>VLOOKUP(Table2[[#This Row],[Author]],People!A:B,2,0)</f>
        <v>#N/A</v>
      </c>
      <c r="L3335" s="34"/>
      <c r="M3335" s="34" t="s">
        <v>12335</v>
      </c>
    </row>
    <row r="3336" spans="1:13" hidden="1">
      <c r="A3336" s="40">
        <f t="shared" si="56"/>
        <v>3335</v>
      </c>
      <c r="B3336" s="34" t="s">
        <v>8</v>
      </c>
      <c r="C3336" s="34" t="s">
        <v>12334</v>
      </c>
      <c r="D3336" s="34" t="s">
        <v>12333</v>
      </c>
      <c r="E3336" s="8" t="s">
        <v>12328</v>
      </c>
      <c r="F3336" s="8" t="s">
        <v>9872</v>
      </c>
      <c r="G3336" s="34" t="s">
        <v>14</v>
      </c>
      <c r="H3336" s="34" t="str">
        <f>IFERROR(VLOOKUP(Table2[[#This Row], [Ticket]],Okey!A:B,2,0),"")</f>
        <v>ok</v>
      </c>
      <c r="I3336" s="34" t="s">
        <v>8539</v>
      </c>
      <c r="J3336" s="34" t="e">
        <f>VLOOKUP(Table2[[#This Row],[Author]],People!A:B,2,0)</f>
        <v>#N/A</v>
      </c>
      <c r="L3336" s="34"/>
      <c r="M3336" s="34" t="s">
        <v>12335</v>
      </c>
    </row>
    <row r="3337" spans="1:13" hidden="1">
      <c r="A3337" s="40">
        <f t="shared" si="56"/>
        <v>3336</v>
      </c>
      <c r="B3337" s="34" t="s">
        <v>8</v>
      </c>
      <c r="C3337" s="34" t="s">
        <v>12322</v>
      </c>
      <c r="D3337" s="8" t="s">
        <v>12336</v>
      </c>
      <c r="E3337" s="8" t="s">
        <v>12337</v>
      </c>
      <c r="G3337" s="8" t="s">
        <v>15</v>
      </c>
      <c r="H3337" s="34" t="str">
        <f>IFERROR(VLOOKUP(Table2[[#This Row], [Ticket]],Okey!A:B,2,0),"")</f>
        <v>ok</v>
      </c>
      <c r="I3337" s="34" t="s">
        <v>8539</v>
      </c>
      <c r="J3337" s="34" t="str">
        <f>VLOOKUP(Table2[[#This Row],[Author]],People!A:B,2,0)</f>
        <v>MGF</v>
      </c>
      <c r="L3337" s="34"/>
      <c r="M3337" s="34" t="s">
        <v>4778</v>
      </c>
    </row>
    <row r="3338" spans="1:13" hidden="1">
      <c r="A3338" s="40">
        <f t="shared" si="56"/>
        <v>3337</v>
      </c>
      <c r="B3338" s="34" t="s">
        <v>8</v>
      </c>
      <c r="C3338" s="34" t="s">
        <v>12322</v>
      </c>
      <c r="D3338" s="8" t="s">
        <v>12323</v>
      </c>
      <c r="E3338" s="8" t="s">
        <v>12338</v>
      </c>
      <c r="G3338" s="34" t="s">
        <v>15</v>
      </c>
      <c r="H3338" s="34" t="str">
        <f>IFERROR(VLOOKUP(Table2[[#This Row], [Ticket]],Okey!A:B,2,0),"")</f>
        <v>ok</v>
      </c>
      <c r="I3338" s="34" t="s">
        <v>8539</v>
      </c>
      <c r="J3338" s="34" t="str">
        <f>VLOOKUP(Table2[[#This Row],[Author]],People!A:B,2,0)</f>
        <v>MGF</v>
      </c>
      <c r="L3338" s="34"/>
      <c r="M3338" s="34" t="s">
        <v>4778</v>
      </c>
    </row>
    <row r="3339" spans="1:13" hidden="1">
      <c r="A3339" s="40">
        <f t="shared" si="56"/>
        <v>3338</v>
      </c>
      <c r="B3339" s="34" t="s">
        <v>8</v>
      </c>
      <c r="C3339" s="34" t="s">
        <v>12322</v>
      </c>
      <c r="D3339" s="8" t="s">
        <v>12339</v>
      </c>
      <c r="E3339" s="8" t="s">
        <v>12340</v>
      </c>
      <c r="G3339" s="34" t="s">
        <v>15</v>
      </c>
      <c r="H3339" s="34" t="str">
        <f>IFERROR(VLOOKUP(Table2[[#This Row], [Ticket]],Okey!A:B,2,0),"")</f>
        <v>ok</v>
      </c>
      <c r="I3339" s="34" t="s">
        <v>8539</v>
      </c>
      <c r="J3339" s="34" t="str">
        <f>VLOOKUP(Table2[[#This Row],[Author]],People!A:B,2,0)</f>
        <v>MGF</v>
      </c>
      <c r="L3339" s="34"/>
      <c r="M3339" s="34" t="s">
        <v>4778</v>
      </c>
    </row>
    <row r="3340" spans="1:13" hidden="1">
      <c r="A3340" s="40">
        <f t="shared" si="56"/>
        <v>3339</v>
      </c>
      <c r="B3340" s="34" t="s">
        <v>8</v>
      </c>
      <c r="C3340" s="34" t="s">
        <v>12322</v>
      </c>
      <c r="D3340" s="8" t="s">
        <v>12341</v>
      </c>
      <c r="E3340" s="8" t="s">
        <v>12342</v>
      </c>
      <c r="G3340" s="34" t="s">
        <v>15</v>
      </c>
      <c r="H3340" s="34" t="str">
        <f>IFERROR(VLOOKUP(Table2[[#This Row], [Ticket]],Okey!A:B,2,0),"")</f>
        <v>ok</v>
      </c>
      <c r="I3340" s="34" t="s">
        <v>8539</v>
      </c>
      <c r="J3340" s="34" t="str">
        <f>VLOOKUP(Table2[[#This Row],[Author]],People!A:B,2,0)</f>
        <v>MGF</v>
      </c>
      <c r="L3340" s="34"/>
      <c r="M3340" s="34" t="s">
        <v>4778</v>
      </c>
    </row>
    <row r="3341" spans="1:13" hidden="1">
      <c r="A3341" s="40">
        <f t="shared" si="56"/>
        <v>3340</v>
      </c>
      <c r="B3341" s="34" t="s">
        <v>8</v>
      </c>
      <c r="C3341" s="8" t="s">
        <v>12344</v>
      </c>
      <c r="D3341" s="8" t="s">
        <v>11464</v>
      </c>
      <c r="E3341" s="8" t="s">
        <v>12343</v>
      </c>
      <c r="G3341" s="34" t="s">
        <v>15</v>
      </c>
      <c r="H3341" s="34" t="str">
        <f>IFERROR(VLOOKUP(Table2[[#This Row], [Ticket]],Okey!A:B,2,0),"")</f>
        <v>ok</v>
      </c>
      <c r="I3341" s="34" t="s">
        <v>8539</v>
      </c>
      <c r="J3341" s="34" t="str">
        <f>VLOOKUP(Table2[[#This Row],[Author]],People!A:B,2,0)</f>
        <v>MGF</v>
      </c>
      <c r="L3341" s="34"/>
      <c r="M3341" s="34" t="s">
        <v>4778</v>
      </c>
    </row>
    <row r="3342" spans="1:13" hidden="1">
      <c r="A3342" s="40">
        <f t="shared" si="56"/>
        <v>3341</v>
      </c>
      <c r="B3342" s="34" t="s">
        <v>8</v>
      </c>
      <c r="C3342" s="8" t="s">
        <v>12346</v>
      </c>
      <c r="D3342" s="8" t="s">
        <v>869</v>
      </c>
      <c r="E3342" s="8" t="s">
        <v>12345</v>
      </c>
      <c r="G3342" s="34" t="s">
        <v>15</v>
      </c>
      <c r="H3342" s="34" t="str">
        <f>IFERROR(VLOOKUP(Table2[[#This Row], [Ticket]],Okey!A:B,2,0),"")</f>
        <v>ok</v>
      </c>
      <c r="I3342" s="34" t="s">
        <v>8539</v>
      </c>
      <c r="J3342" s="34" t="str">
        <f>VLOOKUP(Table2[[#This Row],[Author]],People!A:B,2,0)</f>
        <v>MGF</v>
      </c>
      <c r="L3342" s="34"/>
      <c r="M3342" s="34" t="s">
        <v>283</v>
      </c>
    </row>
    <row r="3343" spans="1:13" hidden="1">
      <c r="A3343" s="40">
        <f t="shared" si="56"/>
        <v>3342</v>
      </c>
      <c r="B3343" s="34" t="s">
        <v>8</v>
      </c>
      <c r="C3343" s="8" t="s">
        <v>12347</v>
      </c>
      <c r="D3343" s="34" t="s">
        <v>12349</v>
      </c>
      <c r="E3343" s="8" t="s">
        <v>12348</v>
      </c>
      <c r="F3343" s="8" t="s">
        <v>3827</v>
      </c>
      <c r="G3343" s="8" t="s">
        <v>14</v>
      </c>
      <c r="H3343" s="34" t="str">
        <f>IFERROR(VLOOKUP(Table2[[#This Row], [Ticket]],Okey!A:B,2,0),"")</f>
        <v>ok</v>
      </c>
      <c r="I3343" s="34" t="s">
        <v>8539</v>
      </c>
      <c r="J3343" s="34" t="str">
        <f>VLOOKUP(Table2[[#This Row],[Author]],People!A:B,2,0)</f>
        <v>LS</v>
      </c>
      <c r="L3343" s="34"/>
      <c r="M3343" s="34" t="s">
        <v>6348</v>
      </c>
    </row>
    <row r="3344" spans="1:13" hidden="1">
      <c r="A3344" s="40">
        <f t="shared" si="56"/>
        <v>3343</v>
      </c>
      <c r="B3344" s="34" t="s">
        <v>8</v>
      </c>
      <c r="C3344" s="34" t="s">
        <v>12347</v>
      </c>
      <c r="D3344" s="8" t="s">
        <v>6271</v>
      </c>
      <c r="F3344" s="34" t="s">
        <v>12349</v>
      </c>
      <c r="G3344" s="8" t="s">
        <v>13</v>
      </c>
      <c r="H3344" s="34" t="str">
        <f>IFERROR(VLOOKUP(Table2[[#This Row], [Ticket]],Okey!A:B,2,0),"")</f>
        <v>ok</v>
      </c>
      <c r="I3344" s="34" t="s">
        <v>8539</v>
      </c>
      <c r="J3344" s="34" t="str">
        <f>VLOOKUP(Table2[[#This Row],[Author]],People!A:B,2,0)</f>
        <v>LS</v>
      </c>
      <c r="L3344" s="34"/>
      <c r="M3344" s="34" t="s">
        <v>6348</v>
      </c>
    </row>
    <row r="3345" spans="1:13" hidden="1">
      <c r="A3345" s="40">
        <f t="shared" si="56"/>
        <v>3344</v>
      </c>
      <c r="B3345" s="34" t="s">
        <v>8</v>
      </c>
      <c r="C3345" s="8" t="s">
        <v>12381</v>
      </c>
      <c r="D3345" s="8" t="s">
        <v>724</v>
      </c>
      <c r="E3345" s="8" t="s">
        <v>12359</v>
      </c>
      <c r="G3345" s="34" t="s">
        <v>15</v>
      </c>
      <c r="H3345" s="34" t="str">
        <f>IFERROR(VLOOKUP(Table2[[#This Row], [Ticket]],Okey!A:B,2,0),"")</f>
        <v>ok</v>
      </c>
      <c r="I3345" s="34" t="s">
        <v>8539</v>
      </c>
      <c r="J3345" s="34" t="e">
        <f>VLOOKUP(Table2[[#This Row],[Author]],People!A:B,2,0)</f>
        <v>#N/A</v>
      </c>
      <c r="K3345" s="34"/>
      <c r="L3345" s="34"/>
      <c r="M3345" s="34" t="s">
        <v>12335</v>
      </c>
    </row>
    <row r="3346" spans="1:13" hidden="1">
      <c r="A3346" s="40">
        <f t="shared" si="56"/>
        <v>3345</v>
      </c>
      <c r="B3346" s="34" t="s">
        <v>8</v>
      </c>
      <c r="C3346" s="34" t="s">
        <v>12381</v>
      </c>
      <c r="D3346" s="8" t="s">
        <v>726</v>
      </c>
      <c r="E3346" s="8" t="s">
        <v>12360</v>
      </c>
      <c r="G3346" s="34" t="s">
        <v>15</v>
      </c>
      <c r="H3346" s="34" t="str">
        <f>IFERROR(VLOOKUP(Table2[[#This Row], [Ticket]],Okey!A:B,2,0),"")</f>
        <v>ok</v>
      </c>
      <c r="I3346" s="34" t="s">
        <v>8539</v>
      </c>
      <c r="J3346" s="34" t="e">
        <f>VLOOKUP(Table2[[#This Row],[Author]],People!A:B,2,0)</f>
        <v>#N/A</v>
      </c>
      <c r="K3346" s="34"/>
      <c r="L3346" s="34"/>
      <c r="M3346" s="34" t="s">
        <v>12335</v>
      </c>
    </row>
    <row r="3347" spans="1:13" hidden="1">
      <c r="A3347" s="40">
        <f t="shared" si="56"/>
        <v>3346</v>
      </c>
      <c r="B3347" s="34" t="s">
        <v>8</v>
      </c>
      <c r="C3347" s="34" t="s">
        <v>12381</v>
      </c>
      <c r="D3347" s="8" t="s">
        <v>728</v>
      </c>
      <c r="E3347" s="8" t="s">
        <v>12361</v>
      </c>
      <c r="G3347" s="34" t="s">
        <v>15</v>
      </c>
      <c r="H3347" s="34" t="str">
        <f>IFERROR(VLOOKUP(Table2[[#This Row], [Ticket]],Okey!A:B,2,0),"")</f>
        <v>ok</v>
      </c>
      <c r="I3347" s="34" t="s">
        <v>8539</v>
      </c>
      <c r="J3347" s="34" t="e">
        <f>VLOOKUP(Table2[[#This Row],[Author]],People!A:B,2,0)</f>
        <v>#N/A</v>
      </c>
      <c r="K3347" s="34"/>
      <c r="L3347" s="34"/>
      <c r="M3347" s="34" t="s">
        <v>12335</v>
      </c>
    </row>
    <row r="3348" spans="1:13" hidden="1">
      <c r="A3348" s="40">
        <f t="shared" si="56"/>
        <v>3347</v>
      </c>
      <c r="B3348" s="34" t="s">
        <v>8</v>
      </c>
      <c r="C3348" s="34" t="s">
        <v>12381</v>
      </c>
      <c r="D3348" s="8" t="s">
        <v>730</v>
      </c>
      <c r="E3348" s="8" t="s">
        <v>12362</v>
      </c>
      <c r="G3348" s="34" t="s">
        <v>15</v>
      </c>
      <c r="H3348" s="34" t="str">
        <f>IFERROR(VLOOKUP(Table2[[#This Row], [Ticket]],Okey!A:B,2,0),"")</f>
        <v>ok</v>
      </c>
      <c r="I3348" s="34" t="s">
        <v>8539</v>
      </c>
      <c r="J3348" s="34" t="e">
        <f>VLOOKUP(Table2[[#This Row],[Author]],People!A:B,2,0)</f>
        <v>#N/A</v>
      </c>
      <c r="K3348" s="34"/>
      <c r="L3348" s="34"/>
      <c r="M3348" s="34" t="s">
        <v>12335</v>
      </c>
    </row>
    <row r="3349" spans="1:13" hidden="1">
      <c r="A3349" s="40">
        <f t="shared" si="56"/>
        <v>3348</v>
      </c>
      <c r="B3349" s="34" t="s">
        <v>8</v>
      </c>
      <c r="C3349" s="34" t="s">
        <v>12381</v>
      </c>
      <c r="D3349" s="8" t="s">
        <v>756</v>
      </c>
      <c r="E3349" s="8" t="s">
        <v>12363</v>
      </c>
      <c r="G3349" s="34" t="s">
        <v>15</v>
      </c>
      <c r="H3349" s="34" t="str">
        <f>IFERROR(VLOOKUP(Table2[[#This Row], [Ticket]],Okey!A:B,2,0),"")</f>
        <v>ok</v>
      </c>
      <c r="I3349" s="34" t="s">
        <v>8539</v>
      </c>
      <c r="J3349" s="34" t="e">
        <f>VLOOKUP(Table2[[#This Row],[Author]],People!A:B,2,0)</f>
        <v>#N/A</v>
      </c>
      <c r="K3349" s="34"/>
      <c r="L3349" s="34"/>
      <c r="M3349" s="34" t="s">
        <v>12335</v>
      </c>
    </row>
    <row r="3350" spans="1:13" hidden="1">
      <c r="A3350" s="40">
        <f t="shared" si="56"/>
        <v>3349</v>
      </c>
      <c r="B3350" s="34" t="s">
        <v>8</v>
      </c>
      <c r="C3350" s="34" t="s">
        <v>12381</v>
      </c>
      <c r="D3350" s="8" t="s">
        <v>762</v>
      </c>
      <c r="E3350" s="8" t="s">
        <v>12364</v>
      </c>
      <c r="G3350" s="34" t="s">
        <v>15</v>
      </c>
      <c r="H3350" s="34" t="str">
        <f>IFERROR(VLOOKUP(Table2[[#This Row], [Ticket]],Okey!A:B,2,0),"")</f>
        <v>ok</v>
      </c>
      <c r="I3350" s="34" t="s">
        <v>8539</v>
      </c>
      <c r="J3350" s="34" t="e">
        <f>VLOOKUP(Table2[[#This Row],[Author]],People!A:B,2,0)</f>
        <v>#N/A</v>
      </c>
      <c r="K3350" s="34"/>
      <c r="L3350" s="34"/>
      <c r="M3350" s="34" t="s">
        <v>12335</v>
      </c>
    </row>
    <row r="3351" spans="1:13" hidden="1">
      <c r="A3351" s="40">
        <f t="shared" si="56"/>
        <v>3350</v>
      </c>
      <c r="B3351" s="34" t="s">
        <v>8</v>
      </c>
      <c r="C3351" s="34" t="s">
        <v>12381</v>
      </c>
      <c r="D3351" s="8" t="s">
        <v>770</v>
      </c>
      <c r="E3351" s="8" t="s">
        <v>12365</v>
      </c>
      <c r="G3351" s="34" t="s">
        <v>15</v>
      </c>
      <c r="H3351" s="34" t="str">
        <f>IFERROR(VLOOKUP(Table2[[#This Row], [Ticket]],Okey!A:B,2,0),"")</f>
        <v>ok</v>
      </c>
      <c r="I3351" s="34" t="s">
        <v>8539</v>
      </c>
      <c r="J3351" s="34" t="e">
        <f>VLOOKUP(Table2[[#This Row],[Author]],People!A:B,2,0)</f>
        <v>#N/A</v>
      </c>
      <c r="K3351" s="34"/>
      <c r="L3351" s="34"/>
      <c r="M3351" s="34" t="s">
        <v>12335</v>
      </c>
    </row>
    <row r="3352" spans="1:13" hidden="1">
      <c r="A3352" s="40">
        <f t="shared" si="56"/>
        <v>3351</v>
      </c>
      <c r="B3352" s="34" t="s">
        <v>8</v>
      </c>
      <c r="C3352" s="34" t="s">
        <v>12381</v>
      </c>
      <c r="D3352" s="8" t="s">
        <v>776</v>
      </c>
      <c r="E3352" s="8" t="s">
        <v>12366</v>
      </c>
      <c r="G3352" s="34" t="s">
        <v>15</v>
      </c>
      <c r="H3352" s="34" t="str">
        <f>IFERROR(VLOOKUP(Table2[[#This Row], [Ticket]],Okey!A:B,2,0),"")</f>
        <v>ok</v>
      </c>
      <c r="I3352" s="34" t="s">
        <v>8539</v>
      </c>
      <c r="J3352" s="34" t="e">
        <f>VLOOKUP(Table2[[#This Row],[Author]],People!A:B,2,0)</f>
        <v>#N/A</v>
      </c>
      <c r="K3352" s="34"/>
      <c r="L3352" s="34"/>
      <c r="M3352" s="34" t="s">
        <v>12335</v>
      </c>
    </row>
    <row r="3353" spans="1:13" hidden="1">
      <c r="A3353" s="40">
        <f t="shared" si="56"/>
        <v>3352</v>
      </c>
      <c r="B3353" s="34" t="s">
        <v>8</v>
      </c>
      <c r="C3353" s="34" t="s">
        <v>12381</v>
      </c>
      <c r="D3353" s="8" t="s">
        <v>784</v>
      </c>
      <c r="E3353" s="8" t="s">
        <v>12367</v>
      </c>
      <c r="G3353" s="34" t="s">
        <v>15</v>
      </c>
      <c r="H3353" s="34" t="str">
        <f>IFERROR(VLOOKUP(Table2[[#This Row], [Ticket]],Okey!A:B,2,0),"")</f>
        <v>ok</v>
      </c>
      <c r="I3353" s="34" t="s">
        <v>8539</v>
      </c>
      <c r="J3353" s="34" t="e">
        <f>VLOOKUP(Table2[[#This Row],[Author]],People!A:B,2,0)</f>
        <v>#N/A</v>
      </c>
      <c r="K3353" s="34"/>
      <c r="L3353" s="34"/>
      <c r="M3353" s="34" t="s">
        <v>12335</v>
      </c>
    </row>
    <row r="3354" spans="1:13" hidden="1">
      <c r="A3354" s="40">
        <f t="shared" si="56"/>
        <v>3353</v>
      </c>
      <c r="B3354" s="34" t="s">
        <v>8</v>
      </c>
      <c r="C3354" s="34" t="s">
        <v>12381</v>
      </c>
      <c r="D3354" s="8" t="s">
        <v>796</v>
      </c>
      <c r="E3354" s="8" t="s">
        <v>12368</v>
      </c>
      <c r="G3354" s="34" t="s">
        <v>15</v>
      </c>
      <c r="H3354" s="34" t="str">
        <f>IFERROR(VLOOKUP(Table2[[#This Row], [Ticket]],Okey!A:B,2,0),"")</f>
        <v>ok</v>
      </c>
      <c r="I3354" s="34" t="s">
        <v>8539</v>
      </c>
      <c r="J3354" s="34" t="e">
        <f>VLOOKUP(Table2[[#This Row],[Author]],People!A:B,2,0)</f>
        <v>#N/A</v>
      </c>
      <c r="K3354" s="34"/>
      <c r="L3354" s="34"/>
      <c r="M3354" s="34" t="s">
        <v>12335</v>
      </c>
    </row>
    <row r="3355" spans="1:13" hidden="1">
      <c r="A3355" s="40">
        <f t="shared" si="56"/>
        <v>3354</v>
      </c>
      <c r="B3355" s="34" t="s">
        <v>8</v>
      </c>
      <c r="C3355" s="34" t="s">
        <v>12381</v>
      </c>
      <c r="D3355" s="8" t="s">
        <v>798</v>
      </c>
      <c r="E3355" s="8" t="s">
        <v>12369</v>
      </c>
      <c r="G3355" s="34" t="s">
        <v>15</v>
      </c>
      <c r="H3355" s="34" t="str">
        <f>IFERROR(VLOOKUP(Table2[[#This Row], [Ticket]],Okey!A:B,2,0),"")</f>
        <v>ok</v>
      </c>
      <c r="I3355" s="34" t="s">
        <v>8539</v>
      </c>
      <c r="J3355" s="34" t="e">
        <f>VLOOKUP(Table2[[#This Row],[Author]],People!A:B,2,0)</f>
        <v>#N/A</v>
      </c>
      <c r="K3355" s="34"/>
      <c r="L3355" s="34"/>
      <c r="M3355" s="34" t="s">
        <v>12335</v>
      </c>
    </row>
    <row r="3356" spans="1:13" hidden="1">
      <c r="A3356" s="40">
        <f t="shared" si="56"/>
        <v>3355</v>
      </c>
      <c r="B3356" s="34" t="s">
        <v>8</v>
      </c>
      <c r="C3356" s="34" t="s">
        <v>12381</v>
      </c>
      <c r="D3356" s="8" t="s">
        <v>802</v>
      </c>
      <c r="E3356" s="8" t="s">
        <v>12370</v>
      </c>
      <c r="G3356" s="34" t="s">
        <v>15</v>
      </c>
      <c r="H3356" s="34" t="str">
        <f>IFERROR(VLOOKUP(Table2[[#This Row], [Ticket]],Okey!A:B,2,0),"")</f>
        <v>ok</v>
      </c>
      <c r="I3356" s="34" t="s">
        <v>8539</v>
      </c>
      <c r="J3356" s="34" t="e">
        <f>VLOOKUP(Table2[[#This Row],[Author]],People!A:B,2,0)</f>
        <v>#N/A</v>
      </c>
      <c r="K3356" s="34"/>
      <c r="L3356" s="34"/>
      <c r="M3356" s="34" t="s">
        <v>12335</v>
      </c>
    </row>
    <row r="3357" spans="1:13" hidden="1">
      <c r="A3357" s="40">
        <f t="shared" si="56"/>
        <v>3356</v>
      </c>
      <c r="B3357" s="34" t="s">
        <v>8</v>
      </c>
      <c r="C3357" s="34" t="s">
        <v>12381</v>
      </c>
      <c r="D3357" s="8" t="s">
        <v>806</v>
      </c>
      <c r="E3357" s="8" t="s">
        <v>12371</v>
      </c>
      <c r="G3357" s="34" t="s">
        <v>15</v>
      </c>
      <c r="H3357" s="34" t="str">
        <f>IFERROR(VLOOKUP(Table2[[#This Row], [Ticket]],Okey!A:B,2,0),"")</f>
        <v>ok</v>
      </c>
      <c r="I3357" s="34" t="s">
        <v>8539</v>
      </c>
      <c r="J3357" s="34" t="e">
        <f>VLOOKUP(Table2[[#This Row],[Author]],People!A:B,2,0)</f>
        <v>#N/A</v>
      </c>
      <c r="K3357" s="34"/>
      <c r="L3357" s="34"/>
      <c r="M3357" s="34" t="s">
        <v>12335</v>
      </c>
    </row>
    <row r="3358" spans="1:13" hidden="1">
      <c r="A3358" s="40">
        <f t="shared" si="56"/>
        <v>3357</v>
      </c>
      <c r="B3358" s="34" t="s">
        <v>8</v>
      </c>
      <c r="C3358" s="34" t="s">
        <v>12381</v>
      </c>
      <c r="D3358" s="8" t="s">
        <v>12350</v>
      </c>
      <c r="E3358" s="8" t="s">
        <v>12372</v>
      </c>
      <c r="G3358" s="34" t="s">
        <v>15</v>
      </c>
      <c r="H3358" s="34" t="str">
        <f>IFERROR(VLOOKUP(Table2[[#This Row], [Ticket]],Okey!A:B,2,0),"")</f>
        <v>ok</v>
      </c>
      <c r="I3358" s="34" t="s">
        <v>8539</v>
      </c>
      <c r="J3358" s="34" t="e">
        <f>VLOOKUP(Table2[[#This Row],[Author]],People!A:B,2,0)</f>
        <v>#N/A</v>
      </c>
      <c r="K3358" s="34"/>
      <c r="L3358" s="34"/>
      <c r="M3358" s="34" t="s">
        <v>12335</v>
      </c>
    </row>
    <row r="3359" spans="1:13" hidden="1">
      <c r="A3359" s="40">
        <f t="shared" si="56"/>
        <v>3358</v>
      </c>
      <c r="B3359" s="34" t="s">
        <v>8</v>
      </c>
      <c r="C3359" s="34" t="s">
        <v>12381</v>
      </c>
      <c r="D3359" s="8" t="s">
        <v>12351</v>
      </c>
      <c r="E3359" s="8" t="s">
        <v>12373</v>
      </c>
      <c r="G3359" s="34" t="s">
        <v>15</v>
      </c>
      <c r="H3359" s="34" t="str">
        <f>IFERROR(VLOOKUP(Table2[[#This Row], [Ticket]],Okey!A:B,2,0),"")</f>
        <v>ok</v>
      </c>
      <c r="I3359" s="34" t="s">
        <v>8539</v>
      </c>
      <c r="J3359" s="34" t="e">
        <f>VLOOKUP(Table2[[#This Row],[Author]],People!A:B,2,0)</f>
        <v>#N/A</v>
      </c>
      <c r="K3359" s="34"/>
      <c r="L3359" s="34"/>
      <c r="M3359" s="34" t="s">
        <v>12335</v>
      </c>
    </row>
    <row r="3360" spans="1:13" hidden="1">
      <c r="A3360" s="40">
        <f t="shared" si="56"/>
        <v>3359</v>
      </c>
      <c r="B3360" s="34" t="s">
        <v>8</v>
      </c>
      <c r="C3360" s="34" t="s">
        <v>12381</v>
      </c>
      <c r="D3360" s="8" t="s">
        <v>12352</v>
      </c>
      <c r="E3360" s="8" t="s">
        <v>12374</v>
      </c>
      <c r="G3360" s="34" t="s">
        <v>15</v>
      </c>
      <c r="H3360" s="34" t="str">
        <f>IFERROR(VLOOKUP(Table2[[#This Row], [Ticket]],Okey!A:B,2,0),"")</f>
        <v>ok</v>
      </c>
      <c r="I3360" s="34" t="s">
        <v>8539</v>
      </c>
      <c r="J3360" s="34" t="e">
        <f>VLOOKUP(Table2[[#This Row],[Author]],People!A:B,2,0)</f>
        <v>#N/A</v>
      </c>
      <c r="K3360" s="34"/>
      <c r="L3360" s="34"/>
      <c r="M3360" s="34" t="s">
        <v>12335</v>
      </c>
    </row>
    <row r="3361" spans="1:13" hidden="1">
      <c r="A3361" s="40">
        <f t="shared" si="56"/>
        <v>3360</v>
      </c>
      <c r="B3361" s="34" t="s">
        <v>8</v>
      </c>
      <c r="C3361" s="34" t="s">
        <v>12381</v>
      </c>
      <c r="D3361" s="8" t="s">
        <v>12353</v>
      </c>
      <c r="E3361" s="8" t="s">
        <v>12375</v>
      </c>
      <c r="G3361" s="34" t="s">
        <v>15</v>
      </c>
      <c r="H3361" s="34" t="str">
        <f>IFERROR(VLOOKUP(Table2[[#This Row], [Ticket]],Okey!A:B,2,0),"")</f>
        <v>ok</v>
      </c>
      <c r="I3361" s="34" t="s">
        <v>12840</v>
      </c>
      <c r="J3361" s="34" t="e">
        <f>VLOOKUP(Table2[[#This Row],[Author]],People!A:B,2,0)</f>
        <v>#N/A</v>
      </c>
      <c r="K3361" s="34"/>
      <c r="L3361" s="34"/>
      <c r="M3361" s="34" t="s">
        <v>12335</v>
      </c>
    </row>
    <row r="3362" spans="1:13" hidden="1">
      <c r="A3362" s="40">
        <f t="shared" si="56"/>
        <v>3361</v>
      </c>
      <c r="B3362" s="34" t="s">
        <v>8</v>
      </c>
      <c r="C3362" s="34" t="s">
        <v>12381</v>
      </c>
      <c r="D3362" s="8" t="s">
        <v>12354</v>
      </c>
      <c r="E3362" s="8" t="s">
        <v>12376</v>
      </c>
      <c r="G3362" s="34" t="s">
        <v>15</v>
      </c>
      <c r="H3362" s="34" t="str">
        <f>IFERROR(VLOOKUP(Table2[[#This Row], [Ticket]],Okey!A:B,2,0),"")</f>
        <v>ok</v>
      </c>
      <c r="I3362" s="34" t="s">
        <v>12840</v>
      </c>
      <c r="J3362" s="34" t="e">
        <f>VLOOKUP(Table2[[#This Row],[Author]],People!A:B,2,0)</f>
        <v>#N/A</v>
      </c>
      <c r="K3362" s="34"/>
      <c r="L3362" s="34"/>
      <c r="M3362" s="34" t="s">
        <v>12335</v>
      </c>
    </row>
    <row r="3363" spans="1:13" hidden="1">
      <c r="A3363" s="40">
        <f t="shared" si="56"/>
        <v>3362</v>
      </c>
      <c r="B3363" s="34" t="s">
        <v>8</v>
      </c>
      <c r="C3363" s="34" t="s">
        <v>12381</v>
      </c>
      <c r="D3363" s="8" t="s">
        <v>12355</v>
      </c>
      <c r="E3363" s="8" t="s">
        <v>12377</v>
      </c>
      <c r="G3363" s="34" t="s">
        <v>15</v>
      </c>
      <c r="H3363" s="34" t="str">
        <f>IFERROR(VLOOKUP(Table2[[#This Row], [Ticket]],Okey!A:B,2,0),"")</f>
        <v>ok</v>
      </c>
      <c r="I3363" s="34" t="s">
        <v>12840</v>
      </c>
      <c r="J3363" s="34" t="e">
        <f>VLOOKUP(Table2[[#This Row],[Author]],People!A:B,2,0)</f>
        <v>#N/A</v>
      </c>
      <c r="K3363" s="34"/>
      <c r="L3363" s="34"/>
      <c r="M3363" s="34" t="s">
        <v>12335</v>
      </c>
    </row>
    <row r="3364" spans="1:13" hidden="1">
      <c r="A3364" s="40">
        <f t="shared" si="56"/>
        <v>3363</v>
      </c>
      <c r="B3364" s="34" t="s">
        <v>8</v>
      </c>
      <c r="C3364" s="34" t="s">
        <v>12381</v>
      </c>
      <c r="D3364" s="8" t="s">
        <v>12356</v>
      </c>
      <c r="E3364" s="8" t="s">
        <v>12378</v>
      </c>
      <c r="G3364" s="34" t="s">
        <v>15</v>
      </c>
      <c r="H3364" s="34" t="str">
        <f>IFERROR(VLOOKUP(Table2[[#This Row], [Ticket]],Okey!A:B,2,0),"")</f>
        <v>ok</v>
      </c>
      <c r="I3364" s="34" t="s">
        <v>12840</v>
      </c>
      <c r="J3364" s="34" t="e">
        <f>VLOOKUP(Table2[[#This Row],[Author]],People!A:B,2,0)</f>
        <v>#N/A</v>
      </c>
      <c r="K3364" s="34"/>
      <c r="L3364" s="34"/>
      <c r="M3364" s="34" t="s">
        <v>12335</v>
      </c>
    </row>
    <row r="3365" spans="1:13" hidden="1">
      <c r="A3365" s="40">
        <f t="shared" si="56"/>
        <v>3364</v>
      </c>
      <c r="B3365" s="34" t="s">
        <v>8</v>
      </c>
      <c r="C3365" s="34" t="s">
        <v>12381</v>
      </c>
      <c r="D3365" s="8" t="s">
        <v>12357</v>
      </c>
      <c r="E3365" s="8" t="s">
        <v>12379</v>
      </c>
      <c r="G3365" s="34" t="s">
        <v>15</v>
      </c>
      <c r="H3365" s="34" t="str">
        <f>IFERROR(VLOOKUP(Table2[[#This Row], [Ticket]],Okey!A:B,2,0),"")</f>
        <v>ok</v>
      </c>
      <c r="I3365" s="34" t="s">
        <v>12840</v>
      </c>
      <c r="J3365" s="34" t="e">
        <f>VLOOKUP(Table2[[#This Row],[Author]],People!A:B,2,0)</f>
        <v>#N/A</v>
      </c>
      <c r="K3365" s="34"/>
      <c r="L3365" s="34"/>
      <c r="M3365" s="34" t="s">
        <v>12335</v>
      </c>
    </row>
    <row r="3366" spans="1:13" hidden="1">
      <c r="A3366" s="40">
        <f t="shared" si="56"/>
        <v>3365</v>
      </c>
      <c r="B3366" s="34" t="s">
        <v>8</v>
      </c>
      <c r="C3366" s="34" t="s">
        <v>12381</v>
      </c>
      <c r="D3366" s="8" t="s">
        <v>12358</v>
      </c>
      <c r="E3366" s="8" t="s">
        <v>12380</v>
      </c>
      <c r="G3366" s="34" t="s">
        <v>15</v>
      </c>
      <c r="H3366" s="34" t="str">
        <f>IFERROR(VLOOKUP(Table2[[#This Row], [Ticket]],Okey!A:B,2,0),"")</f>
        <v>ok</v>
      </c>
      <c r="I3366" s="34" t="s">
        <v>12840</v>
      </c>
      <c r="J3366" s="34" t="e">
        <f>VLOOKUP(Table2[[#This Row],[Author]],People!A:B,2,0)</f>
        <v>#N/A</v>
      </c>
      <c r="K3366" s="34"/>
      <c r="L3366" s="34"/>
      <c r="M3366" s="34" t="s">
        <v>12335</v>
      </c>
    </row>
    <row r="3367" spans="1:13" hidden="1">
      <c r="A3367" s="40">
        <f t="shared" si="56"/>
        <v>3366</v>
      </c>
      <c r="B3367" s="34" t="s">
        <v>8</v>
      </c>
      <c r="C3367" s="8" t="s">
        <v>12382</v>
      </c>
      <c r="D3367" s="36" t="s">
        <v>6271</v>
      </c>
      <c r="E3367" s="108" t="s">
        <v>12348</v>
      </c>
      <c r="F3367" s="109" t="s">
        <v>3827</v>
      </c>
      <c r="G3367" s="8" t="s">
        <v>16</v>
      </c>
      <c r="H3367" s="34" t="str">
        <f>IFERROR(VLOOKUP(Table2[[#This Row], [Ticket]],Okey!A:B,2,0),"")</f>
        <v>ok</v>
      </c>
      <c r="I3367" s="34" t="s">
        <v>8539</v>
      </c>
      <c r="J3367" s="34" t="str">
        <f>VLOOKUP(Table2[[#This Row],[Author]],People!A:B,2,0)</f>
        <v>LS</v>
      </c>
      <c r="K3367" s="34"/>
      <c r="L3367" s="34"/>
      <c r="M3367" s="34" t="s">
        <v>6348</v>
      </c>
    </row>
    <row r="3368" spans="1:13" hidden="1">
      <c r="A3368" s="40">
        <f t="shared" si="56"/>
        <v>3367</v>
      </c>
      <c r="B3368" s="34" t="s">
        <v>8</v>
      </c>
      <c r="C3368" s="34" t="s">
        <v>12382</v>
      </c>
      <c r="D3368" s="8" t="s">
        <v>12135</v>
      </c>
      <c r="F3368" s="8" t="s">
        <v>8133</v>
      </c>
      <c r="G3368" s="8" t="s">
        <v>13</v>
      </c>
      <c r="H3368" s="34" t="str">
        <f>IFERROR(VLOOKUP(Table2[[#This Row], [Ticket]],Okey!A:B,2,0),"")</f>
        <v>ok</v>
      </c>
      <c r="I3368" s="34" t="s">
        <v>8539</v>
      </c>
      <c r="J3368" s="34" t="str">
        <f>VLOOKUP(Table2[[#This Row],[Author]],People!A:B,2,0)</f>
        <v>LS</v>
      </c>
      <c r="K3368" s="34"/>
      <c r="L3368" s="34"/>
      <c r="M3368" s="34" t="s">
        <v>6348</v>
      </c>
    </row>
    <row r="3369" spans="1:13" hidden="1">
      <c r="A3369" s="40">
        <f t="shared" si="56"/>
        <v>3368</v>
      </c>
      <c r="B3369" s="34" t="s">
        <v>8</v>
      </c>
      <c r="C3369" s="34" t="s">
        <v>12382</v>
      </c>
      <c r="D3369" s="8" t="s">
        <v>12136</v>
      </c>
      <c r="F3369" s="8" t="s">
        <v>8133</v>
      </c>
      <c r="G3369" s="34" t="s">
        <v>13</v>
      </c>
      <c r="H3369" s="34" t="str">
        <f>IFERROR(VLOOKUP(Table2[[#This Row], [Ticket]],Okey!A:B,2,0),"")</f>
        <v>ok</v>
      </c>
      <c r="I3369" s="34" t="s">
        <v>8539</v>
      </c>
      <c r="J3369" s="34" t="str">
        <f>VLOOKUP(Table2[[#This Row],[Author]],People!A:B,2,0)</f>
        <v>LS</v>
      </c>
      <c r="K3369" s="34"/>
      <c r="L3369" s="34"/>
      <c r="M3369" s="34" t="s">
        <v>6348</v>
      </c>
    </row>
    <row r="3370" spans="1:13" hidden="1">
      <c r="A3370" s="40">
        <f t="shared" si="56"/>
        <v>3369</v>
      </c>
      <c r="B3370" s="34" t="s">
        <v>8</v>
      </c>
      <c r="C3370" s="34" t="s">
        <v>12382</v>
      </c>
      <c r="D3370" s="8" t="s">
        <v>12349</v>
      </c>
      <c r="F3370" s="8" t="s">
        <v>275</v>
      </c>
      <c r="G3370" s="8" t="s">
        <v>8537</v>
      </c>
      <c r="H3370" s="34" t="str">
        <f>IFERROR(VLOOKUP(Table2[[#This Row], [Ticket]],Okey!A:B,2,0),"")</f>
        <v>ok</v>
      </c>
      <c r="I3370" s="34" t="s">
        <v>8539</v>
      </c>
      <c r="J3370" s="34" t="str">
        <f>VLOOKUP(Table2[[#This Row],[Author]],People!A:B,2,0)</f>
        <v>LS</v>
      </c>
      <c r="K3370" s="34"/>
      <c r="L3370" s="34"/>
      <c r="M3370" s="34" t="s">
        <v>6348</v>
      </c>
    </row>
    <row r="3371" spans="1:13" hidden="1">
      <c r="A3371" s="40">
        <f t="shared" si="56"/>
        <v>3370</v>
      </c>
      <c r="B3371" s="34" t="s">
        <v>8</v>
      </c>
      <c r="C3371" s="8" t="s">
        <v>12383</v>
      </c>
      <c r="D3371" s="8" t="s">
        <v>8594</v>
      </c>
      <c r="G3371" s="34" t="s">
        <v>8537</v>
      </c>
      <c r="H3371" s="34" t="str">
        <f>IFERROR(VLOOKUP(Table2[[#This Row], [Ticket]],Okey!A:B,2,0),"")</f>
        <v>ok</v>
      </c>
      <c r="I3371" s="34" t="s">
        <v>12295</v>
      </c>
      <c r="J3371" s="34" t="str">
        <f>VLOOKUP(Table2[[#This Row],[Author]],People!A:B,2,0)</f>
        <v>LS</v>
      </c>
      <c r="L3371" s="34"/>
      <c r="M3371" s="34" t="s">
        <v>12398</v>
      </c>
    </row>
    <row r="3372" spans="1:13" hidden="1">
      <c r="A3372" s="40">
        <f t="shared" si="56"/>
        <v>3371</v>
      </c>
      <c r="B3372" s="34" t="s">
        <v>8</v>
      </c>
      <c r="C3372" s="34" t="s">
        <v>12383</v>
      </c>
      <c r="D3372" s="8" t="s">
        <v>8430</v>
      </c>
      <c r="G3372" s="34" t="s">
        <v>8537</v>
      </c>
      <c r="H3372" s="34" t="str">
        <f>IFERROR(VLOOKUP(Table2[[#This Row], [Ticket]],Okey!A:B,2,0),"")</f>
        <v>ok</v>
      </c>
      <c r="I3372" s="34" t="s">
        <v>12295</v>
      </c>
      <c r="J3372" s="34" t="str">
        <f>VLOOKUP(Table2[[#This Row],[Author]],People!A:B,2,0)</f>
        <v>LS</v>
      </c>
      <c r="K3372" s="34"/>
      <c r="L3372" s="34"/>
      <c r="M3372" s="34" t="s">
        <v>12398</v>
      </c>
    </row>
    <row r="3373" spans="1:13" hidden="1">
      <c r="A3373" s="40">
        <f t="shared" si="56"/>
        <v>3372</v>
      </c>
      <c r="B3373" s="34" t="s">
        <v>8</v>
      </c>
      <c r="C3373" s="34" t="s">
        <v>12383</v>
      </c>
      <c r="D3373" s="8" t="s">
        <v>12384</v>
      </c>
      <c r="G3373" s="34" t="s">
        <v>8537</v>
      </c>
      <c r="H3373" s="34" t="str">
        <f>IFERROR(VLOOKUP(Table2[[#This Row], [Ticket]],Okey!A:B,2,0),"")</f>
        <v>ok</v>
      </c>
      <c r="I3373" s="34" t="s">
        <v>12295</v>
      </c>
      <c r="J3373" s="34" t="str">
        <f>VLOOKUP(Table2[[#This Row],[Author]],People!A:B,2,0)</f>
        <v>LS</v>
      </c>
      <c r="K3373" s="34"/>
      <c r="L3373" s="34"/>
      <c r="M3373" s="34" t="s">
        <v>12398</v>
      </c>
    </row>
    <row r="3374" spans="1:13" hidden="1">
      <c r="A3374" s="40">
        <f t="shared" si="56"/>
        <v>3373</v>
      </c>
      <c r="B3374" s="34" t="s">
        <v>8</v>
      </c>
      <c r="C3374" s="34" t="s">
        <v>12383</v>
      </c>
      <c r="D3374" s="8" t="s">
        <v>12385</v>
      </c>
      <c r="G3374" s="34" t="s">
        <v>8537</v>
      </c>
      <c r="H3374" s="34" t="str">
        <f>IFERROR(VLOOKUP(Table2[[#This Row], [Ticket]],Okey!A:B,2,0),"")</f>
        <v>ok</v>
      </c>
      <c r="I3374" s="34" t="s">
        <v>12295</v>
      </c>
      <c r="J3374" s="34" t="str">
        <f>VLOOKUP(Table2[[#This Row],[Author]],People!A:B,2,0)</f>
        <v>LS</v>
      </c>
      <c r="K3374" s="34"/>
      <c r="L3374" s="34"/>
      <c r="M3374" s="34" t="s">
        <v>12398</v>
      </c>
    </row>
    <row r="3375" spans="1:13" hidden="1">
      <c r="A3375" s="40">
        <f t="shared" si="56"/>
        <v>3374</v>
      </c>
      <c r="B3375" s="34" t="s">
        <v>8</v>
      </c>
      <c r="C3375" s="34" t="s">
        <v>12383</v>
      </c>
      <c r="D3375" s="8" t="s">
        <v>12386</v>
      </c>
      <c r="G3375" s="34" t="s">
        <v>8537</v>
      </c>
      <c r="H3375" s="34" t="str">
        <f>IFERROR(VLOOKUP(Table2[[#This Row], [Ticket]],Okey!A:B,2,0),"")</f>
        <v>ok</v>
      </c>
      <c r="I3375" s="34" t="s">
        <v>12295</v>
      </c>
      <c r="J3375" s="34" t="str">
        <f>VLOOKUP(Table2[[#This Row],[Author]],People!A:B,2,0)</f>
        <v>LS</v>
      </c>
      <c r="K3375" s="34"/>
      <c r="L3375" s="34"/>
      <c r="M3375" s="34" t="s">
        <v>12398</v>
      </c>
    </row>
    <row r="3376" spans="1:13" hidden="1">
      <c r="A3376" s="40">
        <f t="shared" si="56"/>
        <v>3375</v>
      </c>
      <c r="B3376" s="34" t="s">
        <v>8</v>
      </c>
      <c r="C3376" s="34" t="s">
        <v>12383</v>
      </c>
      <c r="D3376" s="8" t="s">
        <v>12387</v>
      </c>
      <c r="G3376" s="34" t="s">
        <v>8537</v>
      </c>
      <c r="H3376" s="34" t="str">
        <f>IFERROR(VLOOKUP(Table2[[#This Row], [Ticket]],Okey!A:B,2,0),"")</f>
        <v>ok</v>
      </c>
      <c r="I3376" s="34" t="s">
        <v>12295</v>
      </c>
      <c r="J3376" s="34" t="str">
        <f>VLOOKUP(Table2[[#This Row],[Author]],People!A:B,2,0)</f>
        <v>LS</v>
      </c>
      <c r="K3376" s="34"/>
      <c r="L3376" s="34"/>
      <c r="M3376" s="34" t="s">
        <v>12398</v>
      </c>
    </row>
    <row r="3377" spans="1:13" hidden="1">
      <c r="A3377" s="40">
        <f t="shared" si="56"/>
        <v>3376</v>
      </c>
      <c r="B3377" s="34" t="s">
        <v>8</v>
      </c>
      <c r="C3377" s="34" t="s">
        <v>12383</v>
      </c>
      <c r="D3377" s="8" t="s">
        <v>8433</v>
      </c>
      <c r="G3377" s="34" t="s">
        <v>8537</v>
      </c>
      <c r="H3377" s="34" t="str">
        <f>IFERROR(VLOOKUP(Table2[[#This Row], [Ticket]],Okey!A:B,2,0),"")</f>
        <v>ok</v>
      </c>
      <c r="I3377" s="34" t="s">
        <v>12295</v>
      </c>
      <c r="J3377" s="34" t="str">
        <f>VLOOKUP(Table2[[#This Row],[Author]],People!A:B,2,0)</f>
        <v>LS</v>
      </c>
      <c r="K3377" s="34"/>
      <c r="L3377" s="34"/>
      <c r="M3377" s="34" t="s">
        <v>12398</v>
      </c>
    </row>
    <row r="3378" spans="1:13" hidden="1">
      <c r="A3378" s="40">
        <f t="shared" si="56"/>
        <v>3377</v>
      </c>
      <c r="B3378" s="34" t="s">
        <v>8</v>
      </c>
      <c r="C3378" s="34" t="s">
        <v>12383</v>
      </c>
      <c r="D3378" s="8" t="s">
        <v>12388</v>
      </c>
      <c r="G3378" s="34" t="s">
        <v>8537</v>
      </c>
      <c r="H3378" s="34" t="str">
        <f>IFERROR(VLOOKUP(Table2[[#This Row], [Ticket]],Okey!A:B,2,0),"")</f>
        <v>ok</v>
      </c>
      <c r="I3378" s="34" t="s">
        <v>12295</v>
      </c>
      <c r="J3378" s="34" t="str">
        <f>VLOOKUP(Table2[[#This Row],[Author]],People!A:B,2,0)</f>
        <v>LS</v>
      </c>
      <c r="K3378" s="34"/>
      <c r="L3378" s="34"/>
      <c r="M3378" s="34" t="s">
        <v>12398</v>
      </c>
    </row>
    <row r="3379" spans="1:13" hidden="1">
      <c r="A3379" s="40">
        <f t="shared" si="56"/>
        <v>3378</v>
      </c>
      <c r="B3379" s="34" t="s">
        <v>8</v>
      </c>
      <c r="C3379" s="34" t="s">
        <v>12383</v>
      </c>
      <c r="D3379" s="8" t="s">
        <v>12389</v>
      </c>
      <c r="G3379" s="34" t="s">
        <v>8537</v>
      </c>
      <c r="H3379" s="34" t="str">
        <f>IFERROR(VLOOKUP(Table2[[#This Row], [Ticket]],Okey!A:B,2,0),"")</f>
        <v>ok</v>
      </c>
      <c r="I3379" s="34" t="s">
        <v>12295</v>
      </c>
      <c r="J3379" s="34" t="str">
        <f>VLOOKUP(Table2[[#This Row],[Author]],People!A:B,2,0)</f>
        <v>LS</v>
      </c>
      <c r="K3379" s="34"/>
      <c r="L3379" s="34"/>
      <c r="M3379" s="34" t="s">
        <v>12398</v>
      </c>
    </row>
    <row r="3380" spans="1:13" hidden="1">
      <c r="A3380" s="40">
        <f t="shared" si="56"/>
        <v>3379</v>
      </c>
      <c r="B3380" s="34" t="s">
        <v>8</v>
      </c>
      <c r="C3380" s="34" t="s">
        <v>12383</v>
      </c>
      <c r="D3380" s="8" t="s">
        <v>8423</v>
      </c>
      <c r="G3380" s="34" t="s">
        <v>8537</v>
      </c>
      <c r="H3380" s="34" t="str">
        <f>IFERROR(VLOOKUP(Table2[[#This Row], [Ticket]],Okey!A:B,2,0),"")</f>
        <v>ok</v>
      </c>
      <c r="I3380" s="34" t="s">
        <v>12295</v>
      </c>
      <c r="J3380" s="34" t="str">
        <f>VLOOKUP(Table2[[#This Row],[Author]],People!A:B,2,0)</f>
        <v>LS</v>
      </c>
      <c r="K3380" s="34"/>
      <c r="L3380" s="34"/>
      <c r="M3380" s="34" t="s">
        <v>12398</v>
      </c>
    </row>
    <row r="3381" spans="1:13" hidden="1">
      <c r="A3381" s="40">
        <f t="shared" si="56"/>
        <v>3380</v>
      </c>
      <c r="B3381" s="34" t="s">
        <v>8</v>
      </c>
      <c r="C3381" s="34" t="s">
        <v>12383</v>
      </c>
      <c r="D3381" s="8" t="s">
        <v>12390</v>
      </c>
      <c r="G3381" s="34" t="s">
        <v>8537</v>
      </c>
      <c r="H3381" s="34" t="str">
        <f>IFERROR(VLOOKUP(Table2[[#This Row], [Ticket]],Okey!A:B,2,0),"")</f>
        <v>ok</v>
      </c>
      <c r="I3381" s="34" t="s">
        <v>12295</v>
      </c>
      <c r="J3381" s="34" t="str">
        <f>VLOOKUP(Table2[[#This Row],[Author]],People!A:B,2,0)</f>
        <v>LS</v>
      </c>
      <c r="K3381" s="34"/>
      <c r="L3381" s="34"/>
      <c r="M3381" s="34" t="s">
        <v>12398</v>
      </c>
    </row>
    <row r="3382" spans="1:13" hidden="1">
      <c r="A3382" s="40">
        <f t="shared" si="56"/>
        <v>3381</v>
      </c>
      <c r="B3382" s="34" t="s">
        <v>8</v>
      </c>
      <c r="C3382" s="34" t="s">
        <v>12383</v>
      </c>
      <c r="D3382" s="8" t="s">
        <v>8303</v>
      </c>
      <c r="E3382" s="8" t="s">
        <v>12392</v>
      </c>
      <c r="G3382" s="8" t="s">
        <v>15</v>
      </c>
      <c r="H3382" s="34" t="str">
        <f>IFERROR(VLOOKUP(Table2[[#This Row], [Ticket]],Okey!A:B,2,0),"")</f>
        <v>ok</v>
      </c>
      <c r="I3382" s="34" t="s">
        <v>12295</v>
      </c>
      <c r="J3382" s="34" t="str">
        <f>VLOOKUP(Table2[[#This Row],[Author]],People!A:B,2,0)</f>
        <v>LS</v>
      </c>
      <c r="K3382" s="34"/>
      <c r="L3382" s="34"/>
      <c r="M3382" s="34" t="s">
        <v>12398</v>
      </c>
    </row>
    <row r="3383" spans="1:13" hidden="1">
      <c r="A3383" s="40">
        <f t="shared" si="56"/>
        <v>3382</v>
      </c>
      <c r="B3383" s="34" t="s">
        <v>8</v>
      </c>
      <c r="C3383" s="34" t="s">
        <v>12383</v>
      </c>
      <c r="D3383" s="8" t="s">
        <v>8426</v>
      </c>
      <c r="E3383" s="8" t="s">
        <v>12393</v>
      </c>
      <c r="G3383" s="34" t="s">
        <v>15</v>
      </c>
      <c r="H3383" s="34" t="str">
        <f>IFERROR(VLOOKUP(Table2[[#This Row], [Ticket]],Okey!A:B,2,0),"")</f>
        <v>ok</v>
      </c>
      <c r="I3383" s="34" t="s">
        <v>12295</v>
      </c>
      <c r="J3383" s="34" t="str">
        <f>VLOOKUP(Table2[[#This Row],[Author]],People!A:B,2,0)</f>
        <v>LS</v>
      </c>
      <c r="K3383" s="34"/>
      <c r="L3383" s="34"/>
      <c r="M3383" s="34" t="s">
        <v>12398</v>
      </c>
    </row>
    <row r="3384" spans="1:13" hidden="1">
      <c r="A3384" s="40">
        <f t="shared" si="56"/>
        <v>3383</v>
      </c>
      <c r="B3384" s="34" t="s">
        <v>8</v>
      </c>
      <c r="C3384" s="34" t="s">
        <v>12383</v>
      </c>
      <c r="D3384" s="8" t="s">
        <v>8595</v>
      </c>
      <c r="E3384" s="8" t="s">
        <v>12394</v>
      </c>
      <c r="G3384" s="34" t="s">
        <v>15</v>
      </c>
      <c r="H3384" s="34" t="str">
        <f>IFERROR(VLOOKUP(Table2[[#This Row], [Ticket]],Okey!A:B,2,0),"")</f>
        <v>ok</v>
      </c>
      <c r="I3384" s="34" t="s">
        <v>12295</v>
      </c>
      <c r="J3384" s="34" t="str">
        <f>VLOOKUP(Table2[[#This Row],[Author]],People!A:B,2,0)</f>
        <v>LS</v>
      </c>
      <c r="K3384" s="34"/>
      <c r="L3384" s="34"/>
      <c r="M3384" s="34" t="s">
        <v>12398</v>
      </c>
    </row>
    <row r="3385" spans="1:13" hidden="1">
      <c r="A3385" s="40">
        <f t="shared" si="56"/>
        <v>3384</v>
      </c>
      <c r="B3385" s="34" t="s">
        <v>8</v>
      </c>
      <c r="C3385" s="34" t="s">
        <v>12383</v>
      </c>
      <c r="D3385" s="8" t="s">
        <v>8596</v>
      </c>
      <c r="E3385" s="8" t="s">
        <v>12395</v>
      </c>
      <c r="G3385" s="34" t="s">
        <v>15</v>
      </c>
      <c r="H3385" s="34" t="str">
        <f>IFERROR(VLOOKUP(Table2[[#This Row], [Ticket]],Okey!A:B,2,0),"")</f>
        <v>ok</v>
      </c>
      <c r="I3385" s="34" t="s">
        <v>12295</v>
      </c>
      <c r="J3385" s="34" t="str">
        <f>VLOOKUP(Table2[[#This Row],[Author]],People!A:B,2,0)</f>
        <v>LS</v>
      </c>
      <c r="K3385" s="34"/>
      <c r="L3385" s="34"/>
      <c r="M3385" s="34" t="s">
        <v>12398</v>
      </c>
    </row>
    <row r="3386" spans="1:13" hidden="1">
      <c r="A3386" s="40">
        <f t="shared" si="56"/>
        <v>3385</v>
      </c>
      <c r="B3386" s="34" t="s">
        <v>8</v>
      </c>
      <c r="C3386" s="34" t="s">
        <v>12383</v>
      </c>
      <c r="D3386" s="8" t="s">
        <v>8599</v>
      </c>
      <c r="E3386" s="8" t="s">
        <v>12396</v>
      </c>
      <c r="G3386" s="34" t="s">
        <v>15</v>
      </c>
      <c r="H3386" s="34" t="str">
        <f>IFERROR(VLOOKUP(Table2[[#This Row], [Ticket]],Okey!A:B,2,0),"")</f>
        <v>ok</v>
      </c>
      <c r="I3386" s="34" t="s">
        <v>12295</v>
      </c>
      <c r="J3386" s="34" t="str">
        <f>VLOOKUP(Table2[[#This Row],[Author]],People!A:B,2,0)</f>
        <v>LS</v>
      </c>
      <c r="K3386" s="34"/>
      <c r="L3386" s="34"/>
      <c r="M3386" s="34" t="s">
        <v>12398</v>
      </c>
    </row>
    <row r="3387" spans="1:13" hidden="1">
      <c r="A3387" s="40">
        <f t="shared" si="56"/>
        <v>3386</v>
      </c>
      <c r="B3387" s="34" t="s">
        <v>8</v>
      </c>
      <c r="C3387" s="34" t="s">
        <v>12383</v>
      </c>
      <c r="D3387" s="8" t="s">
        <v>12391</v>
      </c>
      <c r="E3387" s="8" t="s">
        <v>12397</v>
      </c>
      <c r="G3387" s="34" t="s">
        <v>15</v>
      </c>
      <c r="H3387" s="34" t="str">
        <f>IFERROR(VLOOKUP(Table2[[#This Row], [Ticket]],Okey!A:B,2,0),"")</f>
        <v>ok</v>
      </c>
      <c r="I3387" s="34" t="s">
        <v>12295</v>
      </c>
      <c r="J3387" s="34" t="str">
        <f>VLOOKUP(Table2[[#This Row],[Author]],People!A:B,2,0)</f>
        <v>LS</v>
      </c>
      <c r="K3387" s="34"/>
      <c r="L3387" s="34"/>
      <c r="M3387" s="34" t="s">
        <v>12398</v>
      </c>
    </row>
    <row r="3388" spans="1:13" hidden="1">
      <c r="A3388" s="40">
        <f t="shared" si="56"/>
        <v>3387</v>
      </c>
      <c r="B3388" s="34" t="s">
        <v>8</v>
      </c>
      <c r="C3388" s="8" t="s">
        <v>12399</v>
      </c>
      <c r="D3388" s="8" t="s">
        <v>8594</v>
      </c>
      <c r="G3388" s="8" t="s">
        <v>8537</v>
      </c>
      <c r="H3388" s="34" t="str">
        <f>IFERROR(VLOOKUP(Table2[[#This Row], [Ticket]],Okey!A:B,2,0),"")</f>
        <v>ok</v>
      </c>
      <c r="I3388" s="34" t="s">
        <v>12295</v>
      </c>
      <c r="J3388" s="34" t="str">
        <f>VLOOKUP(Table2[[#This Row],[Author]],People!A:B,2,0)</f>
        <v>LS</v>
      </c>
      <c r="K3388" s="34"/>
      <c r="L3388" s="34"/>
      <c r="M3388" s="34" t="s">
        <v>12398</v>
      </c>
    </row>
    <row r="3389" spans="1:13" hidden="1">
      <c r="A3389" s="40">
        <f t="shared" si="56"/>
        <v>3388</v>
      </c>
      <c r="B3389" s="34" t="s">
        <v>8</v>
      </c>
      <c r="C3389" s="34" t="s">
        <v>12399</v>
      </c>
      <c r="D3389" s="8" t="s">
        <v>8430</v>
      </c>
      <c r="G3389" s="34" t="s">
        <v>8537</v>
      </c>
      <c r="H3389" s="34" t="str">
        <f>IFERROR(VLOOKUP(Table2[[#This Row], [Ticket]],Okey!A:B,2,0),"")</f>
        <v>ok</v>
      </c>
      <c r="I3389" s="34" t="s">
        <v>12295</v>
      </c>
      <c r="J3389" s="34" t="str">
        <f>VLOOKUP(Table2[[#This Row],[Author]],People!A:B,2,0)</f>
        <v>LS</v>
      </c>
      <c r="K3389" s="34"/>
      <c r="L3389" s="34"/>
      <c r="M3389" s="34" t="s">
        <v>12398</v>
      </c>
    </row>
    <row r="3390" spans="1:13" hidden="1">
      <c r="A3390" s="40">
        <f t="shared" ref="A3390:A3453" si="57">1+A3389</f>
        <v>3389</v>
      </c>
      <c r="B3390" s="34" t="s">
        <v>8</v>
      </c>
      <c r="C3390" s="34" t="s">
        <v>12399</v>
      </c>
      <c r="D3390" s="8" t="s">
        <v>12384</v>
      </c>
      <c r="G3390" s="34" t="s">
        <v>8537</v>
      </c>
      <c r="H3390" s="34" t="str">
        <f>IFERROR(VLOOKUP(Table2[[#This Row], [Ticket]],Okey!A:B,2,0),"")</f>
        <v>ok</v>
      </c>
      <c r="I3390" s="34" t="s">
        <v>12295</v>
      </c>
      <c r="J3390" s="34" t="str">
        <f>VLOOKUP(Table2[[#This Row],[Author]],People!A:B,2,0)</f>
        <v>LS</v>
      </c>
      <c r="K3390" s="34"/>
      <c r="L3390" s="34"/>
      <c r="M3390" s="34" t="s">
        <v>12398</v>
      </c>
    </row>
    <row r="3391" spans="1:13" hidden="1">
      <c r="A3391" s="40">
        <f t="shared" si="57"/>
        <v>3390</v>
      </c>
      <c r="B3391" s="34" t="s">
        <v>8</v>
      </c>
      <c r="C3391" s="34" t="s">
        <v>12399</v>
      </c>
      <c r="D3391" s="8" t="s">
        <v>12385</v>
      </c>
      <c r="G3391" s="34" t="s">
        <v>8537</v>
      </c>
      <c r="H3391" s="34" t="str">
        <f>IFERROR(VLOOKUP(Table2[[#This Row], [Ticket]],Okey!A:B,2,0),"")</f>
        <v>ok</v>
      </c>
      <c r="I3391" s="34" t="s">
        <v>12295</v>
      </c>
      <c r="J3391" s="34" t="str">
        <f>VLOOKUP(Table2[[#This Row],[Author]],People!A:B,2,0)</f>
        <v>LS</v>
      </c>
      <c r="K3391" s="34"/>
      <c r="L3391" s="34"/>
      <c r="M3391" s="34" t="s">
        <v>12398</v>
      </c>
    </row>
    <row r="3392" spans="1:13" hidden="1">
      <c r="A3392" s="40">
        <f t="shared" si="57"/>
        <v>3391</v>
      </c>
      <c r="B3392" s="34" t="s">
        <v>8</v>
      </c>
      <c r="C3392" s="34" t="s">
        <v>12399</v>
      </c>
      <c r="D3392" s="8" t="s">
        <v>12386</v>
      </c>
      <c r="G3392" s="34" t="s">
        <v>8537</v>
      </c>
      <c r="H3392" s="34" t="str">
        <f>IFERROR(VLOOKUP(Table2[[#This Row], [Ticket]],Okey!A:B,2,0),"")</f>
        <v>ok</v>
      </c>
      <c r="I3392" s="34" t="s">
        <v>12295</v>
      </c>
      <c r="J3392" s="34" t="str">
        <f>VLOOKUP(Table2[[#This Row],[Author]],People!A:B,2,0)</f>
        <v>LS</v>
      </c>
      <c r="K3392" s="34"/>
      <c r="L3392" s="34"/>
      <c r="M3392" s="34" t="s">
        <v>12398</v>
      </c>
    </row>
    <row r="3393" spans="1:13" hidden="1">
      <c r="A3393" s="40">
        <f t="shared" si="57"/>
        <v>3392</v>
      </c>
      <c r="B3393" s="34" t="s">
        <v>8</v>
      </c>
      <c r="C3393" s="34" t="s">
        <v>12399</v>
      </c>
      <c r="D3393" s="8" t="s">
        <v>12387</v>
      </c>
      <c r="G3393" s="34" t="s">
        <v>8537</v>
      </c>
      <c r="H3393" s="34" t="str">
        <f>IFERROR(VLOOKUP(Table2[[#This Row], [Ticket]],Okey!A:B,2,0),"")</f>
        <v>ok</v>
      </c>
      <c r="I3393" s="34" t="s">
        <v>12295</v>
      </c>
      <c r="J3393" s="34" t="str">
        <f>VLOOKUP(Table2[[#This Row],[Author]],People!A:B,2,0)</f>
        <v>LS</v>
      </c>
      <c r="K3393" s="34"/>
      <c r="L3393" s="34"/>
      <c r="M3393" s="34" t="s">
        <v>12398</v>
      </c>
    </row>
    <row r="3394" spans="1:13" hidden="1">
      <c r="A3394" s="40">
        <f t="shared" si="57"/>
        <v>3393</v>
      </c>
      <c r="B3394" s="34" t="s">
        <v>8</v>
      </c>
      <c r="C3394" s="34" t="s">
        <v>12399</v>
      </c>
      <c r="D3394" s="8" t="s">
        <v>8433</v>
      </c>
      <c r="G3394" s="34" t="s">
        <v>8537</v>
      </c>
      <c r="H3394" s="34" t="str">
        <f>IFERROR(VLOOKUP(Table2[[#This Row], [Ticket]],Okey!A:B,2,0),"")</f>
        <v>ok</v>
      </c>
      <c r="I3394" s="34" t="s">
        <v>12295</v>
      </c>
      <c r="J3394" s="34" t="str">
        <f>VLOOKUP(Table2[[#This Row],[Author]],People!A:B,2,0)</f>
        <v>LS</v>
      </c>
      <c r="K3394" s="34"/>
      <c r="L3394" s="34"/>
      <c r="M3394" s="34" t="s">
        <v>12398</v>
      </c>
    </row>
    <row r="3395" spans="1:13" hidden="1">
      <c r="A3395" s="40">
        <f t="shared" si="57"/>
        <v>3394</v>
      </c>
      <c r="B3395" s="34" t="s">
        <v>8</v>
      </c>
      <c r="C3395" s="34" t="s">
        <v>12399</v>
      </c>
      <c r="D3395" s="8" t="s">
        <v>12388</v>
      </c>
      <c r="G3395" s="34" t="s">
        <v>8537</v>
      </c>
      <c r="H3395" s="34" t="str">
        <f>IFERROR(VLOOKUP(Table2[[#This Row], [Ticket]],Okey!A:B,2,0),"")</f>
        <v>ok</v>
      </c>
      <c r="I3395" s="34" t="s">
        <v>12295</v>
      </c>
      <c r="J3395" s="34" t="str">
        <f>VLOOKUP(Table2[[#This Row],[Author]],People!A:B,2,0)</f>
        <v>LS</v>
      </c>
      <c r="K3395" s="34"/>
      <c r="L3395" s="34"/>
      <c r="M3395" s="34" t="s">
        <v>12398</v>
      </c>
    </row>
    <row r="3396" spans="1:13" hidden="1">
      <c r="A3396" s="40">
        <f t="shared" si="57"/>
        <v>3395</v>
      </c>
      <c r="B3396" s="34" t="s">
        <v>8</v>
      </c>
      <c r="C3396" s="34" t="s">
        <v>12399</v>
      </c>
      <c r="D3396" s="8" t="s">
        <v>12389</v>
      </c>
      <c r="G3396" s="34" t="s">
        <v>8537</v>
      </c>
      <c r="H3396" s="34" t="str">
        <f>IFERROR(VLOOKUP(Table2[[#This Row], [Ticket]],Okey!A:B,2,0),"")</f>
        <v>ok</v>
      </c>
      <c r="I3396" s="34" t="s">
        <v>12295</v>
      </c>
      <c r="J3396" s="34" t="str">
        <f>VLOOKUP(Table2[[#This Row],[Author]],People!A:B,2,0)</f>
        <v>LS</v>
      </c>
      <c r="K3396" s="34"/>
      <c r="L3396" s="34"/>
      <c r="M3396" s="34" t="s">
        <v>12398</v>
      </c>
    </row>
    <row r="3397" spans="1:13" hidden="1">
      <c r="A3397" s="40">
        <f t="shared" si="57"/>
        <v>3396</v>
      </c>
      <c r="B3397" s="34" t="s">
        <v>8</v>
      </c>
      <c r="C3397" s="34" t="s">
        <v>12399</v>
      </c>
      <c r="D3397" s="8" t="s">
        <v>8423</v>
      </c>
      <c r="G3397" s="34" t="s">
        <v>8537</v>
      </c>
      <c r="H3397" s="34" t="str">
        <f>IFERROR(VLOOKUP(Table2[[#This Row], [Ticket]],Okey!A:B,2,0),"")</f>
        <v>ok</v>
      </c>
      <c r="I3397" s="34" t="s">
        <v>12295</v>
      </c>
      <c r="J3397" s="34" t="str">
        <f>VLOOKUP(Table2[[#This Row],[Author]],People!A:B,2,0)</f>
        <v>LS</v>
      </c>
      <c r="K3397" s="34"/>
      <c r="L3397" s="34"/>
      <c r="M3397" s="34" t="s">
        <v>12398</v>
      </c>
    </row>
    <row r="3398" spans="1:13" hidden="1">
      <c r="A3398" s="40">
        <f t="shared" si="57"/>
        <v>3397</v>
      </c>
      <c r="B3398" s="34" t="s">
        <v>8</v>
      </c>
      <c r="C3398" s="34" t="s">
        <v>12399</v>
      </c>
      <c r="D3398" s="8" t="s">
        <v>12390</v>
      </c>
      <c r="G3398" s="34" t="s">
        <v>8537</v>
      </c>
      <c r="H3398" s="34" t="str">
        <f>IFERROR(VLOOKUP(Table2[[#This Row], [Ticket]],Okey!A:B,2,0),"")</f>
        <v>ok</v>
      </c>
      <c r="I3398" s="34" t="s">
        <v>12295</v>
      </c>
      <c r="J3398" s="34" t="str">
        <f>VLOOKUP(Table2[[#This Row],[Author]],People!A:B,2,0)</f>
        <v>LS</v>
      </c>
      <c r="K3398" s="34"/>
      <c r="L3398" s="34"/>
      <c r="M3398" s="34" t="s">
        <v>12398</v>
      </c>
    </row>
    <row r="3399" spans="1:13" hidden="1">
      <c r="A3399" s="40">
        <f t="shared" si="57"/>
        <v>3398</v>
      </c>
      <c r="B3399" s="34" t="s">
        <v>8</v>
      </c>
      <c r="C3399" s="34" t="s">
        <v>12399</v>
      </c>
      <c r="D3399" s="8" t="s">
        <v>8303</v>
      </c>
      <c r="E3399" s="8" t="s">
        <v>12392</v>
      </c>
      <c r="G3399" s="8" t="s">
        <v>15</v>
      </c>
      <c r="H3399" s="34" t="str">
        <f>IFERROR(VLOOKUP(Table2[[#This Row], [Ticket]],Okey!A:B,2,0),"")</f>
        <v>ok</v>
      </c>
      <c r="I3399" s="34" t="s">
        <v>12295</v>
      </c>
      <c r="J3399" s="34" t="str">
        <f>VLOOKUP(Table2[[#This Row],[Author]],People!A:B,2,0)</f>
        <v>LS</v>
      </c>
      <c r="K3399" s="34"/>
      <c r="L3399" s="34"/>
      <c r="M3399" s="34" t="s">
        <v>12398</v>
      </c>
    </row>
    <row r="3400" spans="1:13" hidden="1">
      <c r="A3400" s="40">
        <f t="shared" si="57"/>
        <v>3399</v>
      </c>
      <c r="B3400" s="34" t="s">
        <v>8</v>
      </c>
      <c r="C3400" s="34" t="s">
        <v>12399</v>
      </c>
      <c r="D3400" s="8" t="s">
        <v>8426</v>
      </c>
      <c r="E3400" s="8" t="s">
        <v>12393</v>
      </c>
      <c r="G3400" s="34" t="s">
        <v>15</v>
      </c>
      <c r="H3400" s="34" t="str">
        <f>IFERROR(VLOOKUP(Table2[[#This Row], [Ticket]],Okey!A:B,2,0),"")</f>
        <v>ok</v>
      </c>
      <c r="I3400" s="34" t="s">
        <v>12295</v>
      </c>
      <c r="J3400" s="34" t="str">
        <f>VLOOKUP(Table2[[#This Row],[Author]],People!A:B,2,0)</f>
        <v>LS</v>
      </c>
      <c r="K3400" s="34"/>
      <c r="L3400" s="34"/>
      <c r="M3400" s="34" t="s">
        <v>12398</v>
      </c>
    </row>
    <row r="3401" spans="1:13" hidden="1">
      <c r="A3401" s="40">
        <f t="shared" si="57"/>
        <v>3400</v>
      </c>
      <c r="B3401" s="34" t="s">
        <v>8</v>
      </c>
      <c r="C3401" s="34" t="s">
        <v>12399</v>
      </c>
      <c r="D3401" s="8" t="s">
        <v>8595</v>
      </c>
      <c r="E3401" s="8" t="s">
        <v>12394</v>
      </c>
      <c r="G3401" s="34" t="s">
        <v>15</v>
      </c>
      <c r="H3401" s="34" t="str">
        <f>IFERROR(VLOOKUP(Table2[[#This Row], [Ticket]],Okey!A:B,2,0),"")</f>
        <v>ok</v>
      </c>
      <c r="I3401" s="34" t="s">
        <v>12295</v>
      </c>
      <c r="J3401" s="34" t="str">
        <f>VLOOKUP(Table2[[#This Row],[Author]],People!A:B,2,0)</f>
        <v>LS</v>
      </c>
      <c r="K3401" s="34"/>
      <c r="L3401" s="34"/>
      <c r="M3401" s="34" t="s">
        <v>12398</v>
      </c>
    </row>
    <row r="3402" spans="1:13" hidden="1">
      <c r="A3402" s="40">
        <f t="shared" si="57"/>
        <v>3401</v>
      </c>
      <c r="B3402" s="34" t="s">
        <v>8</v>
      </c>
      <c r="C3402" s="34" t="s">
        <v>12399</v>
      </c>
      <c r="D3402" s="8" t="s">
        <v>8596</v>
      </c>
      <c r="E3402" s="8" t="s">
        <v>12395</v>
      </c>
      <c r="G3402" s="34" t="s">
        <v>15</v>
      </c>
      <c r="H3402" s="34" t="str">
        <f>IFERROR(VLOOKUP(Table2[[#This Row], [Ticket]],Okey!A:B,2,0),"")</f>
        <v>ok</v>
      </c>
      <c r="I3402" s="34" t="s">
        <v>12295</v>
      </c>
      <c r="J3402" s="34" t="str">
        <f>VLOOKUP(Table2[[#This Row],[Author]],People!A:B,2,0)</f>
        <v>LS</v>
      </c>
      <c r="K3402" s="34"/>
      <c r="L3402" s="34"/>
      <c r="M3402" s="34" t="s">
        <v>12398</v>
      </c>
    </row>
    <row r="3403" spans="1:13" hidden="1">
      <c r="A3403" s="40">
        <f t="shared" si="57"/>
        <v>3402</v>
      </c>
      <c r="B3403" s="34" t="s">
        <v>8</v>
      </c>
      <c r="C3403" s="34" t="s">
        <v>12399</v>
      </c>
      <c r="D3403" s="8" t="s">
        <v>8599</v>
      </c>
      <c r="E3403" s="8" t="s">
        <v>12396</v>
      </c>
      <c r="G3403" s="34" t="s">
        <v>15</v>
      </c>
      <c r="H3403" s="34" t="str">
        <f>IFERROR(VLOOKUP(Table2[[#This Row], [Ticket]],Okey!A:B,2,0),"")</f>
        <v>ok</v>
      </c>
      <c r="I3403" s="34" t="s">
        <v>12295</v>
      </c>
      <c r="J3403" s="34" t="str">
        <f>VLOOKUP(Table2[[#This Row],[Author]],People!A:B,2,0)</f>
        <v>LS</v>
      </c>
      <c r="K3403" s="34"/>
      <c r="L3403" s="34"/>
      <c r="M3403" s="34" t="s">
        <v>12398</v>
      </c>
    </row>
    <row r="3404" spans="1:13" hidden="1">
      <c r="A3404" s="40">
        <f t="shared" si="57"/>
        <v>3403</v>
      </c>
      <c r="B3404" s="34" t="s">
        <v>8</v>
      </c>
      <c r="C3404" s="34" t="s">
        <v>12399</v>
      </c>
      <c r="D3404" s="8" t="s">
        <v>12391</v>
      </c>
      <c r="E3404" s="8" t="s">
        <v>12397</v>
      </c>
      <c r="G3404" s="34" t="s">
        <v>15</v>
      </c>
      <c r="H3404" s="34" t="str">
        <f>IFERROR(VLOOKUP(Table2[[#This Row], [Ticket]],Okey!A:B,2,0),"")</f>
        <v>ok</v>
      </c>
      <c r="I3404" s="34" t="s">
        <v>12295</v>
      </c>
      <c r="J3404" s="34" t="str">
        <f>VLOOKUP(Table2[[#This Row],[Author]],People!A:B,2,0)</f>
        <v>LS</v>
      </c>
      <c r="K3404" s="34"/>
      <c r="L3404" s="34"/>
      <c r="M3404" s="34" t="s">
        <v>12398</v>
      </c>
    </row>
    <row r="3405" spans="1:13" hidden="1">
      <c r="A3405" s="40">
        <f t="shared" si="57"/>
        <v>3404</v>
      </c>
      <c r="B3405" s="34" t="s">
        <v>8</v>
      </c>
      <c r="C3405" s="8" t="s">
        <v>12400</v>
      </c>
      <c r="D3405" s="8" t="s">
        <v>12573</v>
      </c>
      <c r="E3405" s="8" t="s">
        <v>12401</v>
      </c>
      <c r="F3405" s="8" t="s">
        <v>1129</v>
      </c>
      <c r="G3405" s="8" t="s">
        <v>14</v>
      </c>
      <c r="H3405" s="34" t="str">
        <f>IFERROR(VLOOKUP(Table2[[#This Row], [Ticket]],Okey!A:B,2,0),"")</f>
        <v>ok</v>
      </c>
      <c r="I3405" s="34" t="s">
        <v>8539</v>
      </c>
      <c r="J3405" s="34" t="str">
        <f>VLOOKUP(Table2[[#This Row],[Author]],People!A:B,2,0)</f>
        <v>HC</v>
      </c>
      <c r="K3405" s="34"/>
      <c r="L3405" s="34"/>
      <c r="M3405" s="34" t="s">
        <v>9000</v>
      </c>
    </row>
    <row r="3406" spans="1:13" hidden="1">
      <c r="A3406" s="40">
        <f t="shared" si="57"/>
        <v>3405</v>
      </c>
      <c r="B3406" s="34" t="s">
        <v>8</v>
      </c>
      <c r="C3406" s="34" t="s">
        <v>12400</v>
      </c>
      <c r="D3406" s="8" t="s">
        <v>12574</v>
      </c>
      <c r="E3406" s="8" t="s">
        <v>12402</v>
      </c>
      <c r="F3406" s="8" t="s">
        <v>12573</v>
      </c>
      <c r="G3406" s="34" t="s">
        <v>14</v>
      </c>
      <c r="H3406" s="34" t="str">
        <f>IFERROR(VLOOKUP(Table2[[#This Row], [Ticket]],Okey!A:B,2,0),"")</f>
        <v>ok</v>
      </c>
      <c r="I3406" s="34" t="s">
        <v>8539</v>
      </c>
      <c r="J3406" s="34" t="str">
        <f>VLOOKUP(Table2[[#This Row],[Author]],People!A:B,2,0)</f>
        <v>HC</v>
      </c>
      <c r="K3406" s="34"/>
      <c r="L3406" s="34"/>
      <c r="M3406" s="34" t="s">
        <v>9000</v>
      </c>
    </row>
    <row r="3407" spans="1:13" hidden="1">
      <c r="A3407" s="40">
        <f t="shared" si="57"/>
        <v>3406</v>
      </c>
      <c r="B3407" s="34" t="s">
        <v>8</v>
      </c>
      <c r="C3407" s="34" t="s">
        <v>12400</v>
      </c>
      <c r="D3407" s="8" t="s">
        <v>12575</v>
      </c>
      <c r="E3407" s="8" t="s">
        <v>12403</v>
      </c>
      <c r="F3407" s="8" t="s">
        <v>12573</v>
      </c>
      <c r="G3407" s="34" t="s">
        <v>14</v>
      </c>
      <c r="H3407" s="34" t="str">
        <f>IFERROR(VLOOKUP(Table2[[#This Row], [Ticket]],Okey!A:B,2,0),"")</f>
        <v>ok</v>
      </c>
      <c r="I3407" s="34" t="s">
        <v>8539</v>
      </c>
      <c r="J3407" s="34" t="str">
        <f>VLOOKUP(Table2[[#This Row],[Author]],People!A:B,2,0)</f>
        <v>HC</v>
      </c>
      <c r="K3407" s="34"/>
      <c r="L3407" s="34"/>
      <c r="M3407" s="34" t="s">
        <v>9000</v>
      </c>
    </row>
    <row r="3408" spans="1:13" hidden="1">
      <c r="A3408" s="40">
        <f t="shared" si="57"/>
        <v>3407</v>
      </c>
      <c r="B3408" s="34" t="s">
        <v>8</v>
      </c>
      <c r="C3408" s="34" t="s">
        <v>12400</v>
      </c>
      <c r="D3408" s="8" t="s">
        <v>12576</v>
      </c>
      <c r="E3408" s="8" t="s">
        <v>12404</v>
      </c>
      <c r="F3408" s="8" t="s">
        <v>12573</v>
      </c>
      <c r="G3408" s="34" t="s">
        <v>14</v>
      </c>
      <c r="H3408" s="34" t="str">
        <f>IFERROR(VLOOKUP(Table2[[#This Row], [Ticket]],Okey!A:B,2,0),"")</f>
        <v>ok</v>
      </c>
      <c r="I3408" s="34" t="s">
        <v>8539</v>
      </c>
      <c r="J3408" s="34" t="str">
        <f>VLOOKUP(Table2[[#This Row],[Author]],People!A:B,2,0)</f>
        <v>HC</v>
      </c>
      <c r="K3408" s="34"/>
      <c r="L3408" s="34"/>
      <c r="M3408" s="34" t="s">
        <v>9000</v>
      </c>
    </row>
    <row r="3409" spans="1:13" hidden="1">
      <c r="A3409" s="40">
        <f t="shared" si="57"/>
        <v>3408</v>
      </c>
      <c r="B3409" s="34" t="s">
        <v>8</v>
      </c>
      <c r="C3409" s="34" t="s">
        <v>12400</v>
      </c>
      <c r="D3409" s="8" t="s">
        <v>12577</v>
      </c>
      <c r="E3409" s="8" t="s">
        <v>12405</v>
      </c>
      <c r="F3409" s="8" t="s">
        <v>12573</v>
      </c>
      <c r="G3409" s="34" t="s">
        <v>14</v>
      </c>
      <c r="H3409" s="34" t="str">
        <f>IFERROR(VLOOKUP(Table2[[#This Row], [Ticket]],Okey!A:B,2,0),"")</f>
        <v>ok</v>
      </c>
      <c r="I3409" s="34" t="s">
        <v>8539</v>
      </c>
      <c r="J3409" s="34" t="str">
        <f>VLOOKUP(Table2[[#This Row],[Author]],People!A:B,2,0)</f>
        <v>HC</v>
      </c>
      <c r="K3409" s="34"/>
      <c r="L3409" s="34"/>
      <c r="M3409" s="34" t="s">
        <v>9000</v>
      </c>
    </row>
    <row r="3410" spans="1:13" hidden="1">
      <c r="A3410" s="40">
        <f t="shared" si="57"/>
        <v>3409</v>
      </c>
      <c r="B3410" s="34" t="s">
        <v>8</v>
      </c>
      <c r="C3410" s="34" t="s">
        <v>12400</v>
      </c>
      <c r="D3410" s="8" t="s">
        <v>12578</v>
      </c>
      <c r="E3410" s="8" t="s">
        <v>12406</v>
      </c>
      <c r="F3410" s="8" t="s">
        <v>12573</v>
      </c>
      <c r="G3410" s="34" t="s">
        <v>14</v>
      </c>
      <c r="H3410" s="34" t="str">
        <f>IFERROR(VLOOKUP(Table2[[#This Row], [Ticket]],Okey!A:B,2,0),"")</f>
        <v>ok</v>
      </c>
      <c r="I3410" s="34" t="s">
        <v>8539</v>
      </c>
      <c r="J3410" s="34" t="str">
        <f>VLOOKUP(Table2[[#This Row],[Author]],People!A:B,2,0)</f>
        <v>HC</v>
      </c>
      <c r="K3410" s="34"/>
      <c r="L3410" s="34"/>
      <c r="M3410" s="34" t="s">
        <v>9000</v>
      </c>
    </row>
    <row r="3411" spans="1:13" hidden="1">
      <c r="A3411" s="40">
        <f t="shared" si="57"/>
        <v>3410</v>
      </c>
      <c r="B3411" s="34" t="s">
        <v>8</v>
      </c>
      <c r="C3411" s="34" t="s">
        <v>12400</v>
      </c>
      <c r="D3411" s="8" t="s">
        <v>12579</v>
      </c>
      <c r="E3411" s="8" t="s">
        <v>12407</v>
      </c>
      <c r="F3411" s="8" t="s">
        <v>12574</v>
      </c>
      <c r="G3411" s="34" t="s">
        <v>14</v>
      </c>
      <c r="H3411" s="34" t="str">
        <f>IFERROR(VLOOKUP(Table2[[#This Row], [Ticket]],Okey!A:B,2,0),"")</f>
        <v>ok</v>
      </c>
      <c r="I3411" s="34" t="s">
        <v>8539</v>
      </c>
      <c r="J3411" s="34" t="str">
        <f>VLOOKUP(Table2[[#This Row],[Author]],People!A:B,2,0)</f>
        <v>HC</v>
      </c>
      <c r="K3411" s="34"/>
      <c r="L3411" s="34"/>
      <c r="M3411" s="34" t="s">
        <v>9000</v>
      </c>
    </row>
    <row r="3412" spans="1:13" hidden="1">
      <c r="A3412" s="40">
        <f t="shared" si="57"/>
        <v>3411</v>
      </c>
      <c r="B3412" s="34" t="s">
        <v>8</v>
      </c>
      <c r="C3412" s="34" t="s">
        <v>12400</v>
      </c>
      <c r="D3412" s="8" t="s">
        <v>12580</v>
      </c>
      <c r="E3412" s="8" t="s">
        <v>12408</v>
      </c>
      <c r="F3412" s="8" t="s">
        <v>12575</v>
      </c>
      <c r="G3412" s="34" t="s">
        <v>14</v>
      </c>
      <c r="H3412" s="34" t="str">
        <f>IFERROR(VLOOKUP(Table2[[#This Row], [Ticket]],Okey!A:B,2,0),"")</f>
        <v>ok</v>
      </c>
      <c r="I3412" s="34" t="s">
        <v>8539</v>
      </c>
      <c r="J3412" s="34" t="str">
        <f>VLOOKUP(Table2[[#This Row],[Author]],People!A:B,2,0)</f>
        <v>HC</v>
      </c>
      <c r="K3412" s="34"/>
      <c r="L3412" s="34"/>
      <c r="M3412" s="34" t="s">
        <v>9000</v>
      </c>
    </row>
    <row r="3413" spans="1:13" hidden="1">
      <c r="A3413" s="40">
        <f t="shared" si="57"/>
        <v>3412</v>
      </c>
      <c r="B3413" s="34" t="s">
        <v>8</v>
      </c>
      <c r="C3413" s="34" t="s">
        <v>12400</v>
      </c>
      <c r="D3413" s="8" t="s">
        <v>12581</v>
      </c>
      <c r="E3413" s="8" t="s">
        <v>12409</v>
      </c>
      <c r="F3413" s="8" t="s">
        <v>12575</v>
      </c>
      <c r="G3413" s="34" t="s">
        <v>14</v>
      </c>
      <c r="H3413" s="34" t="str">
        <f>IFERROR(VLOOKUP(Table2[[#This Row], [Ticket]],Okey!A:B,2,0),"")</f>
        <v>ok</v>
      </c>
      <c r="I3413" s="34" t="s">
        <v>8539</v>
      </c>
      <c r="J3413" s="34" t="str">
        <f>VLOOKUP(Table2[[#This Row],[Author]],People!A:B,2,0)</f>
        <v>HC</v>
      </c>
      <c r="K3413" s="34"/>
      <c r="L3413" s="34"/>
      <c r="M3413" s="34" t="s">
        <v>9000</v>
      </c>
    </row>
    <row r="3414" spans="1:13" hidden="1">
      <c r="A3414" s="40">
        <f t="shared" si="57"/>
        <v>3413</v>
      </c>
      <c r="B3414" s="34" t="s">
        <v>8</v>
      </c>
      <c r="C3414" s="34" t="s">
        <v>12400</v>
      </c>
      <c r="D3414" s="8" t="s">
        <v>12582</v>
      </c>
      <c r="E3414" s="8" t="s">
        <v>12410</v>
      </c>
      <c r="F3414" s="8" t="s">
        <v>12575</v>
      </c>
      <c r="G3414" s="34" t="s">
        <v>14</v>
      </c>
      <c r="H3414" s="34" t="str">
        <f>IFERROR(VLOOKUP(Table2[[#This Row], [Ticket]],Okey!A:B,2,0),"")</f>
        <v>ok</v>
      </c>
      <c r="I3414" s="34" t="s">
        <v>8539</v>
      </c>
      <c r="J3414" s="34" t="str">
        <f>VLOOKUP(Table2[[#This Row],[Author]],People!A:B,2,0)</f>
        <v>HC</v>
      </c>
      <c r="K3414" s="34"/>
      <c r="L3414" s="34"/>
      <c r="M3414" s="34" t="s">
        <v>9000</v>
      </c>
    </row>
    <row r="3415" spans="1:13" hidden="1">
      <c r="A3415" s="40">
        <f t="shared" si="57"/>
        <v>3414</v>
      </c>
      <c r="B3415" s="34" t="s">
        <v>8</v>
      </c>
      <c r="C3415" s="34" t="s">
        <v>12400</v>
      </c>
      <c r="D3415" s="8" t="s">
        <v>12583</v>
      </c>
      <c r="E3415" s="8" t="s">
        <v>12411</v>
      </c>
      <c r="F3415" s="8" t="s">
        <v>12576</v>
      </c>
      <c r="G3415" s="34" t="s">
        <v>14</v>
      </c>
      <c r="H3415" s="34" t="str">
        <f>IFERROR(VLOOKUP(Table2[[#This Row], [Ticket]],Okey!A:B,2,0),"")</f>
        <v>ok</v>
      </c>
      <c r="I3415" s="34" t="s">
        <v>8539</v>
      </c>
      <c r="J3415" s="34" t="str">
        <f>VLOOKUP(Table2[[#This Row],[Author]],People!A:B,2,0)</f>
        <v>HC</v>
      </c>
      <c r="K3415" s="34"/>
      <c r="L3415" s="34"/>
      <c r="M3415" s="34" t="s">
        <v>9000</v>
      </c>
    </row>
    <row r="3416" spans="1:13" hidden="1">
      <c r="A3416" s="40">
        <f t="shared" si="57"/>
        <v>3415</v>
      </c>
      <c r="B3416" s="34" t="s">
        <v>8</v>
      </c>
      <c r="C3416" s="34" t="s">
        <v>12400</v>
      </c>
      <c r="D3416" s="8" t="s">
        <v>12584</v>
      </c>
      <c r="E3416" s="8" t="s">
        <v>12412</v>
      </c>
      <c r="F3416" s="8" t="s">
        <v>12576</v>
      </c>
      <c r="G3416" s="34" t="s">
        <v>14</v>
      </c>
      <c r="H3416" s="34" t="str">
        <f>IFERROR(VLOOKUP(Table2[[#This Row], [Ticket]],Okey!A:B,2,0),"")</f>
        <v>ok</v>
      </c>
      <c r="I3416" s="34" t="s">
        <v>8539</v>
      </c>
      <c r="J3416" s="34" t="str">
        <f>VLOOKUP(Table2[[#This Row],[Author]],People!A:B,2,0)</f>
        <v>HC</v>
      </c>
      <c r="K3416" s="34"/>
      <c r="L3416" s="34"/>
      <c r="M3416" s="34" t="s">
        <v>9000</v>
      </c>
    </row>
    <row r="3417" spans="1:13" hidden="1">
      <c r="A3417" s="40">
        <f t="shared" si="57"/>
        <v>3416</v>
      </c>
      <c r="B3417" s="34" t="s">
        <v>8</v>
      </c>
      <c r="C3417" s="34" t="s">
        <v>12400</v>
      </c>
      <c r="D3417" s="8" t="s">
        <v>12585</v>
      </c>
      <c r="E3417" s="8" t="s">
        <v>12413</v>
      </c>
      <c r="F3417" s="8" t="s">
        <v>12577</v>
      </c>
      <c r="G3417" s="34" t="s">
        <v>14</v>
      </c>
      <c r="H3417" s="34" t="str">
        <f>IFERROR(VLOOKUP(Table2[[#This Row], [Ticket]],Okey!A:B,2,0),"")</f>
        <v>ok</v>
      </c>
      <c r="I3417" s="34" t="s">
        <v>8539</v>
      </c>
      <c r="J3417" s="34" t="str">
        <f>VLOOKUP(Table2[[#This Row],[Author]],People!A:B,2,0)</f>
        <v>HC</v>
      </c>
      <c r="K3417" s="34"/>
      <c r="L3417" s="34"/>
      <c r="M3417" s="34" t="s">
        <v>9000</v>
      </c>
    </row>
    <row r="3418" spans="1:13" hidden="1">
      <c r="A3418" s="40">
        <f t="shared" si="57"/>
        <v>3417</v>
      </c>
      <c r="B3418" s="34" t="s">
        <v>8</v>
      </c>
      <c r="C3418" s="34" t="s">
        <v>12400</v>
      </c>
      <c r="D3418" s="8" t="s">
        <v>12586</v>
      </c>
      <c r="E3418" s="8" t="s">
        <v>12414</v>
      </c>
      <c r="F3418" s="8" t="s">
        <v>12577</v>
      </c>
      <c r="G3418" s="34" t="s">
        <v>14</v>
      </c>
      <c r="H3418" s="34" t="str">
        <f>IFERROR(VLOOKUP(Table2[[#This Row], [Ticket]],Okey!A:B,2,0),"")</f>
        <v>ok</v>
      </c>
      <c r="I3418" s="34" t="s">
        <v>8539</v>
      </c>
      <c r="J3418" s="34" t="str">
        <f>VLOOKUP(Table2[[#This Row],[Author]],People!A:B,2,0)</f>
        <v>HC</v>
      </c>
      <c r="K3418" s="34"/>
      <c r="L3418" s="34"/>
      <c r="M3418" s="34" t="s">
        <v>9000</v>
      </c>
    </row>
    <row r="3419" spans="1:13" hidden="1">
      <c r="A3419" s="40">
        <f t="shared" si="57"/>
        <v>3418</v>
      </c>
      <c r="B3419" s="34" t="s">
        <v>8</v>
      </c>
      <c r="C3419" s="34" t="s">
        <v>12400</v>
      </c>
      <c r="D3419" s="8" t="s">
        <v>12587</v>
      </c>
      <c r="E3419" s="8" t="s">
        <v>12415</v>
      </c>
      <c r="F3419" s="8" t="s">
        <v>12579</v>
      </c>
      <c r="G3419" s="34" t="s">
        <v>14</v>
      </c>
      <c r="H3419" s="34" t="str">
        <f>IFERROR(VLOOKUP(Table2[[#This Row], [Ticket]],Okey!A:B,2,0),"")</f>
        <v>ok</v>
      </c>
      <c r="I3419" s="34" t="s">
        <v>8539</v>
      </c>
      <c r="J3419" s="34" t="str">
        <f>VLOOKUP(Table2[[#This Row],[Author]],People!A:B,2,0)</f>
        <v>HC</v>
      </c>
      <c r="K3419" s="34"/>
      <c r="L3419" s="34"/>
      <c r="M3419" s="34" t="s">
        <v>9000</v>
      </c>
    </row>
    <row r="3420" spans="1:13" hidden="1">
      <c r="A3420" s="40">
        <f t="shared" si="57"/>
        <v>3419</v>
      </c>
      <c r="B3420" s="34" t="s">
        <v>8</v>
      </c>
      <c r="C3420" s="34" t="s">
        <v>12400</v>
      </c>
      <c r="D3420" s="8" t="s">
        <v>12588</v>
      </c>
      <c r="E3420" s="8" t="s">
        <v>12416</v>
      </c>
      <c r="F3420" s="8" t="s">
        <v>12587</v>
      </c>
      <c r="G3420" s="34" t="s">
        <v>14</v>
      </c>
      <c r="H3420" s="34" t="str">
        <f>IFERROR(VLOOKUP(Table2[[#This Row], [Ticket]],Okey!A:B,2,0),"")</f>
        <v>ok</v>
      </c>
      <c r="I3420" s="34" t="s">
        <v>8539</v>
      </c>
      <c r="J3420" s="34" t="str">
        <f>VLOOKUP(Table2[[#This Row],[Author]],People!A:B,2,0)</f>
        <v>HC</v>
      </c>
      <c r="K3420" s="34"/>
      <c r="L3420" s="34"/>
      <c r="M3420" s="34" t="s">
        <v>9000</v>
      </c>
    </row>
    <row r="3421" spans="1:13" hidden="1">
      <c r="A3421" s="40">
        <f t="shared" si="57"/>
        <v>3420</v>
      </c>
      <c r="B3421" s="34" t="s">
        <v>8</v>
      </c>
      <c r="C3421" s="34" t="s">
        <v>12400</v>
      </c>
      <c r="D3421" s="8" t="s">
        <v>12589</v>
      </c>
      <c r="E3421" s="8" t="s">
        <v>12417</v>
      </c>
      <c r="F3421" s="8" t="s">
        <v>12587</v>
      </c>
      <c r="G3421" s="34" t="s">
        <v>14</v>
      </c>
      <c r="H3421" s="34" t="str">
        <f>IFERROR(VLOOKUP(Table2[[#This Row], [Ticket]],Okey!A:B,2,0),"")</f>
        <v>ok</v>
      </c>
      <c r="I3421" s="34" t="s">
        <v>8539</v>
      </c>
      <c r="J3421" s="34" t="str">
        <f>VLOOKUP(Table2[[#This Row],[Author]],People!A:B,2,0)</f>
        <v>HC</v>
      </c>
      <c r="K3421" s="34"/>
      <c r="L3421" s="34"/>
      <c r="M3421" s="34" t="s">
        <v>9000</v>
      </c>
    </row>
    <row r="3422" spans="1:13" hidden="1">
      <c r="A3422" s="40">
        <f t="shared" si="57"/>
        <v>3421</v>
      </c>
      <c r="B3422" s="34" t="s">
        <v>8</v>
      </c>
      <c r="C3422" s="34" t="s">
        <v>12400</v>
      </c>
      <c r="D3422" s="8" t="s">
        <v>12590</v>
      </c>
      <c r="E3422" s="8" t="s">
        <v>12418</v>
      </c>
      <c r="F3422" s="8" t="s">
        <v>12587</v>
      </c>
      <c r="G3422" s="34" t="s">
        <v>14</v>
      </c>
      <c r="H3422" s="34" t="str">
        <f>IFERROR(VLOOKUP(Table2[[#This Row], [Ticket]],Okey!A:B,2,0),"")</f>
        <v>ok</v>
      </c>
      <c r="I3422" s="34" t="s">
        <v>8539</v>
      </c>
      <c r="J3422" s="34" t="str">
        <f>VLOOKUP(Table2[[#This Row],[Author]],People!A:B,2,0)</f>
        <v>HC</v>
      </c>
      <c r="K3422" s="34"/>
      <c r="L3422" s="34"/>
      <c r="M3422" s="34" t="s">
        <v>9000</v>
      </c>
    </row>
    <row r="3423" spans="1:13" hidden="1">
      <c r="A3423" s="40">
        <f t="shared" si="57"/>
        <v>3422</v>
      </c>
      <c r="B3423" s="34" t="s">
        <v>8</v>
      </c>
      <c r="C3423" s="34" t="s">
        <v>12400</v>
      </c>
      <c r="D3423" s="8" t="s">
        <v>12591</v>
      </c>
      <c r="E3423" s="8" t="s">
        <v>12419</v>
      </c>
      <c r="F3423" s="8" t="s">
        <v>12587</v>
      </c>
      <c r="G3423" s="34" t="s">
        <v>14</v>
      </c>
      <c r="H3423" s="34" t="str">
        <f>IFERROR(VLOOKUP(Table2[[#This Row], [Ticket]],Okey!A:B,2,0),"")</f>
        <v>ok</v>
      </c>
      <c r="I3423" s="34" t="s">
        <v>8539</v>
      </c>
      <c r="J3423" s="34" t="str">
        <f>VLOOKUP(Table2[[#This Row],[Author]],People!A:B,2,0)</f>
        <v>HC</v>
      </c>
      <c r="K3423" s="34"/>
      <c r="L3423" s="34"/>
      <c r="M3423" s="34" t="s">
        <v>9000</v>
      </c>
    </row>
    <row r="3424" spans="1:13" hidden="1">
      <c r="A3424" s="40">
        <f t="shared" si="57"/>
        <v>3423</v>
      </c>
      <c r="B3424" s="34" t="s">
        <v>8</v>
      </c>
      <c r="C3424" s="34" t="s">
        <v>12400</v>
      </c>
      <c r="D3424" s="8" t="s">
        <v>12592</v>
      </c>
      <c r="E3424" s="8" t="s">
        <v>12420</v>
      </c>
      <c r="F3424" s="8" t="s">
        <v>1129</v>
      </c>
      <c r="G3424" s="34" t="s">
        <v>14</v>
      </c>
      <c r="H3424" s="34" t="str">
        <f>IFERROR(VLOOKUP(Table2[[#This Row], [Ticket]],Okey!A:B,2,0),"")</f>
        <v>ok</v>
      </c>
      <c r="I3424" s="34" t="s">
        <v>8539</v>
      </c>
      <c r="J3424" s="34" t="str">
        <f>VLOOKUP(Table2[[#This Row],[Author]],People!A:B,2,0)</f>
        <v>HC</v>
      </c>
      <c r="K3424" s="34"/>
      <c r="L3424" s="34"/>
      <c r="M3424" s="34" t="s">
        <v>9000</v>
      </c>
    </row>
    <row r="3425" spans="1:13" hidden="1">
      <c r="A3425" s="40">
        <f t="shared" si="57"/>
        <v>3424</v>
      </c>
      <c r="B3425" s="34" t="s">
        <v>8</v>
      </c>
      <c r="C3425" s="34" t="s">
        <v>12400</v>
      </c>
      <c r="D3425" s="8" t="s">
        <v>12593</v>
      </c>
      <c r="E3425" s="8" t="s">
        <v>12421</v>
      </c>
      <c r="F3425" s="8" t="s">
        <v>1127</v>
      </c>
      <c r="G3425" s="34" t="s">
        <v>14</v>
      </c>
      <c r="H3425" s="34" t="str">
        <f>IFERROR(VLOOKUP(Table2[[#This Row], [Ticket]],Okey!A:B,2,0),"")</f>
        <v>ok</v>
      </c>
      <c r="I3425" s="34" t="s">
        <v>8539</v>
      </c>
      <c r="J3425" s="34" t="str">
        <f>VLOOKUP(Table2[[#This Row],[Author]],People!A:B,2,0)</f>
        <v>HC</v>
      </c>
      <c r="K3425" s="34"/>
      <c r="L3425" s="34"/>
      <c r="M3425" s="34" t="s">
        <v>9000</v>
      </c>
    </row>
    <row r="3426" spans="1:13" hidden="1">
      <c r="A3426" s="40">
        <f t="shared" si="57"/>
        <v>3425</v>
      </c>
      <c r="B3426" s="34" t="s">
        <v>8</v>
      </c>
      <c r="C3426" s="34" t="s">
        <v>12400</v>
      </c>
      <c r="D3426" s="8" t="s">
        <v>12594</v>
      </c>
      <c r="E3426" s="8" t="s">
        <v>12422</v>
      </c>
      <c r="F3426" s="8" t="s">
        <v>12593</v>
      </c>
      <c r="G3426" s="34" t="s">
        <v>14</v>
      </c>
      <c r="H3426" s="34" t="str">
        <f>IFERROR(VLOOKUP(Table2[[#This Row], [Ticket]],Okey!A:B,2,0),"")</f>
        <v>ok</v>
      </c>
      <c r="I3426" s="34" t="s">
        <v>8539</v>
      </c>
      <c r="J3426" s="34" t="str">
        <f>VLOOKUP(Table2[[#This Row],[Author]],People!A:B,2,0)</f>
        <v>HC</v>
      </c>
      <c r="K3426" s="34"/>
      <c r="L3426" s="34"/>
      <c r="M3426" s="34" t="s">
        <v>9000</v>
      </c>
    </row>
    <row r="3427" spans="1:13" hidden="1">
      <c r="A3427" s="40">
        <f t="shared" si="57"/>
        <v>3426</v>
      </c>
      <c r="B3427" s="34" t="s">
        <v>8</v>
      </c>
      <c r="C3427" s="34" t="s">
        <v>12400</v>
      </c>
      <c r="D3427" s="8" t="s">
        <v>12595</v>
      </c>
      <c r="E3427" s="8" t="s">
        <v>12423</v>
      </c>
      <c r="F3427" s="8" t="s">
        <v>12593</v>
      </c>
      <c r="G3427" s="34" t="s">
        <v>14</v>
      </c>
      <c r="H3427" s="34" t="str">
        <f>IFERROR(VLOOKUP(Table2[[#This Row], [Ticket]],Okey!A:B,2,0),"")</f>
        <v>ok</v>
      </c>
      <c r="I3427" s="34" t="s">
        <v>8539</v>
      </c>
      <c r="J3427" s="34" t="str">
        <f>VLOOKUP(Table2[[#This Row],[Author]],People!A:B,2,0)</f>
        <v>HC</v>
      </c>
      <c r="K3427" s="34"/>
      <c r="L3427" s="34"/>
      <c r="M3427" s="34" t="s">
        <v>9000</v>
      </c>
    </row>
    <row r="3428" spans="1:13" hidden="1">
      <c r="A3428" s="40">
        <f t="shared" si="57"/>
        <v>3427</v>
      </c>
      <c r="B3428" s="34" t="s">
        <v>8</v>
      </c>
      <c r="C3428" s="34" t="s">
        <v>12400</v>
      </c>
      <c r="D3428" s="8" t="s">
        <v>12596</v>
      </c>
      <c r="E3428" s="8" t="s">
        <v>12424</v>
      </c>
      <c r="F3428" s="8" t="s">
        <v>12593</v>
      </c>
      <c r="G3428" s="34" t="s">
        <v>14</v>
      </c>
      <c r="H3428" s="34" t="str">
        <f>IFERROR(VLOOKUP(Table2[[#This Row], [Ticket]],Okey!A:B,2,0),"")</f>
        <v>ok</v>
      </c>
      <c r="I3428" s="34" t="s">
        <v>8539</v>
      </c>
      <c r="J3428" s="34" t="str">
        <f>VLOOKUP(Table2[[#This Row],[Author]],People!A:B,2,0)</f>
        <v>HC</v>
      </c>
      <c r="K3428" s="34"/>
      <c r="L3428" s="34"/>
      <c r="M3428" s="34" t="s">
        <v>9000</v>
      </c>
    </row>
    <row r="3429" spans="1:13" hidden="1">
      <c r="A3429" s="40">
        <f t="shared" si="57"/>
        <v>3428</v>
      </c>
      <c r="B3429" s="34" t="s">
        <v>8</v>
      </c>
      <c r="C3429" s="34" t="s">
        <v>12400</v>
      </c>
      <c r="D3429" s="8" t="s">
        <v>12597</v>
      </c>
      <c r="E3429" s="8" t="s">
        <v>12425</v>
      </c>
      <c r="F3429" s="8" t="s">
        <v>12593</v>
      </c>
      <c r="G3429" s="34" t="s">
        <v>14</v>
      </c>
      <c r="H3429" s="34" t="str">
        <f>IFERROR(VLOOKUP(Table2[[#This Row], [Ticket]],Okey!A:B,2,0),"")</f>
        <v>ok</v>
      </c>
      <c r="I3429" s="34" t="s">
        <v>8539</v>
      </c>
      <c r="J3429" s="34" t="str">
        <f>VLOOKUP(Table2[[#This Row],[Author]],People!A:B,2,0)</f>
        <v>HC</v>
      </c>
      <c r="K3429" s="34"/>
      <c r="L3429" s="34"/>
      <c r="M3429" s="34" t="s">
        <v>9000</v>
      </c>
    </row>
    <row r="3430" spans="1:13" hidden="1">
      <c r="A3430" s="40">
        <f t="shared" si="57"/>
        <v>3429</v>
      </c>
      <c r="B3430" s="34" t="s">
        <v>8</v>
      </c>
      <c r="C3430" s="34" t="s">
        <v>12400</v>
      </c>
      <c r="D3430" s="8" t="s">
        <v>12598</v>
      </c>
      <c r="E3430" s="8" t="s">
        <v>12426</v>
      </c>
      <c r="F3430" s="8" t="s">
        <v>12593</v>
      </c>
      <c r="G3430" s="34" t="s">
        <v>14</v>
      </c>
      <c r="H3430" s="34" t="str">
        <f>IFERROR(VLOOKUP(Table2[[#This Row], [Ticket]],Okey!A:B,2,0),"")</f>
        <v>ok</v>
      </c>
      <c r="I3430" s="34" t="s">
        <v>8539</v>
      </c>
      <c r="J3430" s="34" t="str">
        <f>VLOOKUP(Table2[[#This Row],[Author]],People!A:B,2,0)</f>
        <v>HC</v>
      </c>
      <c r="K3430" s="34"/>
      <c r="L3430" s="34"/>
      <c r="M3430" s="34" t="s">
        <v>9000</v>
      </c>
    </row>
    <row r="3431" spans="1:13" hidden="1">
      <c r="A3431" s="40">
        <f t="shared" si="57"/>
        <v>3430</v>
      </c>
      <c r="B3431" s="34" t="s">
        <v>8</v>
      </c>
      <c r="C3431" s="34" t="s">
        <v>12400</v>
      </c>
      <c r="D3431" s="8" t="s">
        <v>12599</v>
      </c>
      <c r="E3431" s="8" t="s">
        <v>12427</v>
      </c>
      <c r="F3431" s="8" t="s">
        <v>12594</v>
      </c>
      <c r="G3431" s="34" t="s">
        <v>14</v>
      </c>
      <c r="H3431" s="34" t="str">
        <f>IFERROR(VLOOKUP(Table2[[#This Row], [Ticket]],Okey!A:B,2,0),"")</f>
        <v>ok</v>
      </c>
      <c r="I3431" s="34" t="s">
        <v>8539</v>
      </c>
      <c r="J3431" s="34" t="str">
        <f>VLOOKUP(Table2[[#This Row],[Author]],People!A:B,2,0)</f>
        <v>HC</v>
      </c>
      <c r="K3431" s="34"/>
      <c r="L3431" s="34"/>
      <c r="M3431" s="34" t="s">
        <v>9000</v>
      </c>
    </row>
    <row r="3432" spans="1:13" hidden="1">
      <c r="A3432" s="40">
        <f t="shared" si="57"/>
        <v>3431</v>
      </c>
      <c r="B3432" s="34" t="s">
        <v>8</v>
      </c>
      <c r="C3432" s="34" t="s">
        <v>12400</v>
      </c>
      <c r="D3432" s="8" t="s">
        <v>12600</v>
      </c>
      <c r="E3432" s="8" t="s">
        <v>12428</v>
      </c>
      <c r="F3432" s="8" t="s">
        <v>12594</v>
      </c>
      <c r="G3432" s="34" t="s">
        <v>14</v>
      </c>
      <c r="H3432" s="34" t="str">
        <f>IFERROR(VLOOKUP(Table2[[#This Row], [Ticket]],Okey!A:B,2,0),"")</f>
        <v>ok</v>
      </c>
      <c r="I3432" s="34" t="s">
        <v>8539</v>
      </c>
      <c r="J3432" s="34" t="str">
        <f>VLOOKUP(Table2[[#This Row],[Author]],People!A:B,2,0)</f>
        <v>HC</v>
      </c>
      <c r="K3432" s="34"/>
      <c r="L3432" s="34"/>
      <c r="M3432" s="34" t="s">
        <v>9000</v>
      </c>
    </row>
    <row r="3433" spans="1:13" hidden="1">
      <c r="A3433" s="40">
        <f t="shared" si="57"/>
        <v>3432</v>
      </c>
      <c r="B3433" s="34" t="s">
        <v>8</v>
      </c>
      <c r="C3433" s="34" t="s">
        <v>12400</v>
      </c>
      <c r="D3433" s="8" t="s">
        <v>12601</v>
      </c>
      <c r="E3433" s="8" t="s">
        <v>12429</v>
      </c>
      <c r="F3433" s="8" t="s">
        <v>12595</v>
      </c>
      <c r="G3433" s="34" t="s">
        <v>14</v>
      </c>
      <c r="H3433" s="34" t="str">
        <f>IFERROR(VLOOKUP(Table2[[#This Row], [Ticket]],Okey!A:B,2,0),"")</f>
        <v>ok</v>
      </c>
      <c r="I3433" s="34" t="s">
        <v>8539</v>
      </c>
      <c r="J3433" s="34" t="str">
        <f>VLOOKUP(Table2[[#This Row],[Author]],People!A:B,2,0)</f>
        <v>HC</v>
      </c>
      <c r="K3433" s="34"/>
      <c r="L3433" s="34"/>
      <c r="M3433" s="34" t="s">
        <v>9000</v>
      </c>
    </row>
    <row r="3434" spans="1:13" hidden="1">
      <c r="A3434" s="40">
        <f t="shared" si="57"/>
        <v>3433</v>
      </c>
      <c r="B3434" s="34" t="s">
        <v>8</v>
      </c>
      <c r="C3434" s="34" t="s">
        <v>12400</v>
      </c>
      <c r="D3434" s="8" t="s">
        <v>12602</v>
      </c>
      <c r="E3434" s="8" t="s">
        <v>12430</v>
      </c>
      <c r="F3434" s="8" t="s">
        <v>12595</v>
      </c>
      <c r="G3434" s="34" t="s">
        <v>14</v>
      </c>
      <c r="H3434" s="34" t="str">
        <f>IFERROR(VLOOKUP(Table2[[#This Row], [Ticket]],Okey!A:B,2,0),"")</f>
        <v>ok</v>
      </c>
      <c r="I3434" s="34" t="s">
        <v>8539</v>
      </c>
      <c r="J3434" s="34" t="str">
        <f>VLOOKUP(Table2[[#This Row],[Author]],People!A:B,2,0)</f>
        <v>HC</v>
      </c>
      <c r="K3434" s="34"/>
      <c r="L3434" s="34"/>
      <c r="M3434" s="34" t="s">
        <v>9000</v>
      </c>
    </row>
    <row r="3435" spans="1:13" hidden="1">
      <c r="A3435" s="40">
        <f t="shared" si="57"/>
        <v>3434</v>
      </c>
      <c r="B3435" s="34" t="s">
        <v>8</v>
      </c>
      <c r="C3435" s="34" t="s">
        <v>12400</v>
      </c>
      <c r="D3435" s="8" t="s">
        <v>12603</v>
      </c>
      <c r="E3435" s="8" t="s">
        <v>12431</v>
      </c>
      <c r="F3435" s="8" t="s">
        <v>12595</v>
      </c>
      <c r="G3435" s="34" t="s">
        <v>14</v>
      </c>
      <c r="H3435" s="34" t="str">
        <f>IFERROR(VLOOKUP(Table2[[#This Row], [Ticket]],Okey!A:B,2,0),"")</f>
        <v>ok</v>
      </c>
      <c r="I3435" s="34" t="s">
        <v>8539</v>
      </c>
      <c r="J3435" s="34" t="str">
        <f>VLOOKUP(Table2[[#This Row],[Author]],People!A:B,2,0)</f>
        <v>HC</v>
      </c>
      <c r="K3435" s="34"/>
      <c r="L3435" s="34"/>
      <c r="M3435" s="34" t="s">
        <v>9000</v>
      </c>
    </row>
    <row r="3436" spans="1:13" hidden="1">
      <c r="A3436" s="40">
        <f t="shared" si="57"/>
        <v>3435</v>
      </c>
      <c r="B3436" s="34" t="s">
        <v>8</v>
      </c>
      <c r="C3436" s="34" t="s">
        <v>12400</v>
      </c>
      <c r="D3436" s="8" t="s">
        <v>12604</v>
      </c>
      <c r="E3436" s="8" t="s">
        <v>12432</v>
      </c>
      <c r="F3436" s="8" t="s">
        <v>12596</v>
      </c>
      <c r="G3436" s="34" t="s">
        <v>14</v>
      </c>
      <c r="H3436" s="34" t="str">
        <f>IFERROR(VLOOKUP(Table2[[#This Row], [Ticket]],Okey!A:B,2,0),"")</f>
        <v>ok</v>
      </c>
      <c r="I3436" s="34" t="s">
        <v>8539</v>
      </c>
      <c r="J3436" s="34" t="str">
        <f>VLOOKUP(Table2[[#This Row],[Author]],People!A:B,2,0)</f>
        <v>HC</v>
      </c>
      <c r="K3436" s="34"/>
      <c r="L3436" s="34"/>
      <c r="M3436" s="34" t="s">
        <v>9000</v>
      </c>
    </row>
    <row r="3437" spans="1:13" hidden="1">
      <c r="A3437" s="40">
        <f t="shared" si="57"/>
        <v>3436</v>
      </c>
      <c r="B3437" s="34" t="s">
        <v>8</v>
      </c>
      <c r="C3437" s="34" t="s">
        <v>12400</v>
      </c>
      <c r="D3437" s="8" t="s">
        <v>12605</v>
      </c>
      <c r="E3437" s="8" t="s">
        <v>12433</v>
      </c>
      <c r="F3437" s="8" t="s">
        <v>12596</v>
      </c>
      <c r="G3437" s="34" t="s">
        <v>14</v>
      </c>
      <c r="H3437" s="34" t="str">
        <f>IFERROR(VLOOKUP(Table2[[#This Row], [Ticket]],Okey!A:B,2,0),"")</f>
        <v>ok</v>
      </c>
      <c r="I3437" s="34" t="s">
        <v>8539</v>
      </c>
      <c r="J3437" s="34" t="str">
        <f>VLOOKUP(Table2[[#This Row],[Author]],People!A:B,2,0)</f>
        <v>HC</v>
      </c>
      <c r="K3437" s="34"/>
      <c r="L3437" s="34"/>
      <c r="M3437" s="34" t="s">
        <v>9000</v>
      </c>
    </row>
    <row r="3438" spans="1:13" hidden="1">
      <c r="A3438" s="40">
        <f t="shared" si="57"/>
        <v>3437</v>
      </c>
      <c r="B3438" s="34" t="s">
        <v>8</v>
      </c>
      <c r="C3438" s="34" t="s">
        <v>12400</v>
      </c>
      <c r="D3438" s="8" t="s">
        <v>12606</v>
      </c>
      <c r="E3438" s="8" t="s">
        <v>12434</v>
      </c>
      <c r="F3438" s="8" t="s">
        <v>12596</v>
      </c>
      <c r="G3438" s="34" t="s">
        <v>14</v>
      </c>
      <c r="H3438" s="34" t="str">
        <f>IFERROR(VLOOKUP(Table2[[#This Row], [Ticket]],Okey!A:B,2,0),"")</f>
        <v>ok</v>
      </c>
      <c r="I3438" s="34" t="s">
        <v>8539</v>
      </c>
      <c r="J3438" s="34" t="str">
        <f>VLOOKUP(Table2[[#This Row],[Author]],People!A:B,2,0)</f>
        <v>HC</v>
      </c>
      <c r="K3438" s="34"/>
      <c r="L3438" s="34"/>
      <c r="M3438" s="34" t="s">
        <v>9000</v>
      </c>
    </row>
    <row r="3439" spans="1:13" hidden="1">
      <c r="A3439" s="40">
        <f t="shared" si="57"/>
        <v>3438</v>
      </c>
      <c r="B3439" s="34" t="s">
        <v>8</v>
      </c>
      <c r="C3439" s="34" t="s">
        <v>12400</v>
      </c>
      <c r="D3439" s="8" t="s">
        <v>12607</v>
      </c>
      <c r="E3439" s="8" t="s">
        <v>12435</v>
      </c>
      <c r="F3439" s="8" t="s">
        <v>12597</v>
      </c>
      <c r="G3439" s="34" t="s">
        <v>14</v>
      </c>
      <c r="H3439" s="34" t="str">
        <f>IFERROR(VLOOKUP(Table2[[#This Row], [Ticket]],Okey!A:B,2,0),"")</f>
        <v>ok</v>
      </c>
      <c r="I3439" s="34" t="s">
        <v>8539</v>
      </c>
      <c r="J3439" s="34" t="str">
        <f>VLOOKUP(Table2[[#This Row],[Author]],People!A:B,2,0)</f>
        <v>HC</v>
      </c>
      <c r="K3439" s="34"/>
      <c r="L3439" s="34"/>
      <c r="M3439" s="34" t="s">
        <v>9000</v>
      </c>
    </row>
    <row r="3440" spans="1:13" hidden="1">
      <c r="A3440" s="40">
        <f t="shared" si="57"/>
        <v>3439</v>
      </c>
      <c r="B3440" s="34" t="s">
        <v>8</v>
      </c>
      <c r="C3440" s="34" t="s">
        <v>12400</v>
      </c>
      <c r="D3440" s="8" t="s">
        <v>12608</v>
      </c>
      <c r="E3440" s="8" t="s">
        <v>12436</v>
      </c>
      <c r="F3440" s="8" t="s">
        <v>12597</v>
      </c>
      <c r="G3440" s="34" t="s">
        <v>14</v>
      </c>
      <c r="H3440" s="34" t="str">
        <f>IFERROR(VLOOKUP(Table2[[#This Row], [Ticket]],Okey!A:B,2,0),"")</f>
        <v>ok</v>
      </c>
      <c r="I3440" s="34" t="s">
        <v>8539</v>
      </c>
      <c r="J3440" s="34" t="str">
        <f>VLOOKUP(Table2[[#This Row],[Author]],People!A:B,2,0)</f>
        <v>HC</v>
      </c>
      <c r="K3440" s="34"/>
      <c r="L3440" s="34"/>
      <c r="M3440" s="34" t="s">
        <v>9000</v>
      </c>
    </row>
    <row r="3441" spans="1:13" hidden="1">
      <c r="A3441" s="40">
        <f t="shared" si="57"/>
        <v>3440</v>
      </c>
      <c r="B3441" s="34" t="s">
        <v>8</v>
      </c>
      <c r="C3441" s="34" t="s">
        <v>12400</v>
      </c>
      <c r="D3441" s="8" t="s">
        <v>12609</v>
      </c>
      <c r="E3441" s="8" t="s">
        <v>12437</v>
      </c>
      <c r="F3441" s="8" t="s">
        <v>12599</v>
      </c>
      <c r="G3441" s="34" t="s">
        <v>14</v>
      </c>
      <c r="H3441" s="34" t="str">
        <f>IFERROR(VLOOKUP(Table2[[#This Row], [Ticket]],Okey!A:B,2,0),"")</f>
        <v>ok</v>
      </c>
      <c r="I3441" s="34" t="s">
        <v>8539</v>
      </c>
      <c r="J3441" s="34" t="str">
        <f>VLOOKUP(Table2[[#This Row],[Author]],People!A:B,2,0)</f>
        <v>HC</v>
      </c>
      <c r="K3441" s="34"/>
      <c r="L3441" s="34"/>
      <c r="M3441" s="34" t="s">
        <v>9000</v>
      </c>
    </row>
    <row r="3442" spans="1:13" hidden="1">
      <c r="A3442" s="40">
        <f t="shared" si="57"/>
        <v>3441</v>
      </c>
      <c r="B3442" s="34" t="s">
        <v>8</v>
      </c>
      <c r="C3442" s="34" t="s">
        <v>12400</v>
      </c>
      <c r="D3442" s="8" t="s">
        <v>12610</v>
      </c>
      <c r="E3442" s="8" t="s">
        <v>12438</v>
      </c>
      <c r="F3442" s="8" t="s">
        <v>12599</v>
      </c>
      <c r="G3442" s="34" t="s">
        <v>14</v>
      </c>
      <c r="H3442" s="34" t="str">
        <f>IFERROR(VLOOKUP(Table2[[#This Row], [Ticket]],Okey!A:B,2,0),"")</f>
        <v>ok</v>
      </c>
      <c r="I3442" s="34" t="s">
        <v>8539</v>
      </c>
      <c r="J3442" s="34" t="str">
        <f>VLOOKUP(Table2[[#This Row],[Author]],People!A:B,2,0)</f>
        <v>HC</v>
      </c>
      <c r="K3442" s="34"/>
      <c r="L3442" s="34"/>
      <c r="M3442" s="34" t="s">
        <v>9000</v>
      </c>
    </row>
    <row r="3443" spans="1:13" hidden="1">
      <c r="A3443" s="40">
        <f t="shared" si="57"/>
        <v>3442</v>
      </c>
      <c r="B3443" s="34" t="s">
        <v>8</v>
      </c>
      <c r="C3443" s="34" t="s">
        <v>12400</v>
      </c>
      <c r="D3443" s="8" t="s">
        <v>12611</v>
      </c>
      <c r="E3443" s="8" t="s">
        <v>12439</v>
      </c>
      <c r="F3443" s="8" t="s">
        <v>12600</v>
      </c>
      <c r="G3443" s="34" t="s">
        <v>14</v>
      </c>
      <c r="H3443" s="34" t="str">
        <f>IFERROR(VLOOKUP(Table2[[#This Row], [Ticket]],Okey!A:B,2,0),"")</f>
        <v>ok</v>
      </c>
      <c r="I3443" s="34" t="s">
        <v>8539</v>
      </c>
      <c r="J3443" s="34" t="str">
        <f>VLOOKUP(Table2[[#This Row],[Author]],People!A:B,2,0)</f>
        <v>HC</v>
      </c>
      <c r="K3443" s="34"/>
      <c r="L3443" s="34"/>
      <c r="M3443" s="34" t="s">
        <v>9000</v>
      </c>
    </row>
    <row r="3444" spans="1:13" hidden="1">
      <c r="A3444" s="40">
        <f t="shared" si="57"/>
        <v>3443</v>
      </c>
      <c r="B3444" s="34" t="s">
        <v>8</v>
      </c>
      <c r="C3444" s="34" t="s">
        <v>12400</v>
      </c>
      <c r="D3444" s="8" t="s">
        <v>12612</v>
      </c>
      <c r="E3444" s="8" t="s">
        <v>12440</v>
      </c>
      <c r="F3444" s="8" t="s">
        <v>12609</v>
      </c>
      <c r="G3444" s="34" t="s">
        <v>14</v>
      </c>
      <c r="H3444" s="34" t="str">
        <f>IFERROR(VLOOKUP(Table2[[#This Row], [Ticket]],Okey!A:B,2,0),"")</f>
        <v>ok</v>
      </c>
      <c r="I3444" s="34" t="s">
        <v>8539</v>
      </c>
      <c r="J3444" s="34" t="str">
        <f>VLOOKUP(Table2[[#This Row],[Author]],People!A:B,2,0)</f>
        <v>HC</v>
      </c>
      <c r="K3444" s="34"/>
      <c r="L3444" s="34"/>
      <c r="M3444" s="34" t="s">
        <v>9000</v>
      </c>
    </row>
    <row r="3445" spans="1:13" hidden="1">
      <c r="A3445" s="40">
        <f t="shared" si="57"/>
        <v>3444</v>
      </c>
      <c r="B3445" s="34" t="s">
        <v>8</v>
      </c>
      <c r="C3445" s="34" t="s">
        <v>12400</v>
      </c>
      <c r="D3445" s="8" t="s">
        <v>12613</v>
      </c>
      <c r="E3445" s="8" t="s">
        <v>12441</v>
      </c>
      <c r="F3445" s="8" t="s">
        <v>12609</v>
      </c>
      <c r="G3445" s="34" t="s">
        <v>14</v>
      </c>
      <c r="H3445" s="34" t="str">
        <f>IFERROR(VLOOKUP(Table2[[#This Row], [Ticket]],Okey!A:B,2,0),"")</f>
        <v>ok</v>
      </c>
      <c r="I3445" s="34" t="s">
        <v>8539</v>
      </c>
      <c r="J3445" s="34" t="str">
        <f>VLOOKUP(Table2[[#This Row],[Author]],People!A:B,2,0)</f>
        <v>HC</v>
      </c>
      <c r="K3445" s="34"/>
      <c r="L3445" s="34"/>
      <c r="M3445" s="34" t="s">
        <v>9000</v>
      </c>
    </row>
    <row r="3446" spans="1:13" hidden="1">
      <c r="A3446" s="40">
        <f t="shared" si="57"/>
        <v>3445</v>
      </c>
      <c r="B3446" s="34" t="s">
        <v>8</v>
      </c>
      <c r="C3446" s="34" t="s">
        <v>12400</v>
      </c>
      <c r="D3446" s="8" t="s">
        <v>12614</v>
      </c>
      <c r="E3446" s="8" t="s">
        <v>12442</v>
      </c>
      <c r="F3446" s="8" t="s">
        <v>12609</v>
      </c>
      <c r="G3446" s="34" t="s">
        <v>14</v>
      </c>
      <c r="H3446" s="34" t="str">
        <f>IFERROR(VLOOKUP(Table2[[#This Row], [Ticket]],Okey!A:B,2,0),"")</f>
        <v>ok</v>
      </c>
      <c r="I3446" s="34" t="s">
        <v>8539</v>
      </c>
      <c r="J3446" s="34" t="str">
        <f>VLOOKUP(Table2[[#This Row],[Author]],People!A:B,2,0)</f>
        <v>HC</v>
      </c>
      <c r="K3446" s="34"/>
      <c r="L3446" s="34"/>
      <c r="M3446" s="34" t="s">
        <v>9000</v>
      </c>
    </row>
    <row r="3447" spans="1:13" hidden="1">
      <c r="A3447" s="40">
        <f t="shared" si="57"/>
        <v>3446</v>
      </c>
      <c r="B3447" s="34" t="s">
        <v>8</v>
      </c>
      <c r="C3447" s="34" t="s">
        <v>12400</v>
      </c>
      <c r="D3447" s="8" t="s">
        <v>12615</v>
      </c>
      <c r="E3447" s="8" t="s">
        <v>12443</v>
      </c>
      <c r="F3447" s="8" t="s">
        <v>12609</v>
      </c>
      <c r="G3447" s="34" t="s">
        <v>14</v>
      </c>
      <c r="H3447" s="34" t="str">
        <f>IFERROR(VLOOKUP(Table2[[#This Row], [Ticket]],Okey!A:B,2,0),"")</f>
        <v>ok</v>
      </c>
      <c r="I3447" s="34" t="s">
        <v>8539</v>
      </c>
      <c r="J3447" s="34" t="str">
        <f>VLOOKUP(Table2[[#This Row],[Author]],People!A:B,2,0)</f>
        <v>HC</v>
      </c>
      <c r="K3447" s="34"/>
      <c r="L3447" s="34"/>
      <c r="M3447" s="34" t="s">
        <v>9000</v>
      </c>
    </row>
    <row r="3448" spans="1:13" hidden="1">
      <c r="A3448" s="40">
        <f t="shared" si="57"/>
        <v>3447</v>
      </c>
      <c r="B3448" s="34" t="s">
        <v>8</v>
      </c>
      <c r="C3448" s="34" t="s">
        <v>12400</v>
      </c>
      <c r="D3448" s="8" t="s">
        <v>12616</v>
      </c>
      <c r="E3448" s="8" t="s">
        <v>12440</v>
      </c>
      <c r="F3448" s="8" t="s">
        <v>12610</v>
      </c>
      <c r="G3448" s="34" t="s">
        <v>14</v>
      </c>
      <c r="H3448" s="34" t="str">
        <f>IFERROR(VLOOKUP(Table2[[#This Row], [Ticket]],Okey!A:B,2,0),"")</f>
        <v>ok</v>
      </c>
      <c r="I3448" s="34" t="s">
        <v>8539</v>
      </c>
      <c r="J3448" s="34" t="str">
        <f>VLOOKUP(Table2[[#This Row],[Author]],People!A:B,2,0)</f>
        <v>HC</v>
      </c>
      <c r="K3448" s="34"/>
      <c r="L3448" s="34"/>
      <c r="M3448" s="34" t="s">
        <v>9000</v>
      </c>
    </row>
    <row r="3449" spans="1:13" hidden="1">
      <c r="A3449" s="40">
        <f t="shared" si="57"/>
        <v>3448</v>
      </c>
      <c r="B3449" s="34" t="s">
        <v>8</v>
      </c>
      <c r="C3449" s="34" t="s">
        <v>12400</v>
      </c>
      <c r="D3449" s="8" t="s">
        <v>12617</v>
      </c>
      <c r="E3449" s="8" t="s">
        <v>12441</v>
      </c>
      <c r="F3449" s="8" t="s">
        <v>12610</v>
      </c>
      <c r="G3449" s="34" t="s">
        <v>14</v>
      </c>
      <c r="H3449" s="34" t="str">
        <f>IFERROR(VLOOKUP(Table2[[#This Row], [Ticket]],Okey!A:B,2,0),"")</f>
        <v>ok</v>
      </c>
      <c r="I3449" s="34" t="s">
        <v>8539</v>
      </c>
      <c r="J3449" s="34" t="str">
        <f>VLOOKUP(Table2[[#This Row],[Author]],People!A:B,2,0)</f>
        <v>HC</v>
      </c>
      <c r="K3449" s="34"/>
      <c r="L3449" s="34"/>
      <c r="M3449" s="34" t="s">
        <v>9000</v>
      </c>
    </row>
    <row r="3450" spans="1:13" hidden="1">
      <c r="A3450" s="40">
        <f t="shared" si="57"/>
        <v>3449</v>
      </c>
      <c r="B3450" s="34" t="s">
        <v>8</v>
      </c>
      <c r="C3450" s="34" t="s">
        <v>12400</v>
      </c>
      <c r="D3450" s="8" t="s">
        <v>12618</v>
      </c>
      <c r="E3450" s="8" t="s">
        <v>12442</v>
      </c>
      <c r="F3450" s="8" t="s">
        <v>12610</v>
      </c>
      <c r="G3450" s="34" t="s">
        <v>14</v>
      </c>
      <c r="H3450" s="34" t="str">
        <f>IFERROR(VLOOKUP(Table2[[#This Row], [Ticket]],Okey!A:B,2,0),"")</f>
        <v>ok</v>
      </c>
      <c r="I3450" s="34" t="s">
        <v>8539</v>
      </c>
      <c r="J3450" s="34" t="str">
        <f>VLOOKUP(Table2[[#This Row],[Author]],People!A:B,2,0)</f>
        <v>HC</v>
      </c>
      <c r="K3450" s="34"/>
      <c r="L3450" s="34"/>
      <c r="M3450" s="34" t="s">
        <v>9000</v>
      </c>
    </row>
    <row r="3451" spans="1:13" hidden="1">
      <c r="A3451" s="40">
        <f t="shared" si="57"/>
        <v>3450</v>
      </c>
      <c r="B3451" s="34" t="s">
        <v>8</v>
      </c>
      <c r="C3451" s="34" t="s">
        <v>12400</v>
      </c>
      <c r="D3451" s="8" t="s">
        <v>12619</v>
      </c>
      <c r="E3451" s="8" t="s">
        <v>12443</v>
      </c>
      <c r="F3451" s="8" t="s">
        <v>12610</v>
      </c>
      <c r="G3451" s="34" t="s">
        <v>14</v>
      </c>
      <c r="H3451" s="34" t="str">
        <f>IFERROR(VLOOKUP(Table2[[#This Row], [Ticket]],Okey!A:B,2,0),"")</f>
        <v>ok</v>
      </c>
      <c r="I3451" s="34" t="s">
        <v>8539</v>
      </c>
      <c r="J3451" s="34" t="str">
        <f>VLOOKUP(Table2[[#This Row],[Author]],People!A:B,2,0)</f>
        <v>HC</v>
      </c>
      <c r="K3451" s="34"/>
      <c r="L3451" s="34"/>
      <c r="M3451" s="34" t="s">
        <v>9000</v>
      </c>
    </row>
    <row r="3452" spans="1:13" hidden="1">
      <c r="A3452" s="40">
        <f t="shared" si="57"/>
        <v>3451</v>
      </c>
      <c r="B3452" s="34" t="s">
        <v>8</v>
      </c>
      <c r="C3452" s="34" t="s">
        <v>12400</v>
      </c>
      <c r="D3452" s="8" t="s">
        <v>12620</v>
      </c>
      <c r="E3452" s="8" t="s">
        <v>12440</v>
      </c>
      <c r="F3452" s="8" t="s">
        <v>12611</v>
      </c>
      <c r="G3452" s="34" t="s">
        <v>14</v>
      </c>
      <c r="H3452" s="34" t="str">
        <f>IFERROR(VLOOKUP(Table2[[#This Row], [Ticket]],Okey!A:B,2,0),"")</f>
        <v>ok</v>
      </c>
      <c r="I3452" s="34" t="s">
        <v>8539</v>
      </c>
      <c r="J3452" s="34" t="str">
        <f>VLOOKUP(Table2[[#This Row],[Author]],People!A:B,2,0)</f>
        <v>HC</v>
      </c>
      <c r="K3452" s="34"/>
      <c r="L3452" s="34"/>
      <c r="M3452" s="34" t="s">
        <v>9000</v>
      </c>
    </row>
    <row r="3453" spans="1:13" hidden="1">
      <c r="A3453" s="40">
        <f t="shared" si="57"/>
        <v>3452</v>
      </c>
      <c r="B3453" s="34" t="s">
        <v>8</v>
      </c>
      <c r="C3453" s="34" t="s">
        <v>12400</v>
      </c>
      <c r="D3453" s="8" t="s">
        <v>12621</v>
      </c>
      <c r="E3453" s="8" t="s">
        <v>12441</v>
      </c>
      <c r="F3453" s="8" t="s">
        <v>12611</v>
      </c>
      <c r="G3453" s="34" t="s">
        <v>14</v>
      </c>
      <c r="H3453" s="34" t="str">
        <f>IFERROR(VLOOKUP(Table2[[#This Row], [Ticket]],Okey!A:B,2,0),"")</f>
        <v>ok</v>
      </c>
      <c r="I3453" s="34" t="s">
        <v>8539</v>
      </c>
      <c r="J3453" s="34" t="str">
        <f>VLOOKUP(Table2[[#This Row],[Author]],People!A:B,2,0)</f>
        <v>HC</v>
      </c>
      <c r="K3453" s="34"/>
      <c r="L3453" s="34"/>
      <c r="M3453" s="34" t="s">
        <v>9000</v>
      </c>
    </row>
    <row r="3454" spans="1:13" hidden="1">
      <c r="A3454" s="40">
        <f t="shared" ref="A3454:A3517" si="58">1+A3453</f>
        <v>3453</v>
      </c>
      <c r="B3454" s="34" t="s">
        <v>8</v>
      </c>
      <c r="C3454" s="34" t="s">
        <v>12400</v>
      </c>
      <c r="D3454" s="8" t="s">
        <v>12622</v>
      </c>
      <c r="E3454" s="8" t="s">
        <v>12442</v>
      </c>
      <c r="F3454" s="8" t="s">
        <v>12611</v>
      </c>
      <c r="G3454" s="34" t="s">
        <v>14</v>
      </c>
      <c r="H3454" s="34" t="str">
        <f>IFERROR(VLOOKUP(Table2[[#This Row], [Ticket]],Okey!A:B,2,0),"")</f>
        <v>ok</v>
      </c>
      <c r="I3454" s="34" t="s">
        <v>8539</v>
      </c>
      <c r="J3454" s="34" t="str">
        <f>VLOOKUP(Table2[[#This Row],[Author]],People!A:B,2,0)</f>
        <v>HC</v>
      </c>
      <c r="K3454" s="34"/>
      <c r="L3454" s="34"/>
      <c r="M3454" s="34" t="s">
        <v>9000</v>
      </c>
    </row>
    <row r="3455" spans="1:13" hidden="1">
      <c r="A3455" s="40">
        <f t="shared" si="58"/>
        <v>3454</v>
      </c>
      <c r="B3455" s="34" t="s">
        <v>8</v>
      </c>
      <c r="C3455" s="34" t="s">
        <v>12400</v>
      </c>
      <c r="D3455" s="8" t="s">
        <v>12623</v>
      </c>
      <c r="E3455" s="8" t="s">
        <v>12443</v>
      </c>
      <c r="F3455" s="8" t="s">
        <v>12611</v>
      </c>
      <c r="G3455" s="34" t="s">
        <v>14</v>
      </c>
      <c r="H3455" s="34" t="str">
        <f>IFERROR(VLOOKUP(Table2[[#This Row], [Ticket]],Okey!A:B,2,0),"")</f>
        <v>ok</v>
      </c>
      <c r="I3455" s="34" t="s">
        <v>8539</v>
      </c>
      <c r="J3455" s="34" t="str">
        <f>VLOOKUP(Table2[[#This Row],[Author]],People!A:B,2,0)</f>
        <v>HC</v>
      </c>
      <c r="K3455" s="34"/>
      <c r="L3455" s="34"/>
      <c r="M3455" s="34" t="s">
        <v>9000</v>
      </c>
    </row>
    <row r="3456" spans="1:13" hidden="1">
      <c r="A3456" s="40">
        <f t="shared" si="58"/>
        <v>3455</v>
      </c>
      <c r="B3456" s="34" t="s">
        <v>8</v>
      </c>
      <c r="C3456" s="34" t="s">
        <v>12400</v>
      </c>
      <c r="D3456" s="8" t="s">
        <v>12624</v>
      </c>
      <c r="E3456" s="8" t="s">
        <v>12444</v>
      </c>
      <c r="F3456" s="8" t="s">
        <v>1127</v>
      </c>
      <c r="G3456" s="34" t="s">
        <v>14</v>
      </c>
      <c r="H3456" s="34" t="str">
        <f>IFERROR(VLOOKUP(Table2[[#This Row], [Ticket]],Okey!A:B,2,0),"")</f>
        <v>ok</v>
      </c>
      <c r="I3456" s="34" t="s">
        <v>8539</v>
      </c>
      <c r="J3456" s="34" t="str">
        <f>VLOOKUP(Table2[[#This Row],[Author]],People!A:B,2,0)</f>
        <v>HC</v>
      </c>
      <c r="K3456" s="34"/>
      <c r="L3456" s="34"/>
      <c r="M3456" s="34" t="s">
        <v>9000</v>
      </c>
    </row>
    <row r="3457" spans="1:13" hidden="1">
      <c r="A3457" s="40">
        <f t="shared" si="58"/>
        <v>3456</v>
      </c>
      <c r="B3457" s="34" t="s">
        <v>8</v>
      </c>
      <c r="C3457" s="34" t="s">
        <v>12400</v>
      </c>
      <c r="D3457" s="8" t="s">
        <v>12625</v>
      </c>
      <c r="E3457" s="8" t="s">
        <v>12445</v>
      </c>
      <c r="F3457" s="8" t="s">
        <v>1149</v>
      </c>
      <c r="G3457" s="34" t="s">
        <v>14</v>
      </c>
      <c r="H3457" s="34" t="str">
        <f>IFERROR(VLOOKUP(Table2[[#This Row], [Ticket]],Okey!A:B,2,0),"")</f>
        <v>ok</v>
      </c>
      <c r="I3457" s="34" t="s">
        <v>8539</v>
      </c>
      <c r="J3457" s="34" t="str">
        <f>VLOOKUP(Table2[[#This Row],[Author]],People!A:B,2,0)</f>
        <v>HC</v>
      </c>
      <c r="K3457" s="34"/>
      <c r="L3457" s="34"/>
      <c r="M3457" s="34" t="s">
        <v>9000</v>
      </c>
    </row>
    <row r="3458" spans="1:13" hidden="1">
      <c r="A3458" s="40">
        <f t="shared" si="58"/>
        <v>3457</v>
      </c>
      <c r="B3458" s="34" t="s">
        <v>8</v>
      </c>
      <c r="C3458" s="34" t="s">
        <v>12400</v>
      </c>
      <c r="D3458" s="8" t="s">
        <v>12626</v>
      </c>
      <c r="E3458" s="8" t="s">
        <v>12446</v>
      </c>
      <c r="F3458" s="8" t="s">
        <v>12625</v>
      </c>
      <c r="G3458" s="34" t="s">
        <v>14</v>
      </c>
      <c r="H3458" s="34" t="str">
        <f>IFERROR(VLOOKUP(Table2[[#This Row], [Ticket]],Okey!A:B,2,0),"")</f>
        <v>ok</v>
      </c>
      <c r="I3458" s="34" t="s">
        <v>8539</v>
      </c>
      <c r="J3458" s="34" t="str">
        <f>VLOOKUP(Table2[[#This Row],[Author]],People!A:B,2,0)</f>
        <v>HC</v>
      </c>
      <c r="K3458" s="34"/>
      <c r="L3458" s="34"/>
      <c r="M3458" s="34" t="s">
        <v>9000</v>
      </c>
    </row>
    <row r="3459" spans="1:13" hidden="1">
      <c r="A3459" s="40">
        <f t="shared" si="58"/>
        <v>3458</v>
      </c>
      <c r="B3459" s="34" t="s">
        <v>8</v>
      </c>
      <c r="C3459" s="34" t="s">
        <v>12400</v>
      </c>
      <c r="D3459" s="8" t="s">
        <v>12627</v>
      </c>
      <c r="E3459" s="8" t="s">
        <v>12447</v>
      </c>
      <c r="F3459" s="8" t="s">
        <v>12625</v>
      </c>
      <c r="G3459" s="34" t="s">
        <v>14</v>
      </c>
      <c r="H3459" s="34" t="str">
        <f>IFERROR(VLOOKUP(Table2[[#This Row], [Ticket]],Okey!A:B,2,0),"")</f>
        <v>ok</v>
      </c>
      <c r="I3459" s="34" t="s">
        <v>8539</v>
      </c>
      <c r="J3459" s="34" t="str">
        <f>VLOOKUP(Table2[[#This Row],[Author]],People!A:B,2,0)</f>
        <v>HC</v>
      </c>
      <c r="K3459" s="34"/>
      <c r="L3459" s="34"/>
      <c r="M3459" s="34" t="s">
        <v>9000</v>
      </c>
    </row>
    <row r="3460" spans="1:13" hidden="1">
      <c r="A3460" s="40">
        <f t="shared" si="58"/>
        <v>3459</v>
      </c>
      <c r="B3460" s="34" t="s">
        <v>8</v>
      </c>
      <c r="C3460" s="34" t="s">
        <v>12400</v>
      </c>
      <c r="D3460" s="8" t="s">
        <v>12628</v>
      </c>
      <c r="E3460" s="8" t="s">
        <v>12448</v>
      </c>
      <c r="F3460" s="8" t="s">
        <v>12625</v>
      </c>
      <c r="G3460" s="34" t="s">
        <v>14</v>
      </c>
      <c r="H3460" s="34" t="str">
        <f>IFERROR(VLOOKUP(Table2[[#This Row], [Ticket]],Okey!A:B,2,0),"")</f>
        <v>ok</v>
      </c>
      <c r="I3460" s="34" t="s">
        <v>8539</v>
      </c>
      <c r="J3460" s="34" t="str">
        <f>VLOOKUP(Table2[[#This Row],[Author]],People!A:B,2,0)</f>
        <v>HC</v>
      </c>
      <c r="K3460" s="34"/>
      <c r="L3460" s="34"/>
      <c r="M3460" s="34" t="s">
        <v>9000</v>
      </c>
    </row>
    <row r="3461" spans="1:13" hidden="1">
      <c r="A3461" s="40">
        <f t="shared" si="58"/>
        <v>3460</v>
      </c>
      <c r="B3461" s="34" t="s">
        <v>8</v>
      </c>
      <c r="C3461" s="34" t="s">
        <v>12400</v>
      </c>
      <c r="D3461" s="8" t="s">
        <v>12629</v>
      </c>
      <c r="E3461" s="8" t="s">
        <v>12449</v>
      </c>
      <c r="F3461" s="8" t="s">
        <v>12625</v>
      </c>
      <c r="G3461" s="34" t="s">
        <v>14</v>
      </c>
      <c r="H3461" s="34" t="str">
        <f>IFERROR(VLOOKUP(Table2[[#This Row], [Ticket]],Okey!A:B,2,0),"")</f>
        <v>ok</v>
      </c>
      <c r="I3461" s="34" t="s">
        <v>8539</v>
      </c>
      <c r="J3461" s="34" t="str">
        <f>VLOOKUP(Table2[[#This Row],[Author]],People!A:B,2,0)</f>
        <v>HC</v>
      </c>
      <c r="K3461" s="34"/>
      <c r="L3461" s="34"/>
      <c r="M3461" s="34" t="s">
        <v>9000</v>
      </c>
    </row>
    <row r="3462" spans="1:13" hidden="1">
      <c r="A3462" s="40">
        <f t="shared" si="58"/>
        <v>3461</v>
      </c>
      <c r="B3462" s="34" t="s">
        <v>8</v>
      </c>
      <c r="C3462" s="34" t="s">
        <v>12400</v>
      </c>
      <c r="D3462" s="8" t="s">
        <v>12630</v>
      </c>
      <c r="E3462" s="8" t="s">
        <v>12450</v>
      </c>
      <c r="F3462" s="8" t="s">
        <v>12625</v>
      </c>
      <c r="G3462" s="34" t="s">
        <v>14</v>
      </c>
      <c r="H3462" s="34" t="str">
        <f>IFERROR(VLOOKUP(Table2[[#This Row], [Ticket]],Okey!A:B,2,0),"")</f>
        <v>ok</v>
      </c>
      <c r="I3462" s="34" t="s">
        <v>8539</v>
      </c>
      <c r="J3462" s="34" t="str">
        <f>VLOOKUP(Table2[[#This Row],[Author]],People!A:B,2,0)</f>
        <v>HC</v>
      </c>
      <c r="K3462" s="34"/>
      <c r="L3462" s="34"/>
      <c r="M3462" s="34" t="s">
        <v>9000</v>
      </c>
    </row>
    <row r="3463" spans="1:13" hidden="1">
      <c r="A3463" s="40">
        <f t="shared" si="58"/>
        <v>3462</v>
      </c>
      <c r="B3463" s="34" t="s">
        <v>8</v>
      </c>
      <c r="C3463" s="34" t="s">
        <v>12400</v>
      </c>
      <c r="D3463" s="8" t="s">
        <v>12631</v>
      </c>
      <c r="E3463" s="8" t="s">
        <v>12451</v>
      </c>
      <c r="F3463" s="8" t="s">
        <v>12626</v>
      </c>
      <c r="G3463" s="34" t="s">
        <v>14</v>
      </c>
      <c r="H3463" s="34" t="str">
        <f>IFERROR(VLOOKUP(Table2[[#This Row], [Ticket]],Okey!A:B,2,0),"")</f>
        <v>ok</v>
      </c>
      <c r="I3463" s="34" t="s">
        <v>8539</v>
      </c>
      <c r="J3463" s="34" t="str">
        <f>VLOOKUP(Table2[[#This Row],[Author]],People!A:B,2,0)</f>
        <v>HC</v>
      </c>
      <c r="K3463" s="34"/>
      <c r="L3463" s="34"/>
      <c r="M3463" s="34" t="s">
        <v>9000</v>
      </c>
    </row>
    <row r="3464" spans="1:13" hidden="1">
      <c r="A3464" s="40">
        <f t="shared" si="58"/>
        <v>3463</v>
      </c>
      <c r="B3464" s="34" t="s">
        <v>8</v>
      </c>
      <c r="C3464" s="34" t="s">
        <v>12400</v>
      </c>
      <c r="D3464" s="8" t="s">
        <v>12632</v>
      </c>
      <c r="E3464" s="8" t="s">
        <v>12452</v>
      </c>
      <c r="F3464" s="8" t="s">
        <v>12626</v>
      </c>
      <c r="G3464" s="34" t="s">
        <v>14</v>
      </c>
      <c r="H3464" s="34" t="str">
        <f>IFERROR(VLOOKUP(Table2[[#This Row], [Ticket]],Okey!A:B,2,0),"")</f>
        <v>ok</v>
      </c>
      <c r="I3464" s="34" t="s">
        <v>8539</v>
      </c>
      <c r="J3464" s="34" t="str">
        <f>VLOOKUP(Table2[[#This Row],[Author]],People!A:B,2,0)</f>
        <v>HC</v>
      </c>
      <c r="K3464" s="34"/>
      <c r="L3464" s="34"/>
      <c r="M3464" s="34" t="s">
        <v>9000</v>
      </c>
    </row>
    <row r="3465" spans="1:13" hidden="1">
      <c r="A3465" s="40">
        <f t="shared" si="58"/>
        <v>3464</v>
      </c>
      <c r="B3465" s="34" t="s">
        <v>8</v>
      </c>
      <c r="C3465" s="34" t="s">
        <v>12400</v>
      </c>
      <c r="D3465" s="8" t="s">
        <v>12633</v>
      </c>
      <c r="E3465" s="8" t="s">
        <v>12453</v>
      </c>
      <c r="F3465" s="8" t="s">
        <v>12627</v>
      </c>
      <c r="G3465" s="34" t="s">
        <v>14</v>
      </c>
      <c r="H3465" s="34" t="str">
        <f>IFERROR(VLOOKUP(Table2[[#This Row], [Ticket]],Okey!A:B,2,0),"")</f>
        <v>ok</v>
      </c>
      <c r="I3465" s="34" t="s">
        <v>8539</v>
      </c>
      <c r="J3465" s="34" t="str">
        <f>VLOOKUP(Table2[[#This Row],[Author]],People!A:B,2,0)</f>
        <v>HC</v>
      </c>
      <c r="K3465" s="34"/>
      <c r="L3465" s="34"/>
      <c r="M3465" s="34" t="s">
        <v>9000</v>
      </c>
    </row>
    <row r="3466" spans="1:13" hidden="1">
      <c r="A3466" s="40">
        <f t="shared" si="58"/>
        <v>3465</v>
      </c>
      <c r="B3466" s="34" t="s">
        <v>8</v>
      </c>
      <c r="C3466" s="34" t="s">
        <v>12400</v>
      </c>
      <c r="D3466" s="8" t="s">
        <v>12634</v>
      </c>
      <c r="E3466" s="8" t="s">
        <v>12454</v>
      </c>
      <c r="F3466" s="8" t="s">
        <v>12627</v>
      </c>
      <c r="G3466" s="34" t="s">
        <v>14</v>
      </c>
      <c r="H3466" s="34" t="str">
        <f>IFERROR(VLOOKUP(Table2[[#This Row], [Ticket]],Okey!A:B,2,0),"")</f>
        <v>ok</v>
      </c>
      <c r="I3466" s="34" t="s">
        <v>8539</v>
      </c>
      <c r="J3466" s="34" t="str">
        <f>VLOOKUP(Table2[[#This Row],[Author]],People!A:B,2,0)</f>
        <v>HC</v>
      </c>
      <c r="K3466" s="34"/>
      <c r="L3466" s="34"/>
      <c r="M3466" s="34" t="s">
        <v>9000</v>
      </c>
    </row>
    <row r="3467" spans="1:13" hidden="1">
      <c r="A3467" s="40">
        <f t="shared" si="58"/>
        <v>3466</v>
      </c>
      <c r="B3467" s="34" t="s">
        <v>8</v>
      </c>
      <c r="C3467" s="34" t="s">
        <v>12400</v>
      </c>
      <c r="D3467" s="8" t="s">
        <v>12635</v>
      </c>
      <c r="E3467" s="8" t="s">
        <v>12455</v>
      </c>
      <c r="F3467" s="8" t="s">
        <v>12627</v>
      </c>
      <c r="G3467" s="34" t="s">
        <v>14</v>
      </c>
      <c r="H3467" s="34" t="str">
        <f>IFERROR(VLOOKUP(Table2[[#This Row], [Ticket]],Okey!A:B,2,0),"")</f>
        <v>ok</v>
      </c>
      <c r="I3467" s="34" t="s">
        <v>8539</v>
      </c>
      <c r="J3467" s="34" t="str">
        <f>VLOOKUP(Table2[[#This Row],[Author]],People!A:B,2,0)</f>
        <v>HC</v>
      </c>
      <c r="K3467" s="34"/>
      <c r="L3467" s="34"/>
      <c r="M3467" s="34" t="s">
        <v>9000</v>
      </c>
    </row>
    <row r="3468" spans="1:13" hidden="1">
      <c r="A3468" s="40">
        <f t="shared" si="58"/>
        <v>3467</v>
      </c>
      <c r="B3468" s="34" t="s">
        <v>8</v>
      </c>
      <c r="C3468" s="34" t="s">
        <v>12400</v>
      </c>
      <c r="D3468" s="8" t="s">
        <v>12636</v>
      </c>
      <c r="E3468" s="8" t="s">
        <v>12456</v>
      </c>
      <c r="F3468" s="8" t="s">
        <v>12628</v>
      </c>
      <c r="G3468" s="34" t="s">
        <v>14</v>
      </c>
      <c r="H3468" s="34" t="str">
        <f>IFERROR(VLOOKUP(Table2[[#This Row], [Ticket]],Okey!A:B,2,0),"")</f>
        <v>ok</v>
      </c>
      <c r="I3468" s="34" t="s">
        <v>8539</v>
      </c>
      <c r="J3468" s="34" t="str">
        <f>VLOOKUP(Table2[[#This Row],[Author]],People!A:B,2,0)</f>
        <v>HC</v>
      </c>
      <c r="K3468" s="34"/>
      <c r="L3468" s="34"/>
      <c r="M3468" s="34" t="s">
        <v>9000</v>
      </c>
    </row>
    <row r="3469" spans="1:13" hidden="1">
      <c r="A3469" s="40">
        <f t="shared" si="58"/>
        <v>3468</v>
      </c>
      <c r="B3469" s="34" t="s">
        <v>8</v>
      </c>
      <c r="C3469" s="34" t="s">
        <v>12400</v>
      </c>
      <c r="D3469" s="8" t="s">
        <v>12637</v>
      </c>
      <c r="E3469" s="8" t="s">
        <v>12457</v>
      </c>
      <c r="F3469" s="8" t="s">
        <v>12628</v>
      </c>
      <c r="G3469" s="34" t="s">
        <v>14</v>
      </c>
      <c r="H3469" s="34" t="str">
        <f>IFERROR(VLOOKUP(Table2[[#This Row], [Ticket]],Okey!A:B,2,0),"")</f>
        <v>ok</v>
      </c>
      <c r="I3469" s="34" t="s">
        <v>8539</v>
      </c>
      <c r="J3469" s="34" t="str">
        <f>VLOOKUP(Table2[[#This Row],[Author]],People!A:B,2,0)</f>
        <v>HC</v>
      </c>
      <c r="K3469" s="34"/>
      <c r="L3469" s="34"/>
      <c r="M3469" s="34" t="s">
        <v>9000</v>
      </c>
    </row>
    <row r="3470" spans="1:13" hidden="1">
      <c r="A3470" s="40">
        <f t="shared" si="58"/>
        <v>3469</v>
      </c>
      <c r="B3470" s="34" t="s">
        <v>8</v>
      </c>
      <c r="C3470" s="34" t="s">
        <v>12400</v>
      </c>
      <c r="D3470" s="8" t="s">
        <v>12638</v>
      </c>
      <c r="E3470" s="8" t="s">
        <v>12458</v>
      </c>
      <c r="F3470" s="8" t="s">
        <v>12628</v>
      </c>
      <c r="G3470" s="34" t="s">
        <v>14</v>
      </c>
      <c r="H3470" s="34" t="str">
        <f>IFERROR(VLOOKUP(Table2[[#This Row], [Ticket]],Okey!A:B,2,0),"")</f>
        <v>ok</v>
      </c>
      <c r="I3470" s="34" t="s">
        <v>8539</v>
      </c>
      <c r="J3470" s="34" t="str">
        <f>VLOOKUP(Table2[[#This Row],[Author]],People!A:B,2,0)</f>
        <v>HC</v>
      </c>
      <c r="K3470" s="34"/>
      <c r="L3470" s="34"/>
      <c r="M3470" s="34" t="s">
        <v>9000</v>
      </c>
    </row>
    <row r="3471" spans="1:13" hidden="1">
      <c r="A3471" s="40">
        <f t="shared" si="58"/>
        <v>3470</v>
      </c>
      <c r="B3471" s="34" t="s">
        <v>8</v>
      </c>
      <c r="C3471" s="34" t="s">
        <v>12400</v>
      </c>
      <c r="D3471" s="8" t="s">
        <v>12639</v>
      </c>
      <c r="E3471" s="8" t="s">
        <v>12459</v>
      </c>
      <c r="F3471" s="8" t="s">
        <v>12628</v>
      </c>
      <c r="G3471" s="34" t="s">
        <v>14</v>
      </c>
      <c r="H3471" s="34" t="str">
        <f>IFERROR(VLOOKUP(Table2[[#This Row], [Ticket]],Okey!A:B,2,0),"")</f>
        <v>ok</v>
      </c>
      <c r="I3471" s="34" t="s">
        <v>8539</v>
      </c>
      <c r="J3471" s="34" t="str">
        <f>VLOOKUP(Table2[[#This Row],[Author]],People!A:B,2,0)</f>
        <v>HC</v>
      </c>
      <c r="K3471" s="34"/>
      <c r="L3471" s="34"/>
      <c r="M3471" s="34" t="s">
        <v>9000</v>
      </c>
    </row>
    <row r="3472" spans="1:13" hidden="1">
      <c r="A3472" s="40">
        <f t="shared" si="58"/>
        <v>3471</v>
      </c>
      <c r="B3472" s="34" t="s">
        <v>8</v>
      </c>
      <c r="C3472" s="34" t="s">
        <v>12400</v>
      </c>
      <c r="D3472" s="8" t="s">
        <v>12640</v>
      </c>
      <c r="E3472" s="8" t="s">
        <v>12460</v>
      </c>
      <c r="F3472" s="8" t="s">
        <v>12629</v>
      </c>
      <c r="G3472" s="34" t="s">
        <v>14</v>
      </c>
      <c r="H3472" s="34" t="str">
        <f>IFERROR(VLOOKUP(Table2[[#This Row], [Ticket]],Okey!A:B,2,0),"")</f>
        <v>ok</v>
      </c>
      <c r="I3472" s="34" t="s">
        <v>8539</v>
      </c>
      <c r="J3472" s="34" t="str">
        <f>VLOOKUP(Table2[[#This Row],[Author]],People!A:B,2,0)</f>
        <v>HC</v>
      </c>
      <c r="K3472" s="34"/>
      <c r="L3472" s="34"/>
      <c r="M3472" s="34" t="s">
        <v>9000</v>
      </c>
    </row>
    <row r="3473" spans="1:13" hidden="1">
      <c r="A3473" s="40">
        <f t="shared" si="58"/>
        <v>3472</v>
      </c>
      <c r="B3473" s="34" t="s">
        <v>8</v>
      </c>
      <c r="C3473" s="34" t="s">
        <v>12400</v>
      </c>
      <c r="D3473" s="8" t="s">
        <v>12641</v>
      </c>
      <c r="E3473" s="8" t="s">
        <v>12461</v>
      </c>
      <c r="F3473" s="8" t="s">
        <v>12629</v>
      </c>
      <c r="G3473" s="34" t="s">
        <v>14</v>
      </c>
      <c r="H3473" s="34" t="str">
        <f>IFERROR(VLOOKUP(Table2[[#This Row], [Ticket]],Okey!A:B,2,0),"")</f>
        <v>ok</v>
      </c>
      <c r="I3473" s="34" t="s">
        <v>8539</v>
      </c>
      <c r="J3473" s="34" t="str">
        <f>VLOOKUP(Table2[[#This Row],[Author]],People!A:B,2,0)</f>
        <v>HC</v>
      </c>
      <c r="K3473" s="34"/>
      <c r="L3473" s="34"/>
      <c r="M3473" s="34" t="s">
        <v>9000</v>
      </c>
    </row>
    <row r="3474" spans="1:13" hidden="1">
      <c r="A3474" s="40">
        <f t="shared" si="58"/>
        <v>3473</v>
      </c>
      <c r="B3474" s="34" t="s">
        <v>8</v>
      </c>
      <c r="C3474" s="34" t="s">
        <v>12400</v>
      </c>
      <c r="D3474" s="8" t="s">
        <v>12642</v>
      </c>
      <c r="E3474" s="8" t="s">
        <v>12462</v>
      </c>
      <c r="F3474" s="8" t="s">
        <v>12629</v>
      </c>
      <c r="G3474" s="34" t="s">
        <v>14</v>
      </c>
      <c r="H3474" s="34" t="str">
        <f>IFERROR(VLOOKUP(Table2[[#This Row], [Ticket]],Okey!A:B,2,0),"")</f>
        <v>ok</v>
      </c>
      <c r="I3474" s="34" t="s">
        <v>8539</v>
      </c>
      <c r="J3474" s="34" t="str">
        <f>VLOOKUP(Table2[[#This Row],[Author]],People!A:B,2,0)</f>
        <v>HC</v>
      </c>
      <c r="K3474" s="34"/>
      <c r="L3474" s="34"/>
      <c r="M3474" s="34" t="s">
        <v>9000</v>
      </c>
    </row>
    <row r="3475" spans="1:13" hidden="1">
      <c r="A3475" s="40">
        <f t="shared" si="58"/>
        <v>3474</v>
      </c>
      <c r="B3475" s="34" t="s">
        <v>8</v>
      </c>
      <c r="C3475" s="34" t="s">
        <v>12400</v>
      </c>
      <c r="D3475" s="8" t="s">
        <v>12643</v>
      </c>
      <c r="E3475" s="8" t="s">
        <v>12463</v>
      </c>
      <c r="F3475" s="8" t="s">
        <v>12631</v>
      </c>
      <c r="G3475" s="34" t="s">
        <v>14</v>
      </c>
      <c r="H3475" s="34" t="str">
        <f>IFERROR(VLOOKUP(Table2[[#This Row], [Ticket]],Okey!A:B,2,0),"")</f>
        <v>ok</v>
      </c>
      <c r="I3475" s="34" t="s">
        <v>8539</v>
      </c>
      <c r="J3475" s="34" t="str">
        <f>VLOOKUP(Table2[[#This Row],[Author]],People!A:B,2,0)</f>
        <v>HC</v>
      </c>
      <c r="K3475" s="34"/>
      <c r="L3475" s="34"/>
      <c r="M3475" s="34" t="s">
        <v>9000</v>
      </c>
    </row>
    <row r="3476" spans="1:13" hidden="1">
      <c r="A3476" s="40">
        <f t="shared" si="58"/>
        <v>3475</v>
      </c>
      <c r="B3476" s="34" t="s">
        <v>8</v>
      </c>
      <c r="C3476" s="34" t="s">
        <v>12400</v>
      </c>
      <c r="D3476" s="8" t="s">
        <v>12644</v>
      </c>
      <c r="E3476" s="8" t="s">
        <v>12464</v>
      </c>
      <c r="F3476" s="8" t="s">
        <v>12632</v>
      </c>
      <c r="G3476" s="34" t="s">
        <v>14</v>
      </c>
      <c r="H3476" s="34" t="str">
        <f>IFERROR(VLOOKUP(Table2[[#This Row], [Ticket]],Okey!A:B,2,0),"")</f>
        <v>ok</v>
      </c>
      <c r="I3476" s="34" t="s">
        <v>8539</v>
      </c>
      <c r="J3476" s="34" t="str">
        <f>VLOOKUP(Table2[[#This Row],[Author]],People!A:B,2,0)</f>
        <v>HC</v>
      </c>
      <c r="K3476" s="34"/>
      <c r="L3476" s="34"/>
      <c r="M3476" s="34" t="s">
        <v>9000</v>
      </c>
    </row>
    <row r="3477" spans="1:13" hidden="1">
      <c r="A3477" s="40">
        <f t="shared" si="58"/>
        <v>3476</v>
      </c>
      <c r="B3477" s="34" t="s">
        <v>8</v>
      </c>
      <c r="C3477" s="34" t="s">
        <v>12400</v>
      </c>
      <c r="D3477" s="8" t="s">
        <v>12645</v>
      </c>
      <c r="E3477" s="8" t="s">
        <v>12465</v>
      </c>
      <c r="F3477" s="8" t="s">
        <v>12632</v>
      </c>
      <c r="G3477" s="34" t="s">
        <v>14</v>
      </c>
      <c r="H3477" s="34" t="str">
        <f>IFERROR(VLOOKUP(Table2[[#This Row], [Ticket]],Okey!A:B,2,0),"")</f>
        <v>ok</v>
      </c>
      <c r="I3477" s="34" t="s">
        <v>8539</v>
      </c>
      <c r="J3477" s="34" t="str">
        <f>VLOOKUP(Table2[[#This Row],[Author]],People!A:B,2,0)</f>
        <v>HC</v>
      </c>
      <c r="K3477" s="34"/>
      <c r="L3477" s="34"/>
      <c r="M3477" s="34" t="s">
        <v>9000</v>
      </c>
    </row>
    <row r="3478" spans="1:13" hidden="1">
      <c r="A3478" s="40">
        <f t="shared" si="58"/>
        <v>3477</v>
      </c>
      <c r="B3478" s="34" t="s">
        <v>8</v>
      </c>
      <c r="C3478" s="34" t="s">
        <v>12400</v>
      </c>
      <c r="D3478" s="8" t="s">
        <v>12646</v>
      </c>
      <c r="E3478" s="8" t="s">
        <v>12466</v>
      </c>
      <c r="F3478" s="8" t="s">
        <v>12643</v>
      </c>
      <c r="G3478" s="34" t="s">
        <v>14</v>
      </c>
      <c r="H3478" s="34" t="str">
        <f>IFERROR(VLOOKUP(Table2[[#This Row], [Ticket]],Okey!A:B,2,0),"")</f>
        <v>ok</v>
      </c>
      <c r="I3478" s="34" t="s">
        <v>8539</v>
      </c>
      <c r="J3478" s="34" t="str">
        <f>VLOOKUP(Table2[[#This Row],[Author]],People!A:B,2,0)</f>
        <v>HC</v>
      </c>
      <c r="K3478" s="34"/>
      <c r="L3478" s="34"/>
      <c r="M3478" s="34" t="s">
        <v>9000</v>
      </c>
    </row>
    <row r="3479" spans="1:13" hidden="1">
      <c r="A3479" s="40">
        <f t="shared" si="58"/>
        <v>3478</v>
      </c>
      <c r="B3479" s="34" t="s">
        <v>8</v>
      </c>
      <c r="C3479" s="34" t="s">
        <v>12400</v>
      </c>
      <c r="D3479" s="8" t="s">
        <v>12647</v>
      </c>
      <c r="E3479" s="8" t="s">
        <v>12467</v>
      </c>
      <c r="F3479" s="8" t="s">
        <v>12643</v>
      </c>
      <c r="G3479" s="34" t="s">
        <v>14</v>
      </c>
      <c r="H3479" s="34" t="str">
        <f>IFERROR(VLOOKUP(Table2[[#This Row], [Ticket]],Okey!A:B,2,0),"")</f>
        <v>ok</v>
      </c>
      <c r="I3479" s="34" t="s">
        <v>8539</v>
      </c>
      <c r="J3479" s="34" t="str">
        <f>VLOOKUP(Table2[[#This Row],[Author]],People!A:B,2,0)</f>
        <v>HC</v>
      </c>
      <c r="K3479" s="34"/>
      <c r="L3479" s="34"/>
      <c r="M3479" s="34" t="s">
        <v>9000</v>
      </c>
    </row>
    <row r="3480" spans="1:13" hidden="1">
      <c r="A3480" s="40">
        <f t="shared" si="58"/>
        <v>3479</v>
      </c>
      <c r="B3480" s="34" t="s">
        <v>8</v>
      </c>
      <c r="C3480" s="34" t="s">
        <v>12400</v>
      </c>
      <c r="D3480" s="8" t="s">
        <v>12648</v>
      </c>
      <c r="E3480" s="8" t="s">
        <v>12468</v>
      </c>
      <c r="F3480" s="8" t="s">
        <v>12643</v>
      </c>
      <c r="G3480" s="34" t="s">
        <v>14</v>
      </c>
      <c r="H3480" s="34" t="str">
        <f>IFERROR(VLOOKUP(Table2[[#This Row], [Ticket]],Okey!A:B,2,0),"")</f>
        <v>ok</v>
      </c>
      <c r="I3480" s="34" t="s">
        <v>8539</v>
      </c>
      <c r="J3480" s="34" t="str">
        <f>VLOOKUP(Table2[[#This Row],[Author]],People!A:B,2,0)</f>
        <v>HC</v>
      </c>
      <c r="K3480" s="34"/>
      <c r="L3480" s="34"/>
      <c r="M3480" s="34" t="s">
        <v>9000</v>
      </c>
    </row>
    <row r="3481" spans="1:13" hidden="1">
      <c r="A3481" s="40">
        <f t="shared" si="58"/>
        <v>3480</v>
      </c>
      <c r="B3481" s="34" t="s">
        <v>8</v>
      </c>
      <c r="C3481" s="34" t="s">
        <v>12400</v>
      </c>
      <c r="D3481" s="8" t="s">
        <v>12649</v>
      </c>
      <c r="E3481" s="8" t="s">
        <v>12469</v>
      </c>
      <c r="F3481" s="8" t="s">
        <v>12643</v>
      </c>
      <c r="G3481" s="34" t="s">
        <v>14</v>
      </c>
      <c r="H3481" s="34" t="str">
        <f>IFERROR(VLOOKUP(Table2[[#This Row], [Ticket]],Okey!A:B,2,0),"")</f>
        <v>ok</v>
      </c>
      <c r="I3481" s="34" t="s">
        <v>8539</v>
      </c>
      <c r="J3481" s="34" t="str">
        <f>VLOOKUP(Table2[[#This Row],[Author]],People!A:B,2,0)</f>
        <v>HC</v>
      </c>
      <c r="K3481" s="34"/>
      <c r="L3481" s="34"/>
      <c r="M3481" s="34" t="s">
        <v>9000</v>
      </c>
    </row>
    <row r="3482" spans="1:13" hidden="1">
      <c r="A3482" s="40">
        <f t="shared" si="58"/>
        <v>3481</v>
      </c>
      <c r="B3482" s="34" t="s">
        <v>8</v>
      </c>
      <c r="C3482" s="34" t="s">
        <v>12400</v>
      </c>
      <c r="D3482" s="8" t="s">
        <v>12650</v>
      </c>
      <c r="E3482" s="8" t="s">
        <v>12466</v>
      </c>
      <c r="F3482" s="8" t="s">
        <v>12644</v>
      </c>
      <c r="G3482" s="34" t="s">
        <v>14</v>
      </c>
      <c r="H3482" s="34" t="str">
        <f>IFERROR(VLOOKUP(Table2[[#This Row], [Ticket]],Okey!A:B,2,0),"")</f>
        <v>ok</v>
      </c>
      <c r="I3482" s="34" t="s">
        <v>8539</v>
      </c>
      <c r="J3482" s="34" t="str">
        <f>VLOOKUP(Table2[[#This Row],[Author]],People!A:B,2,0)</f>
        <v>HC</v>
      </c>
      <c r="K3482" s="34"/>
      <c r="L3482" s="34"/>
      <c r="M3482" s="34" t="s">
        <v>9000</v>
      </c>
    </row>
    <row r="3483" spans="1:13" hidden="1">
      <c r="A3483" s="40">
        <f t="shared" si="58"/>
        <v>3482</v>
      </c>
      <c r="B3483" s="34" t="s">
        <v>8</v>
      </c>
      <c r="C3483" s="34" t="s">
        <v>12400</v>
      </c>
      <c r="D3483" s="8" t="s">
        <v>12651</v>
      </c>
      <c r="E3483" s="8" t="s">
        <v>12467</v>
      </c>
      <c r="F3483" s="8" t="s">
        <v>12644</v>
      </c>
      <c r="G3483" s="34" t="s">
        <v>14</v>
      </c>
      <c r="H3483" s="34" t="str">
        <f>IFERROR(VLOOKUP(Table2[[#This Row], [Ticket]],Okey!A:B,2,0),"")</f>
        <v>ok</v>
      </c>
      <c r="I3483" s="34" t="s">
        <v>8539</v>
      </c>
      <c r="J3483" s="34" t="str">
        <f>VLOOKUP(Table2[[#This Row],[Author]],People!A:B,2,0)</f>
        <v>HC</v>
      </c>
      <c r="K3483" s="34"/>
      <c r="L3483" s="34"/>
      <c r="M3483" s="34" t="s">
        <v>9000</v>
      </c>
    </row>
    <row r="3484" spans="1:13" hidden="1">
      <c r="A3484" s="40">
        <f t="shared" si="58"/>
        <v>3483</v>
      </c>
      <c r="B3484" s="34" t="s">
        <v>8</v>
      </c>
      <c r="C3484" s="34" t="s">
        <v>12400</v>
      </c>
      <c r="D3484" s="8" t="s">
        <v>12652</v>
      </c>
      <c r="E3484" s="8" t="s">
        <v>12468</v>
      </c>
      <c r="F3484" s="8" t="s">
        <v>12644</v>
      </c>
      <c r="G3484" s="34" t="s">
        <v>14</v>
      </c>
      <c r="H3484" s="34" t="str">
        <f>IFERROR(VLOOKUP(Table2[[#This Row], [Ticket]],Okey!A:B,2,0),"")</f>
        <v>ok</v>
      </c>
      <c r="I3484" s="34" t="s">
        <v>8539</v>
      </c>
      <c r="J3484" s="34" t="str">
        <f>VLOOKUP(Table2[[#This Row],[Author]],People!A:B,2,0)</f>
        <v>HC</v>
      </c>
      <c r="K3484" s="34"/>
      <c r="L3484" s="34"/>
      <c r="M3484" s="34" t="s">
        <v>9000</v>
      </c>
    </row>
    <row r="3485" spans="1:13" hidden="1">
      <c r="A3485" s="40">
        <f t="shared" si="58"/>
        <v>3484</v>
      </c>
      <c r="B3485" s="34" t="s">
        <v>8</v>
      </c>
      <c r="C3485" s="34" t="s">
        <v>12400</v>
      </c>
      <c r="D3485" s="8" t="s">
        <v>12653</v>
      </c>
      <c r="E3485" s="8" t="s">
        <v>12469</v>
      </c>
      <c r="F3485" s="8" t="s">
        <v>12644</v>
      </c>
      <c r="G3485" s="34" t="s">
        <v>14</v>
      </c>
      <c r="H3485" s="34" t="str">
        <f>IFERROR(VLOOKUP(Table2[[#This Row], [Ticket]],Okey!A:B,2,0),"")</f>
        <v>ok</v>
      </c>
      <c r="I3485" s="34" t="s">
        <v>8539</v>
      </c>
      <c r="J3485" s="34" t="str">
        <f>VLOOKUP(Table2[[#This Row],[Author]],People!A:B,2,0)</f>
        <v>HC</v>
      </c>
      <c r="K3485" s="34"/>
      <c r="L3485" s="34"/>
      <c r="M3485" s="34" t="s">
        <v>9000</v>
      </c>
    </row>
    <row r="3486" spans="1:13" hidden="1">
      <c r="A3486" s="40">
        <f t="shared" si="58"/>
        <v>3485</v>
      </c>
      <c r="B3486" s="34" t="s">
        <v>8</v>
      </c>
      <c r="C3486" s="34" t="s">
        <v>12400</v>
      </c>
      <c r="D3486" s="8" t="s">
        <v>12654</v>
      </c>
      <c r="E3486" s="8" t="s">
        <v>12466</v>
      </c>
      <c r="F3486" s="8" t="s">
        <v>12645</v>
      </c>
      <c r="G3486" s="34" t="s">
        <v>14</v>
      </c>
      <c r="H3486" s="34" t="str">
        <f>IFERROR(VLOOKUP(Table2[[#This Row], [Ticket]],Okey!A:B,2,0),"")</f>
        <v>ok</v>
      </c>
      <c r="I3486" s="34" t="s">
        <v>8539</v>
      </c>
      <c r="J3486" s="34" t="str">
        <f>VLOOKUP(Table2[[#This Row],[Author]],People!A:B,2,0)</f>
        <v>HC</v>
      </c>
      <c r="K3486" s="34"/>
      <c r="L3486" s="34"/>
      <c r="M3486" s="34" t="s">
        <v>9000</v>
      </c>
    </row>
    <row r="3487" spans="1:13" hidden="1">
      <c r="A3487" s="40">
        <f t="shared" si="58"/>
        <v>3486</v>
      </c>
      <c r="B3487" s="34" t="s">
        <v>8</v>
      </c>
      <c r="C3487" s="34" t="s">
        <v>12400</v>
      </c>
      <c r="D3487" s="8" t="s">
        <v>12655</v>
      </c>
      <c r="E3487" s="8" t="s">
        <v>12467</v>
      </c>
      <c r="F3487" s="8" t="s">
        <v>12645</v>
      </c>
      <c r="G3487" s="34" t="s">
        <v>14</v>
      </c>
      <c r="H3487" s="34" t="str">
        <f>IFERROR(VLOOKUP(Table2[[#This Row], [Ticket]],Okey!A:B,2,0),"")</f>
        <v>ok</v>
      </c>
      <c r="I3487" s="34" t="s">
        <v>8539</v>
      </c>
      <c r="J3487" s="34" t="str">
        <f>VLOOKUP(Table2[[#This Row],[Author]],People!A:B,2,0)</f>
        <v>HC</v>
      </c>
      <c r="K3487" s="34"/>
      <c r="L3487" s="34"/>
      <c r="M3487" s="34" t="s">
        <v>9000</v>
      </c>
    </row>
    <row r="3488" spans="1:13" hidden="1">
      <c r="A3488" s="40">
        <f t="shared" si="58"/>
        <v>3487</v>
      </c>
      <c r="B3488" s="34" t="s">
        <v>8</v>
      </c>
      <c r="C3488" s="34" t="s">
        <v>12400</v>
      </c>
      <c r="D3488" s="8" t="s">
        <v>12656</v>
      </c>
      <c r="E3488" s="8" t="s">
        <v>12468</v>
      </c>
      <c r="F3488" s="8" t="s">
        <v>12645</v>
      </c>
      <c r="G3488" s="34" t="s">
        <v>14</v>
      </c>
      <c r="H3488" s="34" t="str">
        <f>IFERROR(VLOOKUP(Table2[[#This Row], [Ticket]],Okey!A:B,2,0),"")</f>
        <v>ok</v>
      </c>
      <c r="I3488" s="34" t="s">
        <v>8539</v>
      </c>
      <c r="J3488" s="34" t="str">
        <f>VLOOKUP(Table2[[#This Row],[Author]],People!A:B,2,0)</f>
        <v>HC</v>
      </c>
      <c r="K3488" s="34"/>
      <c r="L3488" s="34"/>
      <c r="M3488" s="34" t="s">
        <v>9000</v>
      </c>
    </row>
    <row r="3489" spans="1:13" hidden="1">
      <c r="A3489" s="40">
        <f t="shared" si="58"/>
        <v>3488</v>
      </c>
      <c r="B3489" s="34" t="s">
        <v>8</v>
      </c>
      <c r="C3489" s="34" t="s">
        <v>12400</v>
      </c>
      <c r="D3489" s="8" t="s">
        <v>12657</v>
      </c>
      <c r="E3489" s="8" t="s">
        <v>12469</v>
      </c>
      <c r="F3489" s="8" t="s">
        <v>12645</v>
      </c>
      <c r="G3489" s="34" t="s">
        <v>14</v>
      </c>
      <c r="H3489" s="34" t="str">
        <f>IFERROR(VLOOKUP(Table2[[#This Row], [Ticket]],Okey!A:B,2,0),"")</f>
        <v>ok</v>
      </c>
      <c r="I3489" s="34" t="s">
        <v>8539</v>
      </c>
      <c r="J3489" s="34" t="str">
        <f>VLOOKUP(Table2[[#This Row],[Author]],People!A:B,2,0)</f>
        <v>HC</v>
      </c>
      <c r="K3489" s="34"/>
      <c r="L3489" s="34"/>
      <c r="M3489" s="34" t="s">
        <v>9000</v>
      </c>
    </row>
    <row r="3490" spans="1:13" hidden="1">
      <c r="A3490" s="40">
        <f t="shared" si="58"/>
        <v>3489</v>
      </c>
      <c r="B3490" s="34" t="s">
        <v>8</v>
      </c>
      <c r="C3490" s="34" t="s">
        <v>12400</v>
      </c>
      <c r="D3490" s="8" t="s">
        <v>12658</v>
      </c>
      <c r="E3490" s="8" t="s">
        <v>12470</v>
      </c>
      <c r="F3490" s="8" t="s">
        <v>1149</v>
      </c>
      <c r="G3490" s="34" t="s">
        <v>14</v>
      </c>
      <c r="H3490" s="34" t="str">
        <f>IFERROR(VLOOKUP(Table2[[#This Row], [Ticket]],Okey!A:B,2,0),"")</f>
        <v>ok</v>
      </c>
      <c r="I3490" s="34" t="s">
        <v>8539</v>
      </c>
      <c r="J3490" s="34" t="str">
        <f>VLOOKUP(Table2[[#This Row],[Author]],People!A:B,2,0)</f>
        <v>HC</v>
      </c>
      <c r="K3490" s="34"/>
      <c r="L3490" s="34"/>
      <c r="M3490" s="34" t="s">
        <v>9000</v>
      </c>
    </row>
    <row r="3491" spans="1:13" hidden="1">
      <c r="A3491" s="40">
        <f t="shared" si="58"/>
        <v>3490</v>
      </c>
      <c r="B3491" s="34" t="s">
        <v>8</v>
      </c>
      <c r="C3491" s="34" t="s">
        <v>12400</v>
      </c>
      <c r="D3491" s="8" t="s">
        <v>12659</v>
      </c>
      <c r="E3491" s="8" t="s">
        <v>12471</v>
      </c>
      <c r="F3491" s="8" t="s">
        <v>1137</v>
      </c>
      <c r="G3491" s="34" t="s">
        <v>14</v>
      </c>
      <c r="H3491" s="34" t="str">
        <f>IFERROR(VLOOKUP(Table2[[#This Row], [Ticket]],Okey!A:B,2,0),"")</f>
        <v>ok</v>
      </c>
      <c r="I3491" s="34" t="s">
        <v>8539</v>
      </c>
      <c r="J3491" s="34" t="str">
        <f>VLOOKUP(Table2[[#This Row],[Author]],People!A:B,2,0)</f>
        <v>HC</v>
      </c>
      <c r="K3491" s="34"/>
      <c r="L3491" s="34"/>
      <c r="M3491" s="34" t="s">
        <v>9000</v>
      </c>
    </row>
    <row r="3492" spans="1:13" hidden="1">
      <c r="A3492" s="40">
        <f t="shared" si="58"/>
        <v>3491</v>
      </c>
      <c r="B3492" s="34" t="s">
        <v>8</v>
      </c>
      <c r="C3492" s="34" t="s">
        <v>12400</v>
      </c>
      <c r="D3492" s="8" t="s">
        <v>12660</v>
      </c>
      <c r="E3492" s="8" t="s">
        <v>12472</v>
      </c>
      <c r="F3492" s="8" t="s">
        <v>12659</v>
      </c>
      <c r="G3492" s="34" t="s">
        <v>14</v>
      </c>
      <c r="H3492" s="34" t="str">
        <f>IFERROR(VLOOKUP(Table2[[#This Row], [Ticket]],Okey!A:B,2,0),"")</f>
        <v>ok</v>
      </c>
      <c r="I3492" s="34" t="s">
        <v>8539</v>
      </c>
      <c r="J3492" s="34" t="str">
        <f>VLOOKUP(Table2[[#This Row],[Author]],People!A:B,2,0)</f>
        <v>HC</v>
      </c>
      <c r="K3492" s="34"/>
      <c r="L3492" s="34"/>
      <c r="M3492" s="34" t="s">
        <v>9000</v>
      </c>
    </row>
    <row r="3493" spans="1:13" hidden="1">
      <c r="A3493" s="40">
        <f t="shared" si="58"/>
        <v>3492</v>
      </c>
      <c r="B3493" s="34" t="s">
        <v>8</v>
      </c>
      <c r="C3493" s="34" t="s">
        <v>12400</v>
      </c>
      <c r="D3493" s="8" t="s">
        <v>12661</v>
      </c>
      <c r="E3493" s="8" t="s">
        <v>12473</v>
      </c>
      <c r="F3493" s="8" t="s">
        <v>12659</v>
      </c>
      <c r="G3493" s="34" t="s">
        <v>14</v>
      </c>
      <c r="H3493" s="34" t="str">
        <f>IFERROR(VLOOKUP(Table2[[#This Row], [Ticket]],Okey!A:B,2,0),"")</f>
        <v>ok</v>
      </c>
      <c r="I3493" s="34" t="s">
        <v>8539</v>
      </c>
      <c r="J3493" s="34" t="str">
        <f>VLOOKUP(Table2[[#This Row],[Author]],People!A:B,2,0)</f>
        <v>HC</v>
      </c>
      <c r="K3493" s="34"/>
      <c r="L3493" s="34"/>
      <c r="M3493" s="34" t="s">
        <v>9000</v>
      </c>
    </row>
    <row r="3494" spans="1:13" hidden="1">
      <c r="A3494" s="40">
        <f t="shared" si="58"/>
        <v>3493</v>
      </c>
      <c r="B3494" s="34" t="s">
        <v>8</v>
      </c>
      <c r="C3494" s="34" t="s">
        <v>12400</v>
      </c>
      <c r="D3494" s="8" t="s">
        <v>12662</v>
      </c>
      <c r="E3494" s="8" t="s">
        <v>12474</v>
      </c>
      <c r="F3494" s="8" t="s">
        <v>12659</v>
      </c>
      <c r="G3494" s="34" t="s">
        <v>14</v>
      </c>
      <c r="H3494" s="34" t="str">
        <f>IFERROR(VLOOKUP(Table2[[#This Row], [Ticket]],Okey!A:B,2,0),"")</f>
        <v>ok</v>
      </c>
      <c r="I3494" s="34" t="s">
        <v>8539</v>
      </c>
      <c r="J3494" s="34" t="str">
        <f>VLOOKUP(Table2[[#This Row],[Author]],People!A:B,2,0)</f>
        <v>HC</v>
      </c>
      <c r="K3494" s="34"/>
      <c r="L3494" s="34"/>
      <c r="M3494" s="34" t="s">
        <v>9000</v>
      </c>
    </row>
    <row r="3495" spans="1:13" hidden="1">
      <c r="A3495" s="40">
        <f t="shared" si="58"/>
        <v>3494</v>
      </c>
      <c r="B3495" s="34" t="s">
        <v>8</v>
      </c>
      <c r="C3495" s="34" t="s">
        <v>12400</v>
      </c>
      <c r="D3495" s="8" t="s">
        <v>12663</v>
      </c>
      <c r="E3495" s="8" t="s">
        <v>12475</v>
      </c>
      <c r="F3495" s="8" t="s">
        <v>12659</v>
      </c>
      <c r="G3495" s="34" t="s">
        <v>14</v>
      </c>
      <c r="H3495" s="34" t="str">
        <f>IFERROR(VLOOKUP(Table2[[#This Row], [Ticket]],Okey!A:B,2,0),"")</f>
        <v>ok</v>
      </c>
      <c r="I3495" s="34" t="s">
        <v>8539</v>
      </c>
      <c r="J3495" s="34" t="str">
        <f>VLOOKUP(Table2[[#This Row],[Author]],People!A:B,2,0)</f>
        <v>HC</v>
      </c>
      <c r="K3495" s="34"/>
      <c r="L3495" s="34"/>
      <c r="M3495" s="34" t="s">
        <v>9000</v>
      </c>
    </row>
    <row r="3496" spans="1:13" hidden="1">
      <c r="A3496" s="40">
        <f t="shared" si="58"/>
        <v>3495</v>
      </c>
      <c r="B3496" s="34" t="s">
        <v>8</v>
      </c>
      <c r="C3496" s="34" t="s">
        <v>12400</v>
      </c>
      <c r="D3496" s="8" t="s">
        <v>12664</v>
      </c>
      <c r="E3496" s="8" t="s">
        <v>12476</v>
      </c>
      <c r="F3496" s="8" t="s">
        <v>12660</v>
      </c>
      <c r="G3496" s="34" t="s">
        <v>14</v>
      </c>
      <c r="H3496" s="34" t="str">
        <f>IFERROR(VLOOKUP(Table2[[#This Row], [Ticket]],Okey!A:B,2,0),"")</f>
        <v>ok</v>
      </c>
      <c r="I3496" s="34" t="s">
        <v>8539</v>
      </c>
      <c r="J3496" s="34" t="str">
        <f>VLOOKUP(Table2[[#This Row],[Author]],People!A:B,2,0)</f>
        <v>HC</v>
      </c>
      <c r="K3496" s="34"/>
      <c r="L3496" s="34"/>
      <c r="M3496" s="34" t="s">
        <v>9000</v>
      </c>
    </row>
    <row r="3497" spans="1:13" hidden="1">
      <c r="A3497" s="40">
        <f t="shared" si="58"/>
        <v>3496</v>
      </c>
      <c r="B3497" s="34" t="s">
        <v>8</v>
      </c>
      <c r="C3497" s="34" t="s">
        <v>12400</v>
      </c>
      <c r="D3497" s="8" t="s">
        <v>12665</v>
      </c>
      <c r="E3497" s="8" t="s">
        <v>12477</v>
      </c>
      <c r="F3497" s="8" t="s">
        <v>12660</v>
      </c>
      <c r="G3497" s="34" t="s">
        <v>14</v>
      </c>
      <c r="H3497" s="34" t="str">
        <f>IFERROR(VLOOKUP(Table2[[#This Row], [Ticket]],Okey!A:B,2,0),"")</f>
        <v>ok</v>
      </c>
      <c r="I3497" s="34" t="s">
        <v>8539</v>
      </c>
      <c r="J3497" s="34" t="str">
        <f>VLOOKUP(Table2[[#This Row],[Author]],People!A:B,2,0)</f>
        <v>HC</v>
      </c>
      <c r="K3497" s="34"/>
      <c r="L3497" s="34"/>
      <c r="M3497" s="34" t="s">
        <v>9000</v>
      </c>
    </row>
    <row r="3498" spans="1:13" hidden="1">
      <c r="A3498" s="40">
        <f t="shared" si="58"/>
        <v>3497</v>
      </c>
      <c r="B3498" s="34" t="s">
        <v>8</v>
      </c>
      <c r="C3498" s="34" t="s">
        <v>12400</v>
      </c>
      <c r="D3498" s="8" t="s">
        <v>12666</v>
      </c>
      <c r="E3498" s="8" t="s">
        <v>12478</v>
      </c>
      <c r="F3498" s="8" t="s">
        <v>12661</v>
      </c>
      <c r="G3498" s="34" t="s">
        <v>14</v>
      </c>
      <c r="H3498" s="34" t="str">
        <f>IFERROR(VLOOKUP(Table2[[#This Row], [Ticket]],Okey!A:B,2,0),"")</f>
        <v>ok</v>
      </c>
      <c r="I3498" s="34" t="s">
        <v>8539</v>
      </c>
      <c r="J3498" s="34" t="str">
        <f>VLOOKUP(Table2[[#This Row],[Author]],People!A:B,2,0)</f>
        <v>HC</v>
      </c>
      <c r="K3498" s="34"/>
      <c r="L3498" s="34"/>
      <c r="M3498" s="34" t="s">
        <v>9000</v>
      </c>
    </row>
    <row r="3499" spans="1:13" hidden="1">
      <c r="A3499" s="40">
        <f t="shared" si="58"/>
        <v>3498</v>
      </c>
      <c r="B3499" s="34" t="s">
        <v>8</v>
      </c>
      <c r="C3499" s="34" t="s">
        <v>12400</v>
      </c>
      <c r="D3499" s="8" t="s">
        <v>12667</v>
      </c>
      <c r="E3499" s="8" t="s">
        <v>12479</v>
      </c>
      <c r="F3499" s="8" t="s">
        <v>12661</v>
      </c>
      <c r="G3499" s="34" t="s">
        <v>14</v>
      </c>
      <c r="H3499" s="34" t="str">
        <f>IFERROR(VLOOKUP(Table2[[#This Row], [Ticket]],Okey!A:B,2,0),"")</f>
        <v>ok</v>
      </c>
      <c r="I3499" s="34" t="s">
        <v>8539</v>
      </c>
      <c r="J3499" s="34" t="str">
        <f>VLOOKUP(Table2[[#This Row],[Author]],People!A:B,2,0)</f>
        <v>HC</v>
      </c>
      <c r="K3499" s="34"/>
      <c r="L3499" s="34"/>
      <c r="M3499" s="34" t="s">
        <v>9000</v>
      </c>
    </row>
    <row r="3500" spans="1:13" hidden="1">
      <c r="A3500" s="40">
        <f t="shared" si="58"/>
        <v>3499</v>
      </c>
      <c r="B3500" s="34" t="s">
        <v>8</v>
      </c>
      <c r="C3500" s="34" t="s">
        <v>12400</v>
      </c>
      <c r="D3500" s="8" t="s">
        <v>12668</v>
      </c>
      <c r="E3500" s="8" t="s">
        <v>12480</v>
      </c>
      <c r="F3500" s="8" t="s">
        <v>12661</v>
      </c>
      <c r="G3500" s="34" t="s">
        <v>14</v>
      </c>
      <c r="H3500" s="34" t="str">
        <f>IFERROR(VLOOKUP(Table2[[#This Row], [Ticket]],Okey!A:B,2,0),"")</f>
        <v>ok</v>
      </c>
      <c r="I3500" s="34" t="s">
        <v>8539</v>
      </c>
      <c r="J3500" s="34" t="str">
        <f>VLOOKUP(Table2[[#This Row],[Author]],People!A:B,2,0)</f>
        <v>HC</v>
      </c>
      <c r="K3500" s="34"/>
      <c r="L3500" s="34"/>
      <c r="M3500" s="34" t="s">
        <v>9000</v>
      </c>
    </row>
    <row r="3501" spans="1:13" hidden="1">
      <c r="A3501" s="40">
        <f t="shared" si="58"/>
        <v>3500</v>
      </c>
      <c r="B3501" s="34" t="s">
        <v>8</v>
      </c>
      <c r="C3501" s="34" t="s">
        <v>12400</v>
      </c>
      <c r="D3501" s="8" t="s">
        <v>12669</v>
      </c>
      <c r="E3501" s="8" t="s">
        <v>12481</v>
      </c>
      <c r="F3501" s="8" t="s">
        <v>12662</v>
      </c>
      <c r="G3501" s="34" t="s">
        <v>14</v>
      </c>
      <c r="H3501" s="34" t="str">
        <f>IFERROR(VLOOKUP(Table2[[#This Row], [Ticket]],Okey!A:B,2,0),"")</f>
        <v>ok</v>
      </c>
      <c r="I3501" s="34" t="s">
        <v>8539</v>
      </c>
      <c r="J3501" s="34" t="str">
        <f>VLOOKUP(Table2[[#This Row],[Author]],People!A:B,2,0)</f>
        <v>HC</v>
      </c>
      <c r="K3501" s="34"/>
      <c r="L3501" s="34"/>
      <c r="M3501" s="34" t="s">
        <v>9000</v>
      </c>
    </row>
    <row r="3502" spans="1:13" hidden="1">
      <c r="A3502" s="40">
        <f t="shared" si="58"/>
        <v>3501</v>
      </c>
      <c r="B3502" s="34" t="s">
        <v>8</v>
      </c>
      <c r="C3502" s="34" t="s">
        <v>12400</v>
      </c>
      <c r="D3502" s="8" t="s">
        <v>12670</v>
      </c>
      <c r="E3502" s="8" t="s">
        <v>12482</v>
      </c>
      <c r="F3502" s="8" t="s">
        <v>12662</v>
      </c>
      <c r="G3502" s="34" t="s">
        <v>14</v>
      </c>
      <c r="H3502" s="34" t="str">
        <f>IFERROR(VLOOKUP(Table2[[#This Row], [Ticket]],Okey!A:B,2,0),"")</f>
        <v>ok</v>
      </c>
      <c r="I3502" s="34" t="s">
        <v>8539</v>
      </c>
      <c r="J3502" s="34" t="str">
        <f>VLOOKUP(Table2[[#This Row],[Author]],People!A:B,2,0)</f>
        <v>HC</v>
      </c>
      <c r="K3502" s="34"/>
      <c r="L3502" s="34"/>
      <c r="M3502" s="34" t="s">
        <v>9000</v>
      </c>
    </row>
    <row r="3503" spans="1:13" hidden="1">
      <c r="A3503" s="40">
        <f t="shared" si="58"/>
        <v>3502</v>
      </c>
      <c r="B3503" s="34" t="s">
        <v>8</v>
      </c>
      <c r="C3503" s="34" t="s">
        <v>12400</v>
      </c>
      <c r="D3503" s="8" t="s">
        <v>12671</v>
      </c>
      <c r="E3503" s="8" t="s">
        <v>12483</v>
      </c>
      <c r="F3503" s="8" t="s">
        <v>12662</v>
      </c>
      <c r="G3503" s="34" t="s">
        <v>14</v>
      </c>
      <c r="H3503" s="34" t="str">
        <f>IFERROR(VLOOKUP(Table2[[#This Row], [Ticket]],Okey!A:B,2,0),"")</f>
        <v>ok</v>
      </c>
      <c r="I3503" s="34" t="s">
        <v>8539</v>
      </c>
      <c r="J3503" s="34" t="str">
        <f>VLOOKUP(Table2[[#This Row],[Author]],People!A:B,2,0)</f>
        <v>HC</v>
      </c>
      <c r="K3503" s="34"/>
      <c r="L3503" s="34"/>
      <c r="M3503" s="34" t="s">
        <v>9000</v>
      </c>
    </row>
    <row r="3504" spans="1:13" hidden="1">
      <c r="A3504" s="40">
        <f t="shared" si="58"/>
        <v>3503</v>
      </c>
      <c r="B3504" s="34" t="s">
        <v>8</v>
      </c>
      <c r="C3504" s="34" t="s">
        <v>12400</v>
      </c>
      <c r="D3504" s="8" t="s">
        <v>12672</v>
      </c>
      <c r="E3504" s="8" t="s">
        <v>12484</v>
      </c>
      <c r="F3504" s="8" t="s">
        <v>12665</v>
      </c>
      <c r="G3504" s="34" t="s">
        <v>14</v>
      </c>
      <c r="H3504" s="34" t="str">
        <f>IFERROR(VLOOKUP(Table2[[#This Row], [Ticket]],Okey!A:B,2,0),"")</f>
        <v>ok</v>
      </c>
      <c r="I3504" s="34" t="s">
        <v>8539</v>
      </c>
      <c r="J3504" s="34" t="str">
        <f>VLOOKUP(Table2[[#This Row],[Author]],People!A:B,2,0)</f>
        <v>HC</v>
      </c>
      <c r="K3504" s="34"/>
      <c r="L3504" s="34"/>
      <c r="M3504" s="34" t="s">
        <v>9000</v>
      </c>
    </row>
    <row r="3505" spans="1:13" hidden="1">
      <c r="A3505" s="40">
        <f t="shared" si="58"/>
        <v>3504</v>
      </c>
      <c r="B3505" s="34" t="s">
        <v>8</v>
      </c>
      <c r="C3505" s="34" t="s">
        <v>12400</v>
      </c>
      <c r="D3505" s="8" t="s">
        <v>12673</v>
      </c>
      <c r="E3505" s="8" t="s">
        <v>12485</v>
      </c>
      <c r="F3505" s="8" t="s">
        <v>12664</v>
      </c>
      <c r="G3505" s="34" t="s">
        <v>14</v>
      </c>
      <c r="H3505" s="34" t="str">
        <f>IFERROR(VLOOKUP(Table2[[#This Row], [Ticket]],Okey!A:B,2,0),"")</f>
        <v>ok</v>
      </c>
      <c r="I3505" s="34" t="s">
        <v>8539</v>
      </c>
      <c r="J3505" s="34" t="str">
        <f>VLOOKUP(Table2[[#This Row],[Author]],People!A:B,2,0)</f>
        <v>HC</v>
      </c>
      <c r="K3505" s="34"/>
      <c r="L3505" s="34"/>
      <c r="M3505" s="34" t="s">
        <v>9000</v>
      </c>
    </row>
    <row r="3506" spans="1:13" hidden="1">
      <c r="A3506" s="40">
        <f t="shared" si="58"/>
        <v>3505</v>
      </c>
      <c r="B3506" s="34" t="s">
        <v>8</v>
      </c>
      <c r="C3506" s="34" t="s">
        <v>12400</v>
      </c>
      <c r="D3506" s="8" t="s">
        <v>12674</v>
      </c>
      <c r="E3506" s="8" t="s">
        <v>12486</v>
      </c>
      <c r="F3506" s="8" t="s">
        <v>12665</v>
      </c>
      <c r="G3506" s="34" t="s">
        <v>14</v>
      </c>
      <c r="H3506" s="34" t="str">
        <f>IFERROR(VLOOKUP(Table2[[#This Row], [Ticket]],Okey!A:B,2,0),"")</f>
        <v>ok</v>
      </c>
      <c r="I3506" s="34" t="s">
        <v>8539</v>
      </c>
      <c r="J3506" s="34" t="str">
        <f>VLOOKUP(Table2[[#This Row],[Author]],People!A:B,2,0)</f>
        <v>HC</v>
      </c>
      <c r="K3506" s="34"/>
      <c r="L3506" s="34"/>
      <c r="M3506" s="34" t="s">
        <v>9000</v>
      </c>
    </row>
    <row r="3507" spans="1:13" hidden="1">
      <c r="A3507" s="40">
        <f t="shared" si="58"/>
        <v>3506</v>
      </c>
      <c r="B3507" s="34" t="s">
        <v>8</v>
      </c>
      <c r="C3507" s="34" t="s">
        <v>12400</v>
      </c>
      <c r="D3507" s="8" t="s">
        <v>12675</v>
      </c>
      <c r="E3507" s="8" t="s">
        <v>12487</v>
      </c>
      <c r="F3507" s="8" t="s">
        <v>12665</v>
      </c>
      <c r="G3507" s="34" t="s">
        <v>14</v>
      </c>
      <c r="H3507" s="34" t="str">
        <f>IFERROR(VLOOKUP(Table2[[#This Row], [Ticket]],Okey!A:B,2,0),"")</f>
        <v>ok</v>
      </c>
      <c r="I3507" s="34" t="s">
        <v>8539</v>
      </c>
      <c r="J3507" s="34" t="str">
        <f>VLOOKUP(Table2[[#This Row],[Author]],People!A:B,2,0)</f>
        <v>HC</v>
      </c>
      <c r="K3507" s="34"/>
      <c r="L3507" s="34"/>
      <c r="M3507" s="34" t="s">
        <v>9000</v>
      </c>
    </row>
    <row r="3508" spans="1:13" hidden="1">
      <c r="A3508" s="40">
        <f t="shared" si="58"/>
        <v>3507</v>
      </c>
      <c r="B3508" s="34" t="s">
        <v>8</v>
      </c>
      <c r="C3508" s="34" t="s">
        <v>12400</v>
      </c>
      <c r="D3508" s="8" t="s">
        <v>12676</v>
      </c>
      <c r="E3508" s="8" t="s">
        <v>12488</v>
      </c>
      <c r="F3508" s="8" t="s">
        <v>12672</v>
      </c>
      <c r="G3508" s="34" t="s">
        <v>14</v>
      </c>
      <c r="H3508" s="34" t="str">
        <f>IFERROR(VLOOKUP(Table2[[#This Row], [Ticket]],Okey!A:B,2,0),"")</f>
        <v>ok</v>
      </c>
      <c r="I3508" s="34" t="s">
        <v>8539</v>
      </c>
      <c r="J3508" s="34" t="str">
        <f>VLOOKUP(Table2[[#This Row],[Author]],People!A:B,2,0)</f>
        <v>HC</v>
      </c>
      <c r="K3508" s="34"/>
      <c r="L3508" s="34"/>
      <c r="M3508" s="34" t="s">
        <v>9000</v>
      </c>
    </row>
    <row r="3509" spans="1:13" hidden="1">
      <c r="A3509" s="40">
        <f t="shared" si="58"/>
        <v>3508</v>
      </c>
      <c r="B3509" s="34" t="s">
        <v>8</v>
      </c>
      <c r="C3509" s="34" t="s">
        <v>12400</v>
      </c>
      <c r="D3509" s="8" t="s">
        <v>12677</v>
      </c>
      <c r="E3509" s="8" t="s">
        <v>12489</v>
      </c>
      <c r="F3509" s="8" t="s">
        <v>12672</v>
      </c>
      <c r="G3509" s="34" t="s">
        <v>14</v>
      </c>
      <c r="H3509" s="34" t="str">
        <f>IFERROR(VLOOKUP(Table2[[#This Row], [Ticket]],Okey!A:B,2,0),"")</f>
        <v>ok</v>
      </c>
      <c r="I3509" s="34" t="s">
        <v>8539</v>
      </c>
      <c r="J3509" s="34" t="str">
        <f>VLOOKUP(Table2[[#This Row],[Author]],People!A:B,2,0)</f>
        <v>HC</v>
      </c>
      <c r="K3509" s="34"/>
      <c r="L3509" s="34"/>
      <c r="M3509" s="34" t="s">
        <v>9000</v>
      </c>
    </row>
    <row r="3510" spans="1:13" hidden="1">
      <c r="A3510" s="40">
        <f t="shared" si="58"/>
        <v>3509</v>
      </c>
      <c r="B3510" s="34" t="s">
        <v>8</v>
      </c>
      <c r="C3510" s="34" t="s">
        <v>12400</v>
      </c>
      <c r="D3510" s="8" t="s">
        <v>12678</v>
      </c>
      <c r="E3510" s="8" t="s">
        <v>12490</v>
      </c>
      <c r="F3510" s="8" t="s">
        <v>12672</v>
      </c>
      <c r="G3510" s="34" t="s">
        <v>14</v>
      </c>
      <c r="H3510" s="34" t="str">
        <f>IFERROR(VLOOKUP(Table2[[#This Row], [Ticket]],Okey!A:B,2,0),"")</f>
        <v>ok</v>
      </c>
      <c r="I3510" s="34" t="s">
        <v>8539</v>
      </c>
      <c r="J3510" s="34" t="str">
        <f>VLOOKUP(Table2[[#This Row],[Author]],People!A:B,2,0)</f>
        <v>HC</v>
      </c>
      <c r="K3510" s="34"/>
      <c r="L3510" s="34"/>
      <c r="M3510" s="34" t="s">
        <v>9000</v>
      </c>
    </row>
    <row r="3511" spans="1:13" hidden="1">
      <c r="A3511" s="40">
        <f t="shared" si="58"/>
        <v>3510</v>
      </c>
      <c r="B3511" s="34" t="s">
        <v>8</v>
      </c>
      <c r="C3511" s="34" t="s">
        <v>12400</v>
      </c>
      <c r="D3511" s="8" t="s">
        <v>12679</v>
      </c>
      <c r="E3511" s="8" t="s">
        <v>12491</v>
      </c>
      <c r="F3511" s="8" t="s">
        <v>12672</v>
      </c>
      <c r="G3511" s="34" t="s">
        <v>14</v>
      </c>
      <c r="H3511" s="34" t="str">
        <f>IFERROR(VLOOKUP(Table2[[#This Row], [Ticket]],Okey!A:B,2,0),"")</f>
        <v>ok</v>
      </c>
      <c r="I3511" s="34" t="s">
        <v>8539</v>
      </c>
      <c r="J3511" s="34" t="str">
        <f>VLOOKUP(Table2[[#This Row],[Author]],People!A:B,2,0)</f>
        <v>HC</v>
      </c>
      <c r="K3511" s="34"/>
      <c r="L3511" s="34"/>
      <c r="M3511" s="34" t="s">
        <v>9000</v>
      </c>
    </row>
    <row r="3512" spans="1:13" hidden="1">
      <c r="A3512" s="40">
        <f t="shared" si="58"/>
        <v>3511</v>
      </c>
      <c r="B3512" s="34" t="s">
        <v>8</v>
      </c>
      <c r="C3512" s="34" t="s">
        <v>12400</v>
      </c>
      <c r="D3512" s="8" t="s">
        <v>12680</v>
      </c>
      <c r="E3512" s="8" t="s">
        <v>12480</v>
      </c>
      <c r="F3512" s="8" t="s">
        <v>12672</v>
      </c>
      <c r="G3512" s="34" t="s">
        <v>14</v>
      </c>
      <c r="H3512" s="34" t="str">
        <f>IFERROR(VLOOKUP(Table2[[#This Row], [Ticket]],Okey!A:B,2,0),"")</f>
        <v>ok</v>
      </c>
      <c r="I3512" s="34" t="s">
        <v>8539</v>
      </c>
      <c r="J3512" s="34" t="str">
        <f>VLOOKUP(Table2[[#This Row],[Author]],People!A:B,2,0)</f>
        <v>HC</v>
      </c>
      <c r="K3512" s="34"/>
      <c r="L3512" s="34"/>
      <c r="M3512" s="34" t="s">
        <v>9000</v>
      </c>
    </row>
    <row r="3513" spans="1:13" hidden="1">
      <c r="A3513" s="40">
        <f t="shared" si="58"/>
        <v>3512</v>
      </c>
      <c r="B3513" s="34" t="s">
        <v>8</v>
      </c>
      <c r="C3513" s="34" t="s">
        <v>12400</v>
      </c>
      <c r="D3513" s="8" t="s">
        <v>12681</v>
      </c>
      <c r="E3513" s="8" t="s">
        <v>12492</v>
      </c>
      <c r="F3513" s="8" t="s">
        <v>12672</v>
      </c>
      <c r="G3513" s="34" t="s">
        <v>14</v>
      </c>
      <c r="H3513" s="34" t="str">
        <f>IFERROR(VLOOKUP(Table2[[#This Row], [Ticket]],Okey!A:B,2,0),"")</f>
        <v>ok</v>
      </c>
      <c r="I3513" s="34" t="s">
        <v>8539</v>
      </c>
      <c r="J3513" s="34" t="str">
        <f>VLOOKUP(Table2[[#This Row],[Author]],People!A:B,2,0)</f>
        <v>HC</v>
      </c>
      <c r="K3513" s="34"/>
      <c r="L3513" s="34"/>
      <c r="M3513" s="34" t="s">
        <v>9000</v>
      </c>
    </row>
    <row r="3514" spans="1:13" hidden="1">
      <c r="A3514" s="40">
        <f t="shared" si="58"/>
        <v>3513</v>
      </c>
      <c r="B3514" s="34" t="s">
        <v>8</v>
      </c>
      <c r="C3514" s="34" t="s">
        <v>12400</v>
      </c>
      <c r="D3514" s="8" t="s">
        <v>12682</v>
      </c>
      <c r="E3514" s="8" t="s">
        <v>12478</v>
      </c>
      <c r="F3514" s="8" t="s">
        <v>12672</v>
      </c>
      <c r="G3514" s="34" t="s">
        <v>14</v>
      </c>
      <c r="H3514" s="34" t="str">
        <f>IFERROR(VLOOKUP(Table2[[#This Row], [Ticket]],Okey!A:B,2,0),"")</f>
        <v>ok</v>
      </c>
      <c r="I3514" s="34" t="s">
        <v>8539</v>
      </c>
      <c r="J3514" s="34" t="str">
        <f>VLOOKUP(Table2[[#This Row],[Author]],People!A:B,2,0)</f>
        <v>HC</v>
      </c>
      <c r="K3514" s="34"/>
      <c r="L3514" s="34"/>
      <c r="M3514" s="34" t="s">
        <v>9000</v>
      </c>
    </row>
    <row r="3515" spans="1:13" hidden="1">
      <c r="A3515" s="40">
        <f t="shared" si="58"/>
        <v>3514</v>
      </c>
      <c r="B3515" s="34" t="s">
        <v>8</v>
      </c>
      <c r="C3515" s="34" t="s">
        <v>12400</v>
      </c>
      <c r="D3515" s="8" t="s">
        <v>12683</v>
      </c>
      <c r="E3515" s="8" t="s">
        <v>12488</v>
      </c>
      <c r="F3515" s="8" t="s">
        <v>12673</v>
      </c>
      <c r="G3515" s="34" t="s">
        <v>14</v>
      </c>
      <c r="H3515" s="34" t="str">
        <f>IFERROR(VLOOKUP(Table2[[#This Row], [Ticket]],Okey!A:B,2,0),"")</f>
        <v>ok</v>
      </c>
      <c r="I3515" s="34" t="s">
        <v>8539</v>
      </c>
      <c r="J3515" s="34" t="str">
        <f>VLOOKUP(Table2[[#This Row],[Author]],People!A:B,2,0)</f>
        <v>HC</v>
      </c>
      <c r="K3515" s="34"/>
      <c r="L3515" s="34"/>
      <c r="M3515" s="34" t="s">
        <v>9000</v>
      </c>
    </row>
    <row r="3516" spans="1:13" hidden="1">
      <c r="A3516" s="40">
        <f t="shared" si="58"/>
        <v>3515</v>
      </c>
      <c r="B3516" s="34" t="s">
        <v>8</v>
      </c>
      <c r="C3516" s="34" t="s">
        <v>12400</v>
      </c>
      <c r="D3516" s="8" t="s">
        <v>12684</v>
      </c>
      <c r="E3516" s="8" t="s">
        <v>12489</v>
      </c>
      <c r="F3516" s="8" t="s">
        <v>12673</v>
      </c>
      <c r="G3516" s="34" t="s">
        <v>14</v>
      </c>
      <c r="H3516" s="34" t="str">
        <f>IFERROR(VLOOKUP(Table2[[#This Row], [Ticket]],Okey!A:B,2,0),"")</f>
        <v>ok</v>
      </c>
      <c r="I3516" s="34" t="s">
        <v>8539</v>
      </c>
      <c r="J3516" s="34" t="str">
        <f>VLOOKUP(Table2[[#This Row],[Author]],People!A:B,2,0)</f>
        <v>HC</v>
      </c>
      <c r="K3516" s="34"/>
      <c r="L3516" s="34"/>
      <c r="M3516" s="34" t="s">
        <v>9000</v>
      </c>
    </row>
    <row r="3517" spans="1:13" hidden="1">
      <c r="A3517" s="40">
        <f t="shared" si="58"/>
        <v>3516</v>
      </c>
      <c r="B3517" s="34" t="s">
        <v>8</v>
      </c>
      <c r="C3517" s="34" t="s">
        <v>12400</v>
      </c>
      <c r="D3517" s="8" t="s">
        <v>12685</v>
      </c>
      <c r="E3517" s="8" t="s">
        <v>12490</v>
      </c>
      <c r="F3517" s="8" t="s">
        <v>12673</v>
      </c>
      <c r="G3517" s="34" t="s">
        <v>14</v>
      </c>
      <c r="H3517" s="34" t="str">
        <f>IFERROR(VLOOKUP(Table2[[#This Row], [Ticket]],Okey!A:B,2,0),"")</f>
        <v>ok</v>
      </c>
      <c r="I3517" s="34" t="s">
        <v>8539</v>
      </c>
      <c r="J3517" s="34" t="str">
        <f>VLOOKUP(Table2[[#This Row],[Author]],People!A:B,2,0)</f>
        <v>HC</v>
      </c>
      <c r="K3517" s="34"/>
      <c r="L3517" s="34"/>
      <c r="M3517" s="34" t="s">
        <v>9000</v>
      </c>
    </row>
    <row r="3518" spans="1:13" hidden="1">
      <c r="A3518" s="40">
        <f t="shared" ref="A3518:A3581" si="59">1+A3517</f>
        <v>3517</v>
      </c>
      <c r="B3518" s="34" t="s">
        <v>8</v>
      </c>
      <c r="C3518" s="34" t="s">
        <v>12400</v>
      </c>
      <c r="D3518" s="8" t="s">
        <v>12686</v>
      </c>
      <c r="E3518" s="8" t="s">
        <v>12491</v>
      </c>
      <c r="F3518" s="8" t="s">
        <v>12673</v>
      </c>
      <c r="G3518" s="34" t="s">
        <v>14</v>
      </c>
      <c r="H3518" s="34" t="str">
        <f>IFERROR(VLOOKUP(Table2[[#This Row], [Ticket]],Okey!A:B,2,0),"")</f>
        <v>ok</v>
      </c>
      <c r="I3518" s="34" t="s">
        <v>8539</v>
      </c>
      <c r="J3518" s="34" t="str">
        <f>VLOOKUP(Table2[[#This Row],[Author]],People!A:B,2,0)</f>
        <v>HC</v>
      </c>
      <c r="K3518" s="34"/>
      <c r="L3518" s="34"/>
      <c r="M3518" s="34" t="s">
        <v>9000</v>
      </c>
    </row>
    <row r="3519" spans="1:13" hidden="1">
      <c r="A3519" s="40">
        <f t="shared" si="59"/>
        <v>3518</v>
      </c>
      <c r="B3519" s="34" t="s">
        <v>8</v>
      </c>
      <c r="C3519" s="34" t="s">
        <v>12400</v>
      </c>
      <c r="D3519" s="8" t="s">
        <v>12687</v>
      </c>
      <c r="E3519" s="8" t="s">
        <v>12480</v>
      </c>
      <c r="F3519" s="8" t="s">
        <v>12673</v>
      </c>
      <c r="G3519" s="34" t="s">
        <v>14</v>
      </c>
      <c r="H3519" s="34" t="str">
        <f>IFERROR(VLOOKUP(Table2[[#This Row], [Ticket]],Okey!A:B,2,0),"")</f>
        <v>ok</v>
      </c>
      <c r="I3519" s="34" t="s">
        <v>8539</v>
      </c>
      <c r="J3519" s="34" t="str">
        <f>VLOOKUP(Table2[[#This Row],[Author]],People!A:B,2,0)</f>
        <v>HC</v>
      </c>
      <c r="K3519" s="34"/>
      <c r="L3519" s="34"/>
      <c r="M3519" s="34" t="s">
        <v>9000</v>
      </c>
    </row>
    <row r="3520" spans="1:13" hidden="1">
      <c r="A3520" s="40">
        <f t="shared" si="59"/>
        <v>3519</v>
      </c>
      <c r="B3520" s="34" t="s">
        <v>8</v>
      </c>
      <c r="C3520" s="34" t="s">
        <v>12400</v>
      </c>
      <c r="D3520" s="8" t="s">
        <v>12688</v>
      </c>
      <c r="E3520" s="8" t="s">
        <v>12492</v>
      </c>
      <c r="F3520" s="8" t="s">
        <v>12673</v>
      </c>
      <c r="G3520" s="34" t="s">
        <v>14</v>
      </c>
      <c r="H3520" s="34" t="str">
        <f>IFERROR(VLOOKUP(Table2[[#This Row], [Ticket]],Okey!A:B,2,0),"")</f>
        <v>ok</v>
      </c>
      <c r="I3520" s="34" t="s">
        <v>8539</v>
      </c>
      <c r="J3520" s="34" t="str">
        <f>VLOOKUP(Table2[[#This Row],[Author]],People!A:B,2,0)</f>
        <v>HC</v>
      </c>
      <c r="K3520" s="34"/>
      <c r="L3520" s="34"/>
      <c r="M3520" s="34" t="s">
        <v>9000</v>
      </c>
    </row>
    <row r="3521" spans="1:13" hidden="1">
      <c r="A3521" s="40">
        <f t="shared" si="59"/>
        <v>3520</v>
      </c>
      <c r="B3521" s="34" t="s">
        <v>8</v>
      </c>
      <c r="C3521" s="34" t="s">
        <v>12400</v>
      </c>
      <c r="D3521" s="8" t="s">
        <v>12689</v>
      </c>
      <c r="E3521" s="8" t="s">
        <v>12478</v>
      </c>
      <c r="F3521" s="8" t="s">
        <v>12673</v>
      </c>
      <c r="G3521" s="34" t="s">
        <v>14</v>
      </c>
      <c r="H3521" s="34" t="str">
        <f>IFERROR(VLOOKUP(Table2[[#This Row], [Ticket]],Okey!A:B,2,0),"")</f>
        <v>ok</v>
      </c>
      <c r="I3521" s="34" t="s">
        <v>8539</v>
      </c>
      <c r="J3521" s="34" t="str">
        <f>VLOOKUP(Table2[[#This Row],[Author]],People!A:B,2,0)</f>
        <v>HC</v>
      </c>
      <c r="K3521" s="34"/>
      <c r="L3521" s="34"/>
      <c r="M3521" s="34" t="s">
        <v>9000</v>
      </c>
    </row>
    <row r="3522" spans="1:13" hidden="1">
      <c r="A3522" s="40">
        <f t="shared" si="59"/>
        <v>3521</v>
      </c>
      <c r="B3522" s="34" t="s">
        <v>8</v>
      </c>
      <c r="C3522" s="34" t="s">
        <v>12400</v>
      </c>
      <c r="D3522" s="8" t="s">
        <v>12690</v>
      </c>
      <c r="E3522" s="8" t="s">
        <v>12488</v>
      </c>
      <c r="F3522" s="8" t="s">
        <v>12674</v>
      </c>
      <c r="G3522" s="34" t="s">
        <v>14</v>
      </c>
      <c r="H3522" s="34" t="str">
        <f>IFERROR(VLOOKUP(Table2[[#This Row], [Ticket]],Okey!A:B,2,0),"")</f>
        <v>ok</v>
      </c>
      <c r="I3522" s="34" t="s">
        <v>8539</v>
      </c>
      <c r="J3522" s="34" t="str">
        <f>VLOOKUP(Table2[[#This Row],[Author]],People!A:B,2,0)</f>
        <v>HC</v>
      </c>
      <c r="K3522" s="34"/>
      <c r="L3522" s="34"/>
      <c r="M3522" s="34" t="s">
        <v>9000</v>
      </c>
    </row>
    <row r="3523" spans="1:13" hidden="1">
      <c r="A3523" s="40">
        <f t="shared" si="59"/>
        <v>3522</v>
      </c>
      <c r="B3523" s="34" t="s">
        <v>8</v>
      </c>
      <c r="C3523" s="34" t="s">
        <v>12400</v>
      </c>
      <c r="D3523" s="8" t="s">
        <v>12691</v>
      </c>
      <c r="E3523" s="8" t="s">
        <v>12489</v>
      </c>
      <c r="F3523" s="8" t="s">
        <v>12674</v>
      </c>
      <c r="G3523" s="34" t="s">
        <v>14</v>
      </c>
      <c r="H3523" s="34" t="str">
        <f>IFERROR(VLOOKUP(Table2[[#This Row], [Ticket]],Okey!A:B,2,0),"")</f>
        <v>ok</v>
      </c>
      <c r="I3523" s="34" t="s">
        <v>8539</v>
      </c>
      <c r="J3523" s="34" t="str">
        <f>VLOOKUP(Table2[[#This Row],[Author]],People!A:B,2,0)</f>
        <v>HC</v>
      </c>
      <c r="K3523" s="34"/>
      <c r="L3523" s="34"/>
      <c r="M3523" s="34" t="s">
        <v>9000</v>
      </c>
    </row>
    <row r="3524" spans="1:13" hidden="1">
      <c r="A3524" s="40">
        <f t="shared" si="59"/>
        <v>3523</v>
      </c>
      <c r="B3524" s="34" t="s">
        <v>8</v>
      </c>
      <c r="C3524" s="34" t="s">
        <v>12400</v>
      </c>
      <c r="D3524" s="8" t="s">
        <v>12692</v>
      </c>
      <c r="E3524" s="8" t="s">
        <v>12490</v>
      </c>
      <c r="F3524" s="8" t="s">
        <v>12674</v>
      </c>
      <c r="G3524" s="34" t="s">
        <v>14</v>
      </c>
      <c r="H3524" s="34" t="str">
        <f>IFERROR(VLOOKUP(Table2[[#This Row], [Ticket]],Okey!A:B,2,0),"")</f>
        <v>ok</v>
      </c>
      <c r="I3524" s="34" t="s">
        <v>8539</v>
      </c>
      <c r="J3524" s="34" t="str">
        <f>VLOOKUP(Table2[[#This Row],[Author]],People!A:B,2,0)</f>
        <v>HC</v>
      </c>
      <c r="K3524" s="34"/>
      <c r="L3524" s="34"/>
      <c r="M3524" s="34" t="s">
        <v>9000</v>
      </c>
    </row>
    <row r="3525" spans="1:13" hidden="1">
      <c r="A3525" s="40">
        <f t="shared" si="59"/>
        <v>3524</v>
      </c>
      <c r="B3525" s="34" t="s">
        <v>8</v>
      </c>
      <c r="C3525" s="34" t="s">
        <v>12400</v>
      </c>
      <c r="D3525" s="8" t="s">
        <v>12693</v>
      </c>
      <c r="E3525" s="8" t="s">
        <v>12491</v>
      </c>
      <c r="F3525" s="8" t="s">
        <v>12674</v>
      </c>
      <c r="G3525" s="34" t="s">
        <v>14</v>
      </c>
      <c r="H3525" s="34" t="str">
        <f>IFERROR(VLOOKUP(Table2[[#This Row], [Ticket]],Okey!A:B,2,0),"")</f>
        <v>ok</v>
      </c>
      <c r="I3525" s="34" t="s">
        <v>8539</v>
      </c>
      <c r="J3525" s="34" t="str">
        <f>VLOOKUP(Table2[[#This Row],[Author]],People!A:B,2,0)</f>
        <v>HC</v>
      </c>
      <c r="K3525" s="34"/>
      <c r="L3525" s="34"/>
      <c r="M3525" s="34" t="s">
        <v>9000</v>
      </c>
    </row>
    <row r="3526" spans="1:13" hidden="1">
      <c r="A3526" s="40">
        <f t="shared" si="59"/>
        <v>3525</v>
      </c>
      <c r="B3526" s="34" t="s">
        <v>8</v>
      </c>
      <c r="C3526" s="34" t="s">
        <v>12400</v>
      </c>
      <c r="D3526" s="8" t="s">
        <v>12694</v>
      </c>
      <c r="E3526" s="8" t="s">
        <v>12480</v>
      </c>
      <c r="F3526" s="8" t="s">
        <v>12674</v>
      </c>
      <c r="G3526" s="34" t="s">
        <v>14</v>
      </c>
      <c r="H3526" s="34" t="str">
        <f>IFERROR(VLOOKUP(Table2[[#This Row], [Ticket]],Okey!A:B,2,0),"")</f>
        <v>ok</v>
      </c>
      <c r="I3526" s="34" t="s">
        <v>8539</v>
      </c>
      <c r="J3526" s="34" t="str">
        <f>VLOOKUP(Table2[[#This Row],[Author]],People!A:B,2,0)</f>
        <v>HC</v>
      </c>
      <c r="K3526" s="34"/>
      <c r="L3526" s="34"/>
      <c r="M3526" s="34" t="s">
        <v>9000</v>
      </c>
    </row>
    <row r="3527" spans="1:13" hidden="1">
      <c r="A3527" s="40">
        <f t="shared" si="59"/>
        <v>3526</v>
      </c>
      <c r="B3527" s="34" t="s">
        <v>8</v>
      </c>
      <c r="C3527" s="34" t="s">
        <v>12400</v>
      </c>
      <c r="D3527" s="8" t="s">
        <v>12695</v>
      </c>
      <c r="E3527" s="8" t="s">
        <v>12492</v>
      </c>
      <c r="F3527" s="8" t="s">
        <v>12674</v>
      </c>
      <c r="G3527" s="34" t="s">
        <v>14</v>
      </c>
      <c r="H3527" s="34" t="str">
        <f>IFERROR(VLOOKUP(Table2[[#This Row], [Ticket]],Okey!A:B,2,0),"")</f>
        <v>ok</v>
      </c>
      <c r="I3527" s="34" t="s">
        <v>8539</v>
      </c>
      <c r="J3527" s="34" t="str">
        <f>VLOOKUP(Table2[[#This Row],[Author]],People!A:B,2,0)</f>
        <v>HC</v>
      </c>
      <c r="K3527" s="34"/>
      <c r="L3527" s="34"/>
      <c r="M3527" s="34" t="s">
        <v>9000</v>
      </c>
    </row>
    <row r="3528" spans="1:13" hidden="1">
      <c r="A3528" s="40">
        <f t="shared" si="59"/>
        <v>3527</v>
      </c>
      <c r="B3528" s="34" t="s">
        <v>8</v>
      </c>
      <c r="C3528" s="34" t="s">
        <v>12400</v>
      </c>
      <c r="D3528" s="8" t="s">
        <v>12696</v>
      </c>
      <c r="E3528" s="8" t="s">
        <v>12478</v>
      </c>
      <c r="F3528" s="8" t="s">
        <v>12674</v>
      </c>
      <c r="G3528" s="34" t="s">
        <v>14</v>
      </c>
      <c r="H3528" s="34" t="str">
        <f>IFERROR(VLOOKUP(Table2[[#This Row], [Ticket]],Okey!A:B,2,0),"")</f>
        <v>ok</v>
      </c>
      <c r="I3528" s="34" t="s">
        <v>8539</v>
      </c>
      <c r="J3528" s="34" t="str">
        <f>VLOOKUP(Table2[[#This Row],[Author]],People!A:B,2,0)</f>
        <v>HC</v>
      </c>
      <c r="K3528" s="34"/>
      <c r="L3528" s="34"/>
      <c r="M3528" s="34" t="s">
        <v>9000</v>
      </c>
    </row>
    <row r="3529" spans="1:13" hidden="1">
      <c r="A3529" s="40">
        <f t="shared" si="59"/>
        <v>3528</v>
      </c>
      <c r="B3529" s="34" t="s">
        <v>8</v>
      </c>
      <c r="C3529" s="34" t="s">
        <v>12400</v>
      </c>
      <c r="D3529" s="8" t="s">
        <v>12697</v>
      </c>
      <c r="E3529" s="8" t="s">
        <v>12488</v>
      </c>
      <c r="F3529" s="8" t="s">
        <v>12675</v>
      </c>
      <c r="G3529" s="34" t="s">
        <v>14</v>
      </c>
      <c r="H3529" s="34" t="str">
        <f>IFERROR(VLOOKUP(Table2[[#This Row], [Ticket]],Okey!A:B,2,0),"")</f>
        <v>ok</v>
      </c>
      <c r="I3529" s="34" t="s">
        <v>8539</v>
      </c>
      <c r="J3529" s="34" t="str">
        <f>VLOOKUP(Table2[[#This Row],[Author]],People!A:B,2,0)</f>
        <v>HC</v>
      </c>
      <c r="K3529" s="34"/>
      <c r="L3529" s="34"/>
      <c r="M3529" s="34" t="s">
        <v>9000</v>
      </c>
    </row>
    <row r="3530" spans="1:13" hidden="1">
      <c r="A3530" s="40">
        <f t="shared" si="59"/>
        <v>3529</v>
      </c>
      <c r="B3530" s="34" t="s">
        <v>8</v>
      </c>
      <c r="C3530" s="34" t="s">
        <v>12400</v>
      </c>
      <c r="D3530" s="8" t="s">
        <v>12698</v>
      </c>
      <c r="E3530" s="8" t="s">
        <v>12489</v>
      </c>
      <c r="F3530" s="8" t="s">
        <v>12675</v>
      </c>
      <c r="G3530" s="34" t="s">
        <v>14</v>
      </c>
      <c r="H3530" s="34" t="str">
        <f>IFERROR(VLOOKUP(Table2[[#This Row], [Ticket]],Okey!A:B,2,0),"")</f>
        <v>ok</v>
      </c>
      <c r="I3530" s="34" t="s">
        <v>8539</v>
      </c>
      <c r="J3530" s="34" t="str">
        <f>VLOOKUP(Table2[[#This Row],[Author]],People!A:B,2,0)</f>
        <v>HC</v>
      </c>
      <c r="K3530" s="34"/>
      <c r="L3530" s="34"/>
      <c r="M3530" s="34" t="s">
        <v>9000</v>
      </c>
    </row>
    <row r="3531" spans="1:13" hidden="1">
      <c r="A3531" s="40">
        <f t="shared" si="59"/>
        <v>3530</v>
      </c>
      <c r="B3531" s="34" t="s">
        <v>8</v>
      </c>
      <c r="C3531" s="34" t="s">
        <v>12400</v>
      </c>
      <c r="D3531" s="8" t="s">
        <v>12699</v>
      </c>
      <c r="E3531" s="8" t="s">
        <v>12490</v>
      </c>
      <c r="F3531" s="8" t="s">
        <v>12675</v>
      </c>
      <c r="G3531" s="34" t="s">
        <v>14</v>
      </c>
      <c r="H3531" s="34" t="str">
        <f>IFERROR(VLOOKUP(Table2[[#This Row], [Ticket]],Okey!A:B,2,0),"")</f>
        <v>ok</v>
      </c>
      <c r="I3531" s="34" t="s">
        <v>8539</v>
      </c>
      <c r="J3531" s="34" t="str">
        <f>VLOOKUP(Table2[[#This Row],[Author]],People!A:B,2,0)</f>
        <v>HC</v>
      </c>
      <c r="K3531" s="34"/>
      <c r="L3531" s="34"/>
      <c r="M3531" s="34" t="s">
        <v>9000</v>
      </c>
    </row>
    <row r="3532" spans="1:13" hidden="1">
      <c r="A3532" s="40">
        <f t="shared" si="59"/>
        <v>3531</v>
      </c>
      <c r="B3532" s="34" t="s">
        <v>8</v>
      </c>
      <c r="C3532" s="34" t="s">
        <v>12400</v>
      </c>
      <c r="D3532" s="8" t="s">
        <v>12700</v>
      </c>
      <c r="E3532" s="8" t="s">
        <v>12491</v>
      </c>
      <c r="F3532" s="8" t="s">
        <v>12675</v>
      </c>
      <c r="G3532" s="34" t="s">
        <v>14</v>
      </c>
      <c r="H3532" s="34" t="str">
        <f>IFERROR(VLOOKUP(Table2[[#This Row], [Ticket]],Okey!A:B,2,0),"")</f>
        <v>ok</v>
      </c>
      <c r="I3532" s="34" t="s">
        <v>8539</v>
      </c>
      <c r="J3532" s="34" t="str">
        <f>VLOOKUP(Table2[[#This Row],[Author]],People!A:B,2,0)</f>
        <v>HC</v>
      </c>
      <c r="K3532" s="34"/>
      <c r="L3532" s="34"/>
      <c r="M3532" s="34" t="s">
        <v>9000</v>
      </c>
    </row>
    <row r="3533" spans="1:13" hidden="1">
      <c r="A3533" s="40">
        <f t="shared" si="59"/>
        <v>3532</v>
      </c>
      <c r="B3533" s="34" t="s">
        <v>8</v>
      </c>
      <c r="C3533" s="34" t="s">
        <v>12400</v>
      </c>
      <c r="D3533" s="8" t="s">
        <v>12701</v>
      </c>
      <c r="E3533" s="8" t="s">
        <v>12480</v>
      </c>
      <c r="F3533" s="8" t="s">
        <v>12675</v>
      </c>
      <c r="G3533" s="34" t="s">
        <v>14</v>
      </c>
      <c r="H3533" s="34" t="str">
        <f>IFERROR(VLOOKUP(Table2[[#This Row], [Ticket]],Okey!A:B,2,0),"")</f>
        <v>ok</v>
      </c>
      <c r="I3533" s="34" t="s">
        <v>8539</v>
      </c>
      <c r="J3533" s="34" t="str">
        <f>VLOOKUP(Table2[[#This Row],[Author]],People!A:B,2,0)</f>
        <v>HC</v>
      </c>
      <c r="K3533" s="34"/>
      <c r="L3533" s="34"/>
      <c r="M3533" s="34" t="s">
        <v>9000</v>
      </c>
    </row>
    <row r="3534" spans="1:13" hidden="1">
      <c r="A3534" s="40">
        <f t="shared" si="59"/>
        <v>3533</v>
      </c>
      <c r="B3534" s="34" t="s">
        <v>8</v>
      </c>
      <c r="C3534" s="34" t="s">
        <v>12400</v>
      </c>
      <c r="D3534" s="8" t="s">
        <v>12702</v>
      </c>
      <c r="E3534" s="8" t="s">
        <v>12492</v>
      </c>
      <c r="F3534" s="8" t="s">
        <v>12675</v>
      </c>
      <c r="G3534" s="34" t="s">
        <v>14</v>
      </c>
      <c r="H3534" s="34" t="str">
        <f>IFERROR(VLOOKUP(Table2[[#This Row], [Ticket]],Okey!A:B,2,0),"")</f>
        <v>ok</v>
      </c>
      <c r="I3534" s="34" t="s">
        <v>8539</v>
      </c>
      <c r="J3534" s="34" t="str">
        <f>VLOOKUP(Table2[[#This Row],[Author]],People!A:B,2,0)</f>
        <v>HC</v>
      </c>
      <c r="K3534" s="34"/>
      <c r="L3534" s="34"/>
      <c r="M3534" s="34" t="s">
        <v>9000</v>
      </c>
    </row>
    <row r="3535" spans="1:13" hidden="1">
      <c r="A3535" s="40">
        <f t="shared" si="59"/>
        <v>3534</v>
      </c>
      <c r="B3535" s="34" t="s">
        <v>8</v>
      </c>
      <c r="C3535" s="34" t="s">
        <v>12400</v>
      </c>
      <c r="D3535" s="8" t="s">
        <v>12703</v>
      </c>
      <c r="E3535" s="8" t="s">
        <v>12478</v>
      </c>
      <c r="F3535" s="8" t="s">
        <v>12675</v>
      </c>
      <c r="G3535" s="34" t="s">
        <v>14</v>
      </c>
      <c r="H3535" s="34" t="str">
        <f>IFERROR(VLOOKUP(Table2[[#This Row], [Ticket]],Okey!A:B,2,0),"")</f>
        <v>ok</v>
      </c>
      <c r="I3535" s="34" t="s">
        <v>8539</v>
      </c>
      <c r="J3535" s="34" t="str">
        <f>VLOOKUP(Table2[[#This Row],[Author]],People!A:B,2,0)</f>
        <v>HC</v>
      </c>
      <c r="K3535" s="34"/>
      <c r="L3535" s="34"/>
      <c r="M3535" s="34" t="s">
        <v>9000</v>
      </c>
    </row>
    <row r="3536" spans="1:13" hidden="1">
      <c r="A3536" s="40">
        <f t="shared" si="59"/>
        <v>3535</v>
      </c>
      <c r="B3536" s="34" t="s">
        <v>8</v>
      </c>
      <c r="C3536" s="34" t="s">
        <v>12400</v>
      </c>
      <c r="D3536" s="8" t="s">
        <v>12704</v>
      </c>
      <c r="E3536" s="8" t="s">
        <v>12493</v>
      </c>
      <c r="F3536" s="8" t="s">
        <v>1137</v>
      </c>
      <c r="G3536" s="34" t="s">
        <v>14</v>
      </c>
      <c r="H3536" s="34" t="str">
        <f>IFERROR(VLOOKUP(Table2[[#This Row], [Ticket]],Okey!A:B,2,0),"")</f>
        <v>ok</v>
      </c>
      <c r="I3536" s="34" t="s">
        <v>8539</v>
      </c>
      <c r="J3536" s="34" t="str">
        <f>VLOOKUP(Table2[[#This Row],[Author]],People!A:B,2,0)</f>
        <v>HC</v>
      </c>
      <c r="K3536" s="34"/>
      <c r="L3536" s="34"/>
      <c r="M3536" s="34" t="s">
        <v>9000</v>
      </c>
    </row>
    <row r="3537" spans="1:13" hidden="1">
      <c r="A3537" s="40">
        <f t="shared" si="59"/>
        <v>3536</v>
      </c>
      <c r="B3537" s="34" t="s">
        <v>8</v>
      </c>
      <c r="C3537" s="34" t="s">
        <v>12400</v>
      </c>
      <c r="D3537" s="8" t="s">
        <v>12705</v>
      </c>
      <c r="E3537" s="8" t="s">
        <v>12494</v>
      </c>
      <c r="F3537" s="8" t="s">
        <v>1133</v>
      </c>
      <c r="G3537" s="34" t="s">
        <v>14</v>
      </c>
      <c r="H3537" s="34" t="str">
        <f>IFERROR(VLOOKUP(Table2[[#This Row], [Ticket]],Okey!A:B,2,0),"")</f>
        <v>ok</v>
      </c>
      <c r="I3537" s="34" t="s">
        <v>8539</v>
      </c>
      <c r="J3537" s="34" t="str">
        <f>VLOOKUP(Table2[[#This Row],[Author]],People!A:B,2,0)</f>
        <v>HC</v>
      </c>
      <c r="K3537" s="34"/>
      <c r="L3537" s="34"/>
      <c r="M3537" s="34" t="s">
        <v>9000</v>
      </c>
    </row>
    <row r="3538" spans="1:13" hidden="1">
      <c r="A3538" s="40">
        <f t="shared" si="59"/>
        <v>3537</v>
      </c>
      <c r="B3538" s="34" t="s">
        <v>8</v>
      </c>
      <c r="C3538" s="34" t="s">
        <v>12400</v>
      </c>
      <c r="D3538" s="8" t="s">
        <v>12706</v>
      </c>
      <c r="E3538" s="8" t="s">
        <v>12495</v>
      </c>
      <c r="F3538" s="8" t="s">
        <v>12705</v>
      </c>
      <c r="G3538" s="34" t="s">
        <v>14</v>
      </c>
      <c r="H3538" s="34" t="str">
        <f>IFERROR(VLOOKUP(Table2[[#This Row], [Ticket]],Okey!A:B,2,0),"")</f>
        <v>ok</v>
      </c>
      <c r="I3538" s="34" t="s">
        <v>8539</v>
      </c>
      <c r="J3538" s="34" t="str">
        <f>VLOOKUP(Table2[[#This Row],[Author]],People!A:B,2,0)</f>
        <v>HC</v>
      </c>
      <c r="K3538" s="34"/>
      <c r="L3538" s="34"/>
      <c r="M3538" s="34" t="s">
        <v>9000</v>
      </c>
    </row>
    <row r="3539" spans="1:13" hidden="1">
      <c r="A3539" s="40">
        <f t="shared" si="59"/>
        <v>3538</v>
      </c>
      <c r="B3539" s="34" t="s">
        <v>8</v>
      </c>
      <c r="C3539" s="34" t="s">
        <v>12400</v>
      </c>
      <c r="D3539" s="8" t="s">
        <v>12707</v>
      </c>
      <c r="E3539" s="8" t="s">
        <v>12496</v>
      </c>
      <c r="F3539" s="8" t="s">
        <v>12705</v>
      </c>
      <c r="G3539" s="34" t="s">
        <v>14</v>
      </c>
      <c r="H3539" s="34" t="str">
        <f>IFERROR(VLOOKUP(Table2[[#This Row], [Ticket]],Okey!A:B,2,0),"")</f>
        <v>ok</v>
      </c>
      <c r="I3539" s="34" t="s">
        <v>8539</v>
      </c>
      <c r="J3539" s="34" t="str">
        <f>VLOOKUP(Table2[[#This Row],[Author]],People!A:B,2,0)</f>
        <v>HC</v>
      </c>
      <c r="K3539" s="34"/>
      <c r="L3539" s="34"/>
      <c r="M3539" s="34" t="s">
        <v>9000</v>
      </c>
    </row>
    <row r="3540" spans="1:13" hidden="1">
      <c r="A3540" s="40">
        <f t="shared" si="59"/>
        <v>3539</v>
      </c>
      <c r="B3540" s="34" t="s">
        <v>8</v>
      </c>
      <c r="C3540" s="34" t="s">
        <v>12400</v>
      </c>
      <c r="D3540" s="8" t="s">
        <v>12708</v>
      </c>
      <c r="E3540" s="8" t="s">
        <v>12497</v>
      </c>
      <c r="F3540" s="8" t="s">
        <v>12705</v>
      </c>
      <c r="G3540" s="34" t="s">
        <v>14</v>
      </c>
      <c r="H3540" s="34" t="str">
        <f>IFERROR(VLOOKUP(Table2[[#This Row], [Ticket]],Okey!A:B,2,0),"")</f>
        <v>ok</v>
      </c>
      <c r="I3540" s="34" t="s">
        <v>8539</v>
      </c>
      <c r="J3540" s="34" t="str">
        <f>VLOOKUP(Table2[[#This Row],[Author]],People!A:B,2,0)</f>
        <v>HC</v>
      </c>
      <c r="K3540" s="34"/>
      <c r="L3540" s="34"/>
      <c r="M3540" s="34" t="s">
        <v>9000</v>
      </c>
    </row>
    <row r="3541" spans="1:13" hidden="1">
      <c r="A3541" s="40">
        <f t="shared" si="59"/>
        <v>3540</v>
      </c>
      <c r="B3541" s="34" t="s">
        <v>8</v>
      </c>
      <c r="C3541" s="34" t="s">
        <v>12400</v>
      </c>
      <c r="D3541" s="8" t="s">
        <v>12709</v>
      </c>
      <c r="E3541" s="8" t="s">
        <v>12498</v>
      </c>
      <c r="F3541" s="8" t="s">
        <v>12705</v>
      </c>
      <c r="G3541" s="34" t="s">
        <v>14</v>
      </c>
      <c r="H3541" s="34" t="str">
        <f>IFERROR(VLOOKUP(Table2[[#This Row], [Ticket]],Okey!A:B,2,0),"")</f>
        <v>ok</v>
      </c>
      <c r="I3541" s="34" t="s">
        <v>8539</v>
      </c>
      <c r="J3541" s="34" t="str">
        <f>VLOOKUP(Table2[[#This Row],[Author]],People!A:B,2,0)</f>
        <v>HC</v>
      </c>
      <c r="K3541" s="34"/>
      <c r="L3541" s="34"/>
      <c r="M3541" s="34" t="s">
        <v>9000</v>
      </c>
    </row>
    <row r="3542" spans="1:13" hidden="1">
      <c r="A3542" s="40">
        <f t="shared" si="59"/>
        <v>3541</v>
      </c>
      <c r="B3542" s="34" t="s">
        <v>8</v>
      </c>
      <c r="C3542" s="34" t="s">
        <v>12400</v>
      </c>
      <c r="D3542" s="8" t="s">
        <v>12710</v>
      </c>
      <c r="E3542" s="8" t="s">
        <v>12499</v>
      </c>
      <c r="F3542" s="8" t="s">
        <v>12705</v>
      </c>
      <c r="G3542" s="34" t="s">
        <v>14</v>
      </c>
      <c r="H3542" s="34" t="str">
        <f>IFERROR(VLOOKUP(Table2[[#This Row], [Ticket]],Okey!A:B,2,0),"")</f>
        <v>ok</v>
      </c>
      <c r="I3542" s="34" t="s">
        <v>8539</v>
      </c>
      <c r="J3542" s="34" t="str">
        <f>VLOOKUP(Table2[[#This Row],[Author]],People!A:B,2,0)</f>
        <v>HC</v>
      </c>
      <c r="K3542" s="34"/>
      <c r="L3542" s="34"/>
      <c r="M3542" s="34" t="s">
        <v>9000</v>
      </c>
    </row>
    <row r="3543" spans="1:13" hidden="1">
      <c r="A3543" s="40">
        <f t="shared" si="59"/>
        <v>3542</v>
      </c>
      <c r="B3543" s="34" t="s">
        <v>8</v>
      </c>
      <c r="C3543" s="34" t="s">
        <v>12400</v>
      </c>
      <c r="D3543" s="8" t="s">
        <v>12711</v>
      </c>
      <c r="E3543" s="8" t="s">
        <v>12500</v>
      </c>
      <c r="F3543" s="8" t="s">
        <v>12706</v>
      </c>
      <c r="G3543" s="34" t="s">
        <v>14</v>
      </c>
      <c r="H3543" s="34" t="str">
        <f>IFERROR(VLOOKUP(Table2[[#This Row], [Ticket]],Okey!A:B,2,0),"")</f>
        <v>ok</v>
      </c>
      <c r="I3543" s="34" t="s">
        <v>8539</v>
      </c>
      <c r="J3543" s="34" t="str">
        <f>VLOOKUP(Table2[[#This Row],[Author]],People!A:B,2,0)</f>
        <v>HC</v>
      </c>
      <c r="K3543" s="34"/>
      <c r="L3543" s="34"/>
      <c r="M3543" s="34" t="s">
        <v>9000</v>
      </c>
    </row>
    <row r="3544" spans="1:13" hidden="1">
      <c r="A3544" s="40">
        <f t="shared" si="59"/>
        <v>3543</v>
      </c>
      <c r="B3544" s="34" t="s">
        <v>8</v>
      </c>
      <c r="C3544" s="34" t="s">
        <v>12400</v>
      </c>
      <c r="D3544" s="8" t="s">
        <v>12712</v>
      </c>
      <c r="E3544" s="8" t="s">
        <v>12501</v>
      </c>
      <c r="F3544" s="8" t="s">
        <v>12706</v>
      </c>
      <c r="G3544" s="34" t="s">
        <v>14</v>
      </c>
      <c r="H3544" s="34" t="str">
        <f>IFERROR(VLOOKUP(Table2[[#This Row], [Ticket]],Okey!A:B,2,0),"")</f>
        <v>ok</v>
      </c>
      <c r="I3544" s="34" t="s">
        <v>8539</v>
      </c>
      <c r="J3544" s="34" t="str">
        <f>VLOOKUP(Table2[[#This Row],[Author]],People!A:B,2,0)</f>
        <v>HC</v>
      </c>
      <c r="K3544" s="34"/>
      <c r="L3544" s="34"/>
      <c r="M3544" s="34" t="s">
        <v>9000</v>
      </c>
    </row>
    <row r="3545" spans="1:13" hidden="1">
      <c r="A3545" s="40">
        <f t="shared" si="59"/>
        <v>3544</v>
      </c>
      <c r="B3545" s="34" t="s">
        <v>8</v>
      </c>
      <c r="C3545" s="34" t="s">
        <v>12400</v>
      </c>
      <c r="D3545" s="8" t="s">
        <v>12713</v>
      </c>
      <c r="E3545" s="8" t="s">
        <v>12502</v>
      </c>
      <c r="F3545" s="8" t="s">
        <v>12707</v>
      </c>
      <c r="G3545" s="34" t="s">
        <v>14</v>
      </c>
      <c r="H3545" s="34" t="str">
        <f>IFERROR(VLOOKUP(Table2[[#This Row], [Ticket]],Okey!A:B,2,0),"")</f>
        <v>ok</v>
      </c>
      <c r="I3545" s="34" t="s">
        <v>8539</v>
      </c>
      <c r="J3545" s="34" t="str">
        <f>VLOOKUP(Table2[[#This Row],[Author]],People!A:B,2,0)</f>
        <v>HC</v>
      </c>
      <c r="K3545" s="34"/>
      <c r="L3545" s="34"/>
      <c r="M3545" s="34" t="s">
        <v>9000</v>
      </c>
    </row>
    <row r="3546" spans="1:13" hidden="1">
      <c r="A3546" s="40">
        <f t="shared" si="59"/>
        <v>3545</v>
      </c>
      <c r="B3546" s="34" t="s">
        <v>8</v>
      </c>
      <c r="C3546" s="34" t="s">
        <v>12400</v>
      </c>
      <c r="D3546" s="8" t="s">
        <v>12714</v>
      </c>
      <c r="E3546" s="8" t="s">
        <v>12503</v>
      </c>
      <c r="F3546" s="8" t="s">
        <v>12707</v>
      </c>
      <c r="G3546" s="34" t="s">
        <v>14</v>
      </c>
      <c r="H3546" s="34" t="str">
        <f>IFERROR(VLOOKUP(Table2[[#This Row], [Ticket]],Okey!A:B,2,0),"")</f>
        <v>ok</v>
      </c>
      <c r="I3546" s="34" t="s">
        <v>8539</v>
      </c>
      <c r="J3546" s="34" t="str">
        <f>VLOOKUP(Table2[[#This Row],[Author]],People!A:B,2,0)</f>
        <v>HC</v>
      </c>
      <c r="K3546" s="34"/>
      <c r="L3546" s="34"/>
      <c r="M3546" s="34" t="s">
        <v>9000</v>
      </c>
    </row>
    <row r="3547" spans="1:13" hidden="1">
      <c r="A3547" s="40">
        <f t="shared" si="59"/>
        <v>3546</v>
      </c>
      <c r="B3547" s="34" t="s">
        <v>8</v>
      </c>
      <c r="C3547" s="34" t="s">
        <v>12400</v>
      </c>
      <c r="D3547" s="8" t="s">
        <v>12715</v>
      </c>
      <c r="E3547" s="8" t="s">
        <v>12504</v>
      </c>
      <c r="F3547" s="8" t="s">
        <v>12707</v>
      </c>
      <c r="G3547" s="34" t="s">
        <v>14</v>
      </c>
      <c r="H3547" s="34" t="str">
        <f>IFERROR(VLOOKUP(Table2[[#This Row], [Ticket]],Okey!A:B,2,0),"")</f>
        <v>ok</v>
      </c>
      <c r="I3547" s="34" t="s">
        <v>8539</v>
      </c>
      <c r="J3547" s="34" t="str">
        <f>VLOOKUP(Table2[[#This Row],[Author]],People!A:B,2,0)</f>
        <v>HC</v>
      </c>
      <c r="K3547" s="34"/>
      <c r="L3547" s="34"/>
      <c r="M3547" s="34" t="s">
        <v>9000</v>
      </c>
    </row>
    <row r="3548" spans="1:13" hidden="1">
      <c r="A3548" s="40">
        <f t="shared" si="59"/>
        <v>3547</v>
      </c>
      <c r="B3548" s="34" t="s">
        <v>8</v>
      </c>
      <c r="C3548" s="34" t="s">
        <v>12400</v>
      </c>
      <c r="D3548" s="8" t="s">
        <v>12716</v>
      </c>
      <c r="E3548" s="8" t="s">
        <v>12505</v>
      </c>
      <c r="F3548" s="8" t="s">
        <v>12709</v>
      </c>
      <c r="G3548" s="34" t="s">
        <v>14</v>
      </c>
      <c r="H3548" s="34" t="str">
        <f>IFERROR(VLOOKUP(Table2[[#This Row], [Ticket]],Okey!A:B,2,0),"")</f>
        <v>ok</v>
      </c>
      <c r="I3548" s="34" t="s">
        <v>8539</v>
      </c>
      <c r="J3548" s="34" t="str">
        <f>VLOOKUP(Table2[[#This Row],[Author]],People!A:B,2,0)</f>
        <v>HC</v>
      </c>
      <c r="K3548" s="34"/>
      <c r="L3548" s="34"/>
      <c r="M3548" s="34" t="s">
        <v>9000</v>
      </c>
    </row>
    <row r="3549" spans="1:13" hidden="1">
      <c r="A3549" s="40">
        <f t="shared" si="59"/>
        <v>3548</v>
      </c>
      <c r="B3549" s="34" t="s">
        <v>8</v>
      </c>
      <c r="C3549" s="34" t="s">
        <v>12400</v>
      </c>
      <c r="D3549" s="8" t="s">
        <v>12717</v>
      </c>
      <c r="E3549" s="8" t="s">
        <v>12506</v>
      </c>
      <c r="F3549" s="8" t="s">
        <v>12709</v>
      </c>
      <c r="G3549" s="34" t="s">
        <v>14</v>
      </c>
      <c r="H3549" s="34" t="str">
        <f>IFERROR(VLOOKUP(Table2[[#This Row], [Ticket]],Okey!A:B,2,0),"")</f>
        <v>ok</v>
      </c>
      <c r="I3549" s="34" t="s">
        <v>8539</v>
      </c>
      <c r="J3549" s="34" t="str">
        <f>VLOOKUP(Table2[[#This Row],[Author]],People!A:B,2,0)</f>
        <v>HC</v>
      </c>
      <c r="K3549" s="34"/>
      <c r="L3549" s="34"/>
      <c r="M3549" s="34" t="s">
        <v>9000</v>
      </c>
    </row>
    <row r="3550" spans="1:13" hidden="1">
      <c r="A3550" s="40">
        <f t="shared" si="59"/>
        <v>3549</v>
      </c>
      <c r="B3550" s="34" t="s">
        <v>8</v>
      </c>
      <c r="C3550" s="34" t="s">
        <v>12400</v>
      </c>
      <c r="D3550" s="8" t="s">
        <v>12718</v>
      </c>
      <c r="E3550" s="8" t="s">
        <v>12507</v>
      </c>
      <c r="F3550" s="8" t="s">
        <v>12708</v>
      </c>
      <c r="G3550" s="34" t="s">
        <v>14</v>
      </c>
      <c r="H3550" s="34" t="str">
        <f>IFERROR(VLOOKUP(Table2[[#This Row], [Ticket]],Okey!A:B,2,0),"")</f>
        <v>ok</v>
      </c>
      <c r="I3550" s="34" t="s">
        <v>8539</v>
      </c>
      <c r="J3550" s="34" t="str">
        <f>VLOOKUP(Table2[[#This Row],[Author]],People!A:B,2,0)</f>
        <v>HC</v>
      </c>
      <c r="K3550" s="34"/>
      <c r="L3550" s="34"/>
      <c r="M3550" s="34" t="s">
        <v>9000</v>
      </c>
    </row>
    <row r="3551" spans="1:13" hidden="1">
      <c r="A3551" s="40">
        <f t="shared" si="59"/>
        <v>3550</v>
      </c>
      <c r="B3551" s="34" t="s">
        <v>8</v>
      </c>
      <c r="C3551" s="34" t="s">
        <v>12400</v>
      </c>
      <c r="D3551" s="8" t="s">
        <v>12719</v>
      </c>
      <c r="E3551" s="8" t="s">
        <v>12508</v>
      </c>
      <c r="F3551" s="8" t="s">
        <v>12708</v>
      </c>
      <c r="G3551" s="34" t="s">
        <v>14</v>
      </c>
      <c r="H3551" s="34" t="str">
        <f>IFERROR(VLOOKUP(Table2[[#This Row], [Ticket]],Okey!A:B,2,0),"")</f>
        <v>ok</v>
      </c>
      <c r="I3551" s="34" t="s">
        <v>8539</v>
      </c>
      <c r="J3551" s="34" t="str">
        <f>VLOOKUP(Table2[[#This Row],[Author]],People!A:B,2,0)</f>
        <v>HC</v>
      </c>
      <c r="K3551" s="34"/>
      <c r="L3551" s="34"/>
      <c r="M3551" s="34" t="s">
        <v>9000</v>
      </c>
    </row>
    <row r="3552" spans="1:13" hidden="1">
      <c r="A3552" s="40">
        <f t="shared" si="59"/>
        <v>3551</v>
      </c>
      <c r="B3552" s="34" t="s">
        <v>8</v>
      </c>
      <c r="C3552" s="34" t="s">
        <v>12400</v>
      </c>
      <c r="D3552" s="8" t="s">
        <v>12720</v>
      </c>
      <c r="E3552" s="8" t="s">
        <v>12509</v>
      </c>
      <c r="F3552" s="8" t="s">
        <v>12711</v>
      </c>
      <c r="G3552" s="34" t="s">
        <v>14</v>
      </c>
      <c r="H3552" s="34" t="str">
        <f>IFERROR(VLOOKUP(Table2[[#This Row], [Ticket]],Okey!A:B,2,0),"")</f>
        <v>ok</v>
      </c>
      <c r="I3552" s="34" t="s">
        <v>8539</v>
      </c>
      <c r="J3552" s="34" t="str">
        <f>VLOOKUP(Table2[[#This Row],[Author]],People!A:B,2,0)</f>
        <v>HC</v>
      </c>
      <c r="K3552" s="34"/>
      <c r="L3552" s="34"/>
      <c r="M3552" s="34" t="s">
        <v>9000</v>
      </c>
    </row>
    <row r="3553" spans="1:13" hidden="1">
      <c r="A3553" s="40">
        <f t="shared" si="59"/>
        <v>3552</v>
      </c>
      <c r="B3553" s="34" t="s">
        <v>8</v>
      </c>
      <c r="C3553" s="34" t="s">
        <v>12400</v>
      </c>
      <c r="D3553" s="8" t="s">
        <v>12721</v>
      </c>
      <c r="E3553" s="8" t="s">
        <v>12510</v>
      </c>
      <c r="F3553" s="8" t="s">
        <v>12712</v>
      </c>
      <c r="G3553" s="34" t="s">
        <v>14</v>
      </c>
      <c r="H3553" s="34" t="str">
        <f>IFERROR(VLOOKUP(Table2[[#This Row], [Ticket]],Okey!A:B,2,0),"")</f>
        <v>ok</v>
      </c>
      <c r="I3553" s="34" t="s">
        <v>8539</v>
      </c>
      <c r="J3553" s="34" t="str">
        <f>VLOOKUP(Table2[[#This Row],[Author]],People!A:B,2,0)</f>
        <v>HC</v>
      </c>
      <c r="K3553" s="34"/>
      <c r="L3553" s="34"/>
      <c r="M3553" s="34" t="s">
        <v>9000</v>
      </c>
    </row>
    <row r="3554" spans="1:13" hidden="1">
      <c r="A3554" s="40">
        <f t="shared" si="59"/>
        <v>3553</v>
      </c>
      <c r="B3554" s="34" t="s">
        <v>8</v>
      </c>
      <c r="C3554" s="34" t="s">
        <v>12400</v>
      </c>
      <c r="D3554" s="8" t="s">
        <v>12722</v>
      </c>
      <c r="E3554" s="8" t="s">
        <v>12511</v>
      </c>
      <c r="F3554" s="8" t="s">
        <v>12721</v>
      </c>
      <c r="G3554" s="34" t="s">
        <v>14</v>
      </c>
      <c r="H3554" s="34" t="str">
        <f>IFERROR(VLOOKUP(Table2[[#This Row], [Ticket]],Okey!A:B,2,0),"")</f>
        <v>ok</v>
      </c>
      <c r="I3554" s="34" t="s">
        <v>8539</v>
      </c>
      <c r="J3554" s="34" t="str">
        <f>VLOOKUP(Table2[[#This Row],[Author]],People!A:B,2,0)</f>
        <v>HC</v>
      </c>
      <c r="K3554" s="34"/>
      <c r="L3554" s="34"/>
      <c r="M3554" s="34" t="s">
        <v>9000</v>
      </c>
    </row>
    <row r="3555" spans="1:13" hidden="1">
      <c r="A3555" s="40">
        <f t="shared" si="59"/>
        <v>3554</v>
      </c>
      <c r="B3555" s="34" t="s">
        <v>8</v>
      </c>
      <c r="C3555" s="34" t="s">
        <v>12400</v>
      </c>
      <c r="D3555" s="8" t="s">
        <v>12723</v>
      </c>
      <c r="E3555" s="8" t="s">
        <v>12512</v>
      </c>
      <c r="F3555" s="8" t="s">
        <v>12721</v>
      </c>
      <c r="G3555" s="34" t="s">
        <v>14</v>
      </c>
      <c r="H3555" s="34" t="str">
        <f>IFERROR(VLOOKUP(Table2[[#This Row], [Ticket]],Okey!A:B,2,0),"")</f>
        <v>ok</v>
      </c>
      <c r="I3555" s="34" t="s">
        <v>8539</v>
      </c>
      <c r="J3555" s="34" t="str">
        <f>VLOOKUP(Table2[[#This Row],[Author]],People!A:B,2,0)</f>
        <v>HC</v>
      </c>
      <c r="K3555" s="34"/>
      <c r="L3555" s="34"/>
      <c r="M3555" s="34" t="s">
        <v>9000</v>
      </c>
    </row>
    <row r="3556" spans="1:13" hidden="1">
      <c r="A3556" s="40">
        <f t="shared" si="59"/>
        <v>3555</v>
      </c>
      <c r="B3556" s="34" t="s">
        <v>8</v>
      </c>
      <c r="C3556" s="34" t="s">
        <v>12400</v>
      </c>
      <c r="D3556" s="8" t="s">
        <v>12724</v>
      </c>
      <c r="E3556" s="8" t="s">
        <v>12513</v>
      </c>
      <c r="F3556" s="8" t="s">
        <v>12721</v>
      </c>
      <c r="G3556" s="34" t="s">
        <v>14</v>
      </c>
      <c r="H3556" s="34" t="str">
        <f>IFERROR(VLOOKUP(Table2[[#This Row], [Ticket]],Okey!A:B,2,0),"")</f>
        <v>ok</v>
      </c>
      <c r="I3556" s="34" t="s">
        <v>8539</v>
      </c>
      <c r="J3556" s="34" t="str">
        <f>VLOOKUP(Table2[[#This Row],[Author]],People!A:B,2,0)</f>
        <v>HC</v>
      </c>
      <c r="K3556" s="34"/>
      <c r="L3556" s="34"/>
      <c r="M3556" s="34" t="s">
        <v>9000</v>
      </c>
    </row>
    <row r="3557" spans="1:13" hidden="1">
      <c r="A3557" s="40">
        <f t="shared" si="59"/>
        <v>3556</v>
      </c>
      <c r="B3557" s="34" t="s">
        <v>8</v>
      </c>
      <c r="C3557" s="34" t="s">
        <v>12400</v>
      </c>
      <c r="D3557" s="8" t="s">
        <v>12725</v>
      </c>
      <c r="E3557" s="8" t="s">
        <v>12514</v>
      </c>
      <c r="F3557" s="8" t="s">
        <v>12721</v>
      </c>
      <c r="G3557" s="34" t="s">
        <v>14</v>
      </c>
      <c r="H3557" s="34" t="str">
        <f>IFERROR(VLOOKUP(Table2[[#This Row], [Ticket]],Okey!A:B,2,0),"")</f>
        <v>ok</v>
      </c>
      <c r="I3557" s="34" t="s">
        <v>8539</v>
      </c>
      <c r="J3557" s="34" t="str">
        <f>VLOOKUP(Table2[[#This Row],[Author]],People!A:B,2,0)</f>
        <v>HC</v>
      </c>
      <c r="K3557" s="34"/>
      <c r="L3557" s="34"/>
      <c r="M3557" s="34" t="s">
        <v>9000</v>
      </c>
    </row>
    <row r="3558" spans="1:13" hidden="1">
      <c r="A3558" s="40">
        <f t="shared" si="59"/>
        <v>3557</v>
      </c>
      <c r="B3558" s="34" t="s">
        <v>8</v>
      </c>
      <c r="C3558" s="34" t="s">
        <v>12400</v>
      </c>
      <c r="D3558" s="8" t="s">
        <v>12726</v>
      </c>
      <c r="E3558" s="8" t="s">
        <v>12511</v>
      </c>
      <c r="F3558" s="8" t="s">
        <v>12720</v>
      </c>
      <c r="G3558" s="34" t="s">
        <v>14</v>
      </c>
      <c r="H3558" s="34" t="str">
        <f>IFERROR(VLOOKUP(Table2[[#This Row], [Ticket]],Okey!A:B,2,0),"")</f>
        <v>ok</v>
      </c>
      <c r="I3558" s="34" t="s">
        <v>8539</v>
      </c>
      <c r="J3558" s="34" t="str">
        <f>VLOOKUP(Table2[[#This Row],[Author]],People!A:B,2,0)</f>
        <v>HC</v>
      </c>
      <c r="K3558" s="34"/>
      <c r="L3558" s="34"/>
      <c r="M3558" s="34" t="s">
        <v>9000</v>
      </c>
    </row>
    <row r="3559" spans="1:13" hidden="1">
      <c r="A3559" s="40">
        <f t="shared" si="59"/>
        <v>3558</v>
      </c>
      <c r="B3559" s="34" t="s">
        <v>8</v>
      </c>
      <c r="C3559" s="34" t="s">
        <v>12400</v>
      </c>
      <c r="D3559" s="8" t="s">
        <v>12727</v>
      </c>
      <c r="E3559" s="8" t="s">
        <v>12512</v>
      </c>
      <c r="F3559" s="8" t="s">
        <v>12720</v>
      </c>
      <c r="G3559" s="34" t="s">
        <v>14</v>
      </c>
      <c r="H3559" s="34" t="str">
        <f>IFERROR(VLOOKUP(Table2[[#This Row], [Ticket]],Okey!A:B,2,0),"")</f>
        <v>ok</v>
      </c>
      <c r="I3559" s="34" t="s">
        <v>8539</v>
      </c>
      <c r="J3559" s="34" t="str">
        <f>VLOOKUP(Table2[[#This Row],[Author]],People!A:B,2,0)</f>
        <v>HC</v>
      </c>
      <c r="K3559" s="34"/>
      <c r="L3559" s="34"/>
      <c r="M3559" s="34" t="s">
        <v>9000</v>
      </c>
    </row>
    <row r="3560" spans="1:13" hidden="1">
      <c r="A3560" s="40">
        <f t="shared" si="59"/>
        <v>3559</v>
      </c>
      <c r="B3560" s="34" t="s">
        <v>8</v>
      </c>
      <c r="C3560" s="34" t="s">
        <v>12400</v>
      </c>
      <c r="D3560" s="8" t="s">
        <v>12728</v>
      </c>
      <c r="E3560" s="8" t="s">
        <v>12513</v>
      </c>
      <c r="F3560" s="8" t="s">
        <v>12720</v>
      </c>
      <c r="G3560" s="34" t="s">
        <v>14</v>
      </c>
      <c r="H3560" s="34" t="str">
        <f>IFERROR(VLOOKUP(Table2[[#This Row], [Ticket]],Okey!A:B,2,0),"")</f>
        <v>ok</v>
      </c>
      <c r="I3560" s="34" t="s">
        <v>8539</v>
      </c>
      <c r="J3560" s="34" t="str">
        <f>VLOOKUP(Table2[[#This Row],[Author]],People!A:B,2,0)</f>
        <v>HC</v>
      </c>
      <c r="K3560" s="34"/>
      <c r="L3560" s="34"/>
      <c r="M3560" s="34" t="s">
        <v>9000</v>
      </c>
    </row>
    <row r="3561" spans="1:13" hidden="1">
      <c r="A3561" s="40">
        <f t="shared" si="59"/>
        <v>3560</v>
      </c>
      <c r="B3561" s="34" t="s">
        <v>8</v>
      </c>
      <c r="C3561" s="34" t="s">
        <v>12400</v>
      </c>
      <c r="D3561" s="8" t="s">
        <v>12729</v>
      </c>
      <c r="E3561" s="8" t="s">
        <v>12514</v>
      </c>
      <c r="F3561" s="8" t="s">
        <v>12720</v>
      </c>
      <c r="G3561" s="34" t="s">
        <v>14</v>
      </c>
      <c r="H3561" s="34" t="str">
        <f>IFERROR(VLOOKUP(Table2[[#This Row], [Ticket]],Okey!A:B,2,0),"")</f>
        <v>ok</v>
      </c>
      <c r="I3561" s="34" t="s">
        <v>8539</v>
      </c>
      <c r="J3561" s="34" t="str">
        <f>VLOOKUP(Table2[[#This Row],[Author]],People!A:B,2,0)</f>
        <v>HC</v>
      </c>
      <c r="K3561" s="34"/>
      <c r="L3561" s="34"/>
      <c r="M3561" s="34" t="s">
        <v>9000</v>
      </c>
    </row>
    <row r="3562" spans="1:13" hidden="1">
      <c r="A3562" s="40">
        <f t="shared" si="59"/>
        <v>3561</v>
      </c>
      <c r="B3562" s="34" t="s">
        <v>8</v>
      </c>
      <c r="C3562" s="34" t="s">
        <v>12400</v>
      </c>
      <c r="D3562" s="8" t="s">
        <v>12730</v>
      </c>
      <c r="E3562" s="8" t="s">
        <v>12515</v>
      </c>
      <c r="F3562" s="8" t="s">
        <v>1133</v>
      </c>
      <c r="G3562" s="34" t="s">
        <v>14</v>
      </c>
      <c r="H3562" s="34" t="str">
        <f>IFERROR(VLOOKUP(Table2[[#This Row], [Ticket]],Okey!A:B,2,0),"")</f>
        <v>ok</v>
      </c>
      <c r="I3562" s="34" t="s">
        <v>8539</v>
      </c>
      <c r="J3562" s="34" t="str">
        <f>VLOOKUP(Table2[[#This Row],[Author]],People!A:B,2,0)</f>
        <v>HC</v>
      </c>
      <c r="K3562" s="34"/>
      <c r="L3562" s="34"/>
      <c r="M3562" s="34" t="s">
        <v>9000</v>
      </c>
    </row>
    <row r="3563" spans="1:13" hidden="1">
      <c r="A3563" s="40">
        <f t="shared" si="59"/>
        <v>3562</v>
      </c>
      <c r="B3563" s="34" t="s">
        <v>8</v>
      </c>
      <c r="C3563" s="34" t="s">
        <v>12400</v>
      </c>
      <c r="D3563" s="8" t="s">
        <v>12731</v>
      </c>
      <c r="E3563" s="8" t="s">
        <v>12516</v>
      </c>
      <c r="F3563" s="8" t="s">
        <v>12517</v>
      </c>
      <c r="G3563" s="34" t="s">
        <v>14</v>
      </c>
      <c r="H3563" s="34" t="str">
        <f>IFERROR(VLOOKUP(Table2[[#This Row], [Ticket]],Okey!A:B,2,0),"")</f>
        <v>ok</v>
      </c>
      <c r="I3563" s="34" t="s">
        <v>8539</v>
      </c>
      <c r="J3563" s="34" t="str">
        <f>VLOOKUP(Table2[[#This Row],[Author]],People!A:B,2,0)</f>
        <v>HC</v>
      </c>
      <c r="K3563" s="34"/>
      <c r="L3563" s="34"/>
      <c r="M3563" s="34" t="s">
        <v>9000</v>
      </c>
    </row>
    <row r="3564" spans="1:13" hidden="1">
      <c r="A3564" s="40">
        <f t="shared" si="59"/>
        <v>3563</v>
      </c>
      <c r="B3564" s="34" t="s">
        <v>8</v>
      </c>
      <c r="C3564" s="34" t="s">
        <v>12400</v>
      </c>
      <c r="D3564" s="8" t="s">
        <v>12732</v>
      </c>
      <c r="E3564" s="8" t="s">
        <v>12518</v>
      </c>
      <c r="F3564" s="8" t="s">
        <v>12731</v>
      </c>
      <c r="G3564" s="34" t="s">
        <v>14</v>
      </c>
      <c r="H3564" s="34" t="str">
        <f>IFERROR(VLOOKUP(Table2[[#This Row], [Ticket]],Okey!A:B,2,0),"")</f>
        <v>ok</v>
      </c>
      <c r="I3564" s="34" t="s">
        <v>8539</v>
      </c>
      <c r="J3564" s="34" t="str">
        <f>VLOOKUP(Table2[[#This Row],[Author]],People!A:B,2,0)</f>
        <v>HC</v>
      </c>
      <c r="K3564" s="34"/>
      <c r="L3564" s="34"/>
      <c r="M3564" s="34" t="s">
        <v>9000</v>
      </c>
    </row>
    <row r="3565" spans="1:13" hidden="1">
      <c r="A3565" s="40">
        <f t="shared" si="59"/>
        <v>3564</v>
      </c>
      <c r="B3565" s="34" t="s">
        <v>8</v>
      </c>
      <c r="C3565" s="34" t="s">
        <v>12400</v>
      </c>
      <c r="D3565" s="8" t="s">
        <v>12733</v>
      </c>
      <c r="E3565" s="8" t="s">
        <v>12519</v>
      </c>
      <c r="F3565" s="8" t="s">
        <v>12731</v>
      </c>
      <c r="G3565" s="34" t="s">
        <v>14</v>
      </c>
      <c r="H3565" s="34" t="str">
        <f>IFERROR(VLOOKUP(Table2[[#This Row], [Ticket]],Okey!A:B,2,0),"")</f>
        <v>ok</v>
      </c>
      <c r="I3565" s="34" t="s">
        <v>8539</v>
      </c>
      <c r="J3565" s="34" t="str">
        <f>VLOOKUP(Table2[[#This Row],[Author]],People!A:B,2,0)</f>
        <v>HC</v>
      </c>
      <c r="K3565" s="34"/>
      <c r="L3565" s="34"/>
      <c r="M3565" s="34" t="s">
        <v>9000</v>
      </c>
    </row>
    <row r="3566" spans="1:13" hidden="1">
      <c r="A3566" s="40">
        <f t="shared" si="59"/>
        <v>3565</v>
      </c>
      <c r="B3566" s="34" t="s">
        <v>8</v>
      </c>
      <c r="C3566" s="34" t="s">
        <v>12400</v>
      </c>
      <c r="D3566" s="8" t="s">
        <v>12734</v>
      </c>
      <c r="E3566" s="8" t="s">
        <v>12520</v>
      </c>
      <c r="F3566" s="8" t="s">
        <v>12731</v>
      </c>
      <c r="G3566" s="34" t="s">
        <v>14</v>
      </c>
      <c r="H3566" s="34" t="str">
        <f>IFERROR(VLOOKUP(Table2[[#This Row], [Ticket]],Okey!A:B,2,0),"")</f>
        <v>ok</v>
      </c>
      <c r="I3566" s="34" t="s">
        <v>8539</v>
      </c>
      <c r="J3566" s="34" t="str">
        <f>VLOOKUP(Table2[[#This Row],[Author]],People!A:B,2,0)</f>
        <v>HC</v>
      </c>
      <c r="K3566" s="34"/>
      <c r="L3566" s="34"/>
      <c r="M3566" s="34" t="s">
        <v>9000</v>
      </c>
    </row>
    <row r="3567" spans="1:13" hidden="1">
      <c r="A3567" s="40">
        <f t="shared" si="59"/>
        <v>3566</v>
      </c>
      <c r="B3567" s="34" t="s">
        <v>8</v>
      </c>
      <c r="C3567" s="34" t="s">
        <v>12400</v>
      </c>
      <c r="D3567" s="8" t="s">
        <v>12735</v>
      </c>
      <c r="E3567" s="8" t="s">
        <v>12521</v>
      </c>
      <c r="F3567" s="8" t="s">
        <v>12731</v>
      </c>
      <c r="G3567" s="34" t="s">
        <v>14</v>
      </c>
      <c r="H3567" s="34" t="str">
        <f>IFERROR(VLOOKUP(Table2[[#This Row], [Ticket]],Okey!A:B,2,0),"")</f>
        <v>ok</v>
      </c>
      <c r="I3567" s="34" t="s">
        <v>8539</v>
      </c>
      <c r="J3567" s="34" t="str">
        <f>VLOOKUP(Table2[[#This Row],[Author]],People!A:B,2,0)</f>
        <v>HC</v>
      </c>
      <c r="K3567" s="34"/>
      <c r="L3567" s="34"/>
      <c r="M3567" s="34" t="s">
        <v>9000</v>
      </c>
    </row>
    <row r="3568" spans="1:13" hidden="1">
      <c r="A3568" s="40">
        <f t="shared" si="59"/>
        <v>3567</v>
      </c>
      <c r="B3568" s="34" t="s">
        <v>8</v>
      </c>
      <c r="C3568" s="34" t="s">
        <v>12400</v>
      </c>
      <c r="D3568" s="8" t="s">
        <v>12736</v>
      </c>
      <c r="E3568" s="8" t="s">
        <v>12522</v>
      </c>
      <c r="F3568" s="8" t="s">
        <v>12731</v>
      </c>
      <c r="G3568" s="34" t="s">
        <v>14</v>
      </c>
      <c r="H3568" s="34" t="str">
        <f>IFERROR(VLOOKUP(Table2[[#This Row], [Ticket]],Okey!A:B,2,0),"")</f>
        <v>ok</v>
      </c>
      <c r="I3568" s="34" t="s">
        <v>8539</v>
      </c>
      <c r="J3568" s="34" t="str">
        <f>VLOOKUP(Table2[[#This Row],[Author]],People!A:B,2,0)</f>
        <v>HC</v>
      </c>
      <c r="K3568" s="34"/>
      <c r="L3568" s="34"/>
      <c r="M3568" s="34" t="s">
        <v>9000</v>
      </c>
    </row>
    <row r="3569" spans="1:13" hidden="1">
      <c r="A3569" s="40">
        <f t="shared" si="59"/>
        <v>3568</v>
      </c>
      <c r="B3569" s="34" t="s">
        <v>8</v>
      </c>
      <c r="C3569" s="34" t="s">
        <v>12400</v>
      </c>
      <c r="D3569" s="8" t="s">
        <v>12737</v>
      </c>
      <c r="E3569" s="8" t="s">
        <v>12523</v>
      </c>
      <c r="F3569" s="8" t="s">
        <v>12732</v>
      </c>
      <c r="G3569" s="34" t="s">
        <v>14</v>
      </c>
      <c r="H3569" s="34" t="str">
        <f>IFERROR(VLOOKUP(Table2[[#This Row], [Ticket]],Okey!A:B,2,0),"")</f>
        <v>ok</v>
      </c>
      <c r="I3569" s="34" t="s">
        <v>8539</v>
      </c>
      <c r="J3569" s="34" t="str">
        <f>VLOOKUP(Table2[[#This Row],[Author]],People!A:B,2,0)</f>
        <v>HC</v>
      </c>
      <c r="K3569" s="34"/>
      <c r="L3569" s="34"/>
      <c r="M3569" s="34" t="s">
        <v>9000</v>
      </c>
    </row>
    <row r="3570" spans="1:13" hidden="1">
      <c r="A3570" s="40">
        <f t="shared" si="59"/>
        <v>3569</v>
      </c>
      <c r="B3570" s="34" t="s">
        <v>8</v>
      </c>
      <c r="C3570" s="34" t="s">
        <v>12400</v>
      </c>
      <c r="D3570" s="8" t="s">
        <v>12738</v>
      </c>
      <c r="E3570" s="8" t="s">
        <v>12524</v>
      </c>
      <c r="F3570" s="8" t="s">
        <v>12733</v>
      </c>
      <c r="G3570" s="34" t="s">
        <v>14</v>
      </c>
      <c r="H3570" s="34" t="str">
        <f>IFERROR(VLOOKUP(Table2[[#This Row], [Ticket]],Okey!A:B,2,0),"")</f>
        <v>ok</v>
      </c>
      <c r="I3570" s="34" t="s">
        <v>8539</v>
      </c>
      <c r="J3570" s="34" t="str">
        <f>VLOOKUP(Table2[[#This Row],[Author]],People!A:B,2,0)</f>
        <v>HC</v>
      </c>
      <c r="K3570" s="34"/>
      <c r="L3570" s="34"/>
      <c r="M3570" s="34" t="s">
        <v>9000</v>
      </c>
    </row>
    <row r="3571" spans="1:13" hidden="1">
      <c r="A3571" s="40">
        <f t="shared" si="59"/>
        <v>3570</v>
      </c>
      <c r="B3571" s="34" t="s">
        <v>8</v>
      </c>
      <c r="C3571" s="34" t="s">
        <v>12400</v>
      </c>
      <c r="D3571" s="8" t="s">
        <v>12739</v>
      </c>
      <c r="E3571" s="8" t="s">
        <v>12525</v>
      </c>
      <c r="F3571" s="8" t="s">
        <v>12733</v>
      </c>
      <c r="G3571" s="34" t="s">
        <v>14</v>
      </c>
      <c r="H3571" s="34" t="str">
        <f>IFERROR(VLOOKUP(Table2[[#This Row], [Ticket]],Okey!A:B,2,0),"")</f>
        <v>ok</v>
      </c>
      <c r="I3571" s="34" t="s">
        <v>8539</v>
      </c>
      <c r="J3571" s="34" t="str">
        <f>VLOOKUP(Table2[[#This Row],[Author]],People!A:B,2,0)</f>
        <v>HC</v>
      </c>
      <c r="K3571" s="34"/>
      <c r="L3571" s="34"/>
      <c r="M3571" s="34" t="s">
        <v>9000</v>
      </c>
    </row>
    <row r="3572" spans="1:13" hidden="1">
      <c r="A3572" s="40">
        <f t="shared" si="59"/>
        <v>3571</v>
      </c>
      <c r="B3572" s="34" t="s">
        <v>8</v>
      </c>
      <c r="C3572" s="34" t="s">
        <v>12400</v>
      </c>
      <c r="D3572" s="8" t="s">
        <v>12740</v>
      </c>
      <c r="E3572" s="8" t="s">
        <v>12526</v>
      </c>
      <c r="F3572" s="8" t="s">
        <v>12733</v>
      </c>
      <c r="G3572" s="34" t="s">
        <v>14</v>
      </c>
      <c r="H3572" s="34" t="str">
        <f>IFERROR(VLOOKUP(Table2[[#This Row], [Ticket]],Okey!A:B,2,0),"")</f>
        <v>ok</v>
      </c>
      <c r="I3572" s="34" t="s">
        <v>8539</v>
      </c>
      <c r="J3572" s="34" t="str">
        <f>VLOOKUP(Table2[[#This Row],[Author]],People!A:B,2,0)</f>
        <v>HC</v>
      </c>
      <c r="K3572" s="34"/>
      <c r="L3572" s="34"/>
      <c r="M3572" s="34" t="s">
        <v>9000</v>
      </c>
    </row>
    <row r="3573" spans="1:13" hidden="1">
      <c r="A3573" s="40">
        <f t="shared" si="59"/>
        <v>3572</v>
      </c>
      <c r="B3573" s="34" t="s">
        <v>8</v>
      </c>
      <c r="C3573" s="34" t="s">
        <v>12400</v>
      </c>
      <c r="D3573" s="8" t="s">
        <v>12741</v>
      </c>
      <c r="E3573" s="8" t="s">
        <v>12527</v>
      </c>
      <c r="F3573" s="8" t="s">
        <v>12734</v>
      </c>
      <c r="G3573" s="34" t="s">
        <v>14</v>
      </c>
      <c r="H3573" s="34" t="str">
        <f>IFERROR(VLOOKUP(Table2[[#This Row], [Ticket]],Okey!A:B,2,0),"")</f>
        <v>ok</v>
      </c>
      <c r="I3573" s="34" t="s">
        <v>8539</v>
      </c>
      <c r="J3573" s="34" t="str">
        <f>VLOOKUP(Table2[[#This Row],[Author]],People!A:B,2,0)</f>
        <v>HC</v>
      </c>
      <c r="K3573" s="34"/>
      <c r="L3573" s="34"/>
      <c r="M3573" s="34" t="s">
        <v>9000</v>
      </c>
    </row>
    <row r="3574" spans="1:13" hidden="1">
      <c r="A3574" s="40">
        <f t="shared" si="59"/>
        <v>3573</v>
      </c>
      <c r="B3574" s="34" t="s">
        <v>8</v>
      </c>
      <c r="C3574" s="34" t="s">
        <v>12400</v>
      </c>
      <c r="D3574" s="8" t="s">
        <v>12742</v>
      </c>
      <c r="E3574" s="8" t="s">
        <v>12528</v>
      </c>
      <c r="F3574" s="8" t="s">
        <v>12734</v>
      </c>
      <c r="G3574" s="34" t="s">
        <v>14</v>
      </c>
      <c r="H3574" s="34" t="str">
        <f>IFERROR(VLOOKUP(Table2[[#This Row], [Ticket]],Okey!A:B,2,0),"")</f>
        <v>ok</v>
      </c>
      <c r="I3574" s="34" t="s">
        <v>8539</v>
      </c>
      <c r="J3574" s="34" t="str">
        <f>VLOOKUP(Table2[[#This Row],[Author]],People!A:B,2,0)</f>
        <v>HC</v>
      </c>
      <c r="K3574" s="34"/>
      <c r="L3574" s="34"/>
      <c r="M3574" s="34" t="s">
        <v>9000</v>
      </c>
    </row>
    <row r="3575" spans="1:13" hidden="1">
      <c r="A3575" s="40">
        <f t="shared" si="59"/>
        <v>3574</v>
      </c>
      <c r="B3575" s="34" t="s">
        <v>8</v>
      </c>
      <c r="C3575" s="34" t="s">
        <v>12400</v>
      </c>
      <c r="D3575" s="8" t="s">
        <v>12743</v>
      </c>
      <c r="E3575" s="8" t="s">
        <v>12529</v>
      </c>
      <c r="F3575" s="8" t="s">
        <v>12735</v>
      </c>
      <c r="G3575" s="34" t="s">
        <v>14</v>
      </c>
      <c r="H3575" s="34" t="str">
        <f>IFERROR(VLOOKUP(Table2[[#This Row], [Ticket]],Okey!A:B,2,0),"")</f>
        <v>ok</v>
      </c>
      <c r="I3575" s="34" t="s">
        <v>8539</v>
      </c>
      <c r="J3575" s="34" t="str">
        <f>VLOOKUP(Table2[[#This Row],[Author]],People!A:B,2,0)</f>
        <v>HC</v>
      </c>
      <c r="K3575" s="34"/>
      <c r="L3575" s="34"/>
      <c r="M3575" s="34" t="s">
        <v>9000</v>
      </c>
    </row>
    <row r="3576" spans="1:13" hidden="1">
      <c r="A3576" s="40">
        <f t="shared" si="59"/>
        <v>3575</v>
      </c>
      <c r="B3576" s="34" t="s">
        <v>8</v>
      </c>
      <c r="C3576" s="34" t="s">
        <v>12400</v>
      </c>
      <c r="D3576" s="8" t="s">
        <v>12744</v>
      </c>
      <c r="E3576" s="8" t="s">
        <v>12530</v>
      </c>
      <c r="F3576" s="8" t="s">
        <v>12735</v>
      </c>
      <c r="G3576" s="34" t="s">
        <v>14</v>
      </c>
      <c r="H3576" s="34" t="str">
        <f>IFERROR(VLOOKUP(Table2[[#This Row], [Ticket]],Okey!A:B,2,0),"")</f>
        <v>ok</v>
      </c>
      <c r="I3576" s="34" t="s">
        <v>8539</v>
      </c>
      <c r="J3576" s="34" t="str">
        <f>VLOOKUP(Table2[[#This Row],[Author]],People!A:B,2,0)</f>
        <v>HC</v>
      </c>
      <c r="K3576" s="34"/>
      <c r="L3576" s="34"/>
      <c r="M3576" s="34" t="s">
        <v>9000</v>
      </c>
    </row>
    <row r="3577" spans="1:13" hidden="1">
      <c r="A3577" s="40">
        <f t="shared" si="59"/>
        <v>3576</v>
      </c>
      <c r="B3577" s="34" t="s">
        <v>8</v>
      </c>
      <c r="C3577" s="34" t="s">
        <v>12400</v>
      </c>
      <c r="D3577" s="8" t="s">
        <v>12745</v>
      </c>
      <c r="E3577" s="8" t="s">
        <v>12531</v>
      </c>
      <c r="F3577" s="8" t="s">
        <v>12737</v>
      </c>
      <c r="G3577" s="34" t="s">
        <v>14</v>
      </c>
      <c r="H3577" s="34" t="str">
        <f>IFERROR(VLOOKUP(Table2[[#This Row], [Ticket]],Okey!A:B,2,0),"")</f>
        <v>ok</v>
      </c>
      <c r="I3577" s="34" t="s">
        <v>8539</v>
      </c>
      <c r="J3577" s="34" t="str">
        <f>VLOOKUP(Table2[[#This Row],[Author]],People!A:B,2,0)</f>
        <v>HC</v>
      </c>
      <c r="K3577" s="34"/>
      <c r="L3577" s="34"/>
      <c r="M3577" s="34" t="s">
        <v>9000</v>
      </c>
    </row>
    <row r="3578" spans="1:13" hidden="1">
      <c r="A3578" s="40">
        <f t="shared" si="59"/>
        <v>3577</v>
      </c>
      <c r="B3578" s="34" t="s">
        <v>8</v>
      </c>
      <c r="C3578" s="34" t="s">
        <v>12400</v>
      </c>
      <c r="D3578" s="8" t="s">
        <v>12746</v>
      </c>
      <c r="E3578" s="8" t="s">
        <v>12532</v>
      </c>
      <c r="F3578" s="8" t="s">
        <v>12737</v>
      </c>
      <c r="G3578" s="34" t="s">
        <v>14</v>
      </c>
      <c r="H3578" s="34" t="str">
        <f>IFERROR(VLOOKUP(Table2[[#This Row], [Ticket]],Okey!A:B,2,0),"")</f>
        <v>ok</v>
      </c>
      <c r="I3578" s="34" t="s">
        <v>8539</v>
      </c>
      <c r="J3578" s="34" t="str">
        <f>VLOOKUP(Table2[[#This Row],[Author]],People!A:B,2,0)</f>
        <v>HC</v>
      </c>
      <c r="K3578" s="34"/>
      <c r="L3578" s="34"/>
      <c r="M3578" s="34" t="s">
        <v>9000</v>
      </c>
    </row>
    <row r="3579" spans="1:13" hidden="1">
      <c r="A3579" s="40">
        <f t="shared" si="59"/>
        <v>3578</v>
      </c>
      <c r="B3579" s="34" t="s">
        <v>8</v>
      </c>
      <c r="C3579" s="34" t="s">
        <v>12400</v>
      </c>
      <c r="D3579" s="8" t="s">
        <v>12747</v>
      </c>
      <c r="E3579" s="8" t="s">
        <v>12533</v>
      </c>
      <c r="F3579" s="8" t="s">
        <v>12737</v>
      </c>
      <c r="G3579" s="34" t="s">
        <v>14</v>
      </c>
      <c r="H3579" s="34" t="str">
        <f>IFERROR(VLOOKUP(Table2[[#This Row], [Ticket]],Okey!A:B,2,0),"")</f>
        <v>ok</v>
      </c>
      <c r="I3579" s="34" t="s">
        <v>8539</v>
      </c>
      <c r="J3579" s="34" t="str">
        <f>VLOOKUP(Table2[[#This Row],[Author]],People!A:B,2,0)</f>
        <v>HC</v>
      </c>
      <c r="K3579" s="34"/>
      <c r="L3579" s="34"/>
      <c r="M3579" s="34" t="s">
        <v>9000</v>
      </c>
    </row>
    <row r="3580" spans="1:13" hidden="1">
      <c r="A3580" s="40">
        <f t="shared" si="59"/>
        <v>3579</v>
      </c>
      <c r="B3580" s="34" t="s">
        <v>8</v>
      </c>
      <c r="C3580" s="34" t="s">
        <v>12400</v>
      </c>
      <c r="D3580" s="8" t="s">
        <v>12748</v>
      </c>
      <c r="E3580" s="8" t="s">
        <v>12534</v>
      </c>
      <c r="F3580" s="8" t="s">
        <v>12745</v>
      </c>
      <c r="G3580" s="34" t="s">
        <v>14</v>
      </c>
      <c r="H3580" s="34" t="str">
        <f>IFERROR(VLOOKUP(Table2[[#This Row], [Ticket]],Okey!A:B,2,0),"")</f>
        <v>ok</v>
      </c>
      <c r="I3580" s="34" t="s">
        <v>8539</v>
      </c>
      <c r="J3580" s="34" t="str">
        <f>VLOOKUP(Table2[[#This Row],[Author]],People!A:B,2,0)</f>
        <v>HC</v>
      </c>
      <c r="K3580" s="34"/>
      <c r="L3580" s="34"/>
      <c r="M3580" s="34" t="s">
        <v>9000</v>
      </c>
    </row>
    <row r="3581" spans="1:13" hidden="1">
      <c r="A3581" s="40">
        <f t="shared" si="59"/>
        <v>3580</v>
      </c>
      <c r="B3581" s="34" t="s">
        <v>8</v>
      </c>
      <c r="C3581" s="34" t="s">
        <v>12400</v>
      </c>
      <c r="D3581" s="8" t="s">
        <v>12749</v>
      </c>
      <c r="E3581" s="8" t="s">
        <v>12535</v>
      </c>
      <c r="F3581" s="8" t="s">
        <v>12745</v>
      </c>
      <c r="G3581" s="34" t="s">
        <v>14</v>
      </c>
      <c r="H3581" s="34" t="str">
        <f>IFERROR(VLOOKUP(Table2[[#This Row], [Ticket]],Okey!A:B,2,0),"")</f>
        <v>ok</v>
      </c>
      <c r="I3581" s="34" t="s">
        <v>8539</v>
      </c>
      <c r="J3581" s="34" t="str">
        <f>VLOOKUP(Table2[[#This Row],[Author]],People!A:B,2,0)</f>
        <v>HC</v>
      </c>
      <c r="K3581" s="34"/>
      <c r="L3581" s="34"/>
      <c r="M3581" s="34" t="s">
        <v>9000</v>
      </c>
    </row>
    <row r="3582" spans="1:13" hidden="1">
      <c r="A3582" s="40">
        <f t="shared" ref="A3582:A3645" si="60">1+A3581</f>
        <v>3581</v>
      </c>
      <c r="B3582" s="34" t="s">
        <v>8</v>
      </c>
      <c r="C3582" s="34" t="s">
        <v>12400</v>
      </c>
      <c r="D3582" s="8" t="s">
        <v>12750</v>
      </c>
      <c r="E3582" s="8" t="s">
        <v>12536</v>
      </c>
      <c r="F3582" s="8" t="s">
        <v>12745</v>
      </c>
      <c r="G3582" s="34" t="s">
        <v>14</v>
      </c>
      <c r="H3582" s="34" t="str">
        <f>IFERROR(VLOOKUP(Table2[[#This Row], [Ticket]],Okey!A:B,2,0),"")</f>
        <v>ok</v>
      </c>
      <c r="I3582" s="34" t="s">
        <v>8539</v>
      </c>
      <c r="J3582" s="34" t="str">
        <f>VLOOKUP(Table2[[#This Row],[Author]],People!A:B,2,0)</f>
        <v>HC</v>
      </c>
      <c r="K3582" s="34"/>
      <c r="L3582" s="34"/>
      <c r="M3582" s="34" t="s">
        <v>9000</v>
      </c>
    </row>
    <row r="3583" spans="1:13" hidden="1">
      <c r="A3583" s="40">
        <f t="shared" si="60"/>
        <v>3582</v>
      </c>
      <c r="B3583" s="34" t="s">
        <v>8</v>
      </c>
      <c r="C3583" s="34" t="s">
        <v>12400</v>
      </c>
      <c r="D3583" s="8" t="s">
        <v>12751</v>
      </c>
      <c r="E3583" s="8" t="s">
        <v>12537</v>
      </c>
      <c r="F3583" s="8" t="s">
        <v>12745</v>
      </c>
      <c r="G3583" s="34" t="s">
        <v>14</v>
      </c>
      <c r="H3583" s="34" t="str">
        <f>IFERROR(VLOOKUP(Table2[[#This Row], [Ticket]],Okey!A:B,2,0),"")</f>
        <v>ok</v>
      </c>
      <c r="I3583" s="34" t="s">
        <v>8539</v>
      </c>
      <c r="J3583" s="34" t="str">
        <f>VLOOKUP(Table2[[#This Row],[Author]],People!A:B,2,0)</f>
        <v>HC</v>
      </c>
      <c r="K3583" s="34"/>
      <c r="L3583" s="34"/>
      <c r="M3583" s="34" t="s">
        <v>9000</v>
      </c>
    </row>
    <row r="3584" spans="1:13" hidden="1">
      <c r="A3584" s="40">
        <f t="shared" si="60"/>
        <v>3583</v>
      </c>
      <c r="B3584" s="34" t="s">
        <v>8</v>
      </c>
      <c r="C3584" s="34" t="s">
        <v>12400</v>
      </c>
      <c r="D3584" s="8" t="s">
        <v>12752</v>
      </c>
      <c r="E3584" s="8" t="s">
        <v>12534</v>
      </c>
      <c r="F3584" s="8" t="s">
        <v>12746</v>
      </c>
      <c r="G3584" s="34" t="s">
        <v>14</v>
      </c>
      <c r="H3584" s="34" t="str">
        <f>IFERROR(VLOOKUP(Table2[[#This Row], [Ticket]],Okey!A:B,2,0),"")</f>
        <v>ok</v>
      </c>
      <c r="I3584" s="34" t="s">
        <v>8539</v>
      </c>
      <c r="J3584" s="34" t="str">
        <f>VLOOKUP(Table2[[#This Row],[Author]],People!A:B,2,0)</f>
        <v>HC</v>
      </c>
      <c r="K3584" s="34"/>
      <c r="L3584" s="34"/>
      <c r="M3584" s="34" t="s">
        <v>9000</v>
      </c>
    </row>
    <row r="3585" spans="1:13" hidden="1">
      <c r="A3585" s="40">
        <f t="shared" si="60"/>
        <v>3584</v>
      </c>
      <c r="B3585" s="34" t="s">
        <v>8</v>
      </c>
      <c r="C3585" s="34" t="s">
        <v>12400</v>
      </c>
      <c r="D3585" s="8" t="s">
        <v>12753</v>
      </c>
      <c r="E3585" s="8" t="s">
        <v>12535</v>
      </c>
      <c r="F3585" s="8" t="s">
        <v>12746</v>
      </c>
      <c r="G3585" s="34" t="s">
        <v>14</v>
      </c>
      <c r="H3585" s="34" t="str">
        <f>IFERROR(VLOOKUP(Table2[[#This Row], [Ticket]],Okey!A:B,2,0),"")</f>
        <v>ok</v>
      </c>
      <c r="I3585" s="34" t="s">
        <v>8539</v>
      </c>
      <c r="J3585" s="34" t="str">
        <f>VLOOKUP(Table2[[#This Row],[Author]],People!A:B,2,0)</f>
        <v>HC</v>
      </c>
      <c r="K3585" s="34"/>
      <c r="L3585" s="34"/>
      <c r="M3585" s="34" t="s">
        <v>9000</v>
      </c>
    </row>
    <row r="3586" spans="1:13" hidden="1">
      <c r="A3586" s="40">
        <f t="shared" si="60"/>
        <v>3585</v>
      </c>
      <c r="B3586" s="34" t="s">
        <v>8</v>
      </c>
      <c r="C3586" s="34" t="s">
        <v>12400</v>
      </c>
      <c r="D3586" s="8" t="s">
        <v>12754</v>
      </c>
      <c r="E3586" s="8" t="s">
        <v>12536</v>
      </c>
      <c r="F3586" s="8" t="s">
        <v>12746</v>
      </c>
      <c r="G3586" s="34" t="s">
        <v>14</v>
      </c>
      <c r="H3586" s="34" t="str">
        <f>IFERROR(VLOOKUP(Table2[[#This Row], [Ticket]],Okey!A:B,2,0),"")</f>
        <v>ok</v>
      </c>
      <c r="I3586" s="34" t="s">
        <v>8539</v>
      </c>
      <c r="J3586" s="34" t="str">
        <f>VLOOKUP(Table2[[#This Row],[Author]],People!A:B,2,0)</f>
        <v>HC</v>
      </c>
      <c r="K3586" s="34"/>
      <c r="L3586" s="34"/>
      <c r="M3586" s="34" t="s">
        <v>9000</v>
      </c>
    </row>
    <row r="3587" spans="1:13" hidden="1">
      <c r="A3587" s="40">
        <f t="shared" si="60"/>
        <v>3586</v>
      </c>
      <c r="B3587" s="34" t="s">
        <v>8</v>
      </c>
      <c r="C3587" s="34" t="s">
        <v>12400</v>
      </c>
      <c r="D3587" s="8" t="s">
        <v>12755</v>
      </c>
      <c r="E3587" s="8" t="s">
        <v>12537</v>
      </c>
      <c r="F3587" s="8" t="s">
        <v>12746</v>
      </c>
      <c r="G3587" s="34" t="s">
        <v>14</v>
      </c>
      <c r="H3587" s="34" t="str">
        <f>IFERROR(VLOOKUP(Table2[[#This Row], [Ticket]],Okey!A:B,2,0),"")</f>
        <v>ok</v>
      </c>
      <c r="I3587" s="34" t="s">
        <v>8539</v>
      </c>
      <c r="J3587" s="34" t="str">
        <f>VLOOKUP(Table2[[#This Row],[Author]],People!A:B,2,0)</f>
        <v>HC</v>
      </c>
      <c r="K3587" s="34"/>
      <c r="L3587" s="34"/>
      <c r="M3587" s="34" t="s">
        <v>9000</v>
      </c>
    </row>
    <row r="3588" spans="1:13" hidden="1">
      <c r="A3588" s="40">
        <f t="shared" si="60"/>
        <v>3587</v>
      </c>
      <c r="B3588" s="34" t="s">
        <v>8</v>
      </c>
      <c r="C3588" s="34" t="s">
        <v>12400</v>
      </c>
      <c r="D3588" s="8" t="s">
        <v>12756</v>
      </c>
      <c r="E3588" s="8" t="s">
        <v>12534</v>
      </c>
      <c r="F3588" s="8" t="s">
        <v>12747</v>
      </c>
      <c r="G3588" s="34" t="s">
        <v>14</v>
      </c>
      <c r="H3588" s="34" t="str">
        <f>IFERROR(VLOOKUP(Table2[[#This Row], [Ticket]],Okey!A:B,2,0),"")</f>
        <v>ok</v>
      </c>
      <c r="I3588" s="34" t="s">
        <v>8539</v>
      </c>
      <c r="J3588" s="34" t="str">
        <f>VLOOKUP(Table2[[#This Row],[Author]],People!A:B,2,0)</f>
        <v>HC</v>
      </c>
      <c r="K3588" s="34"/>
      <c r="L3588" s="34"/>
      <c r="M3588" s="34" t="s">
        <v>9000</v>
      </c>
    </row>
    <row r="3589" spans="1:13" hidden="1">
      <c r="A3589" s="40">
        <f t="shared" si="60"/>
        <v>3588</v>
      </c>
      <c r="B3589" s="34" t="s">
        <v>8</v>
      </c>
      <c r="C3589" s="34" t="s">
        <v>12400</v>
      </c>
      <c r="D3589" s="8" t="s">
        <v>12757</v>
      </c>
      <c r="E3589" s="8" t="s">
        <v>12535</v>
      </c>
      <c r="F3589" s="8" t="s">
        <v>12747</v>
      </c>
      <c r="G3589" s="34" t="s">
        <v>14</v>
      </c>
      <c r="H3589" s="34" t="str">
        <f>IFERROR(VLOOKUP(Table2[[#This Row], [Ticket]],Okey!A:B,2,0),"")</f>
        <v>ok</v>
      </c>
      <c r="I3589" s="34" t="s">
        <v>8539</v>
      </c>
      <c r="J3589" s="34" t="str">
        <f>VLOOKUP(Table2[[#This Row],[Author]],People!A:B,2,0)</f>
        <v>HC</v>
      </c>
      <c r="K3589" s="34"/>
      <c r="L3589" s="34"/>
      <c r="M3589" s="34" t="s">
        <v>9000</v>
      </c>
    </row>
    <row r="3590" spans="1:13" hidden="1">
      <c r="A3590" s="40">
        <f t="shared" si="60"/>
        <v>3589</v>
      </c>
      <c r="B3590" s="34" t="s">
        <v>8</v>
      </c>
      <c r="C3590" s="34" t="s">
        <v>12400</v>
      </c>
      <c r="D3590" s="8" t="s">
        <v>12758</v>
      </c>
      <c r="E3590" s="8" t="s">
        <v>12536</v>
      </c>
      <c r="F3590" s="8" t="s">
        <v>12747</v>
      </c>
      <c r="G3590" s="34" t="s">
        <v>14</v>
      </c>
      <c r="H3590" s="34" t="str">
        <f>IFERROR(VLOOKUP(Table2[[#This Row], [Ticket]],Okey!A:B,2,0),"")</f>
        <v>ok</v>
      </c>
      <c r="I3590" s="34" t="s">
        <v>8539</v>
      </c>
      <c r="J3590" s="34" t="str">
        <f>VLOOKUP(Table2[[#This Row],[Author]],People!A:B,2,0)</f>
        <v>HC</v>
      </c>
      <c r="K3590" s="34"/>
      <c r="L3590" s="34"/>
      <c r="M3590" s="34" t="s">
        <v>9000</v>
      </c>
    </row>
    <row r="3591" spans="1:13" hidden="1">
      <c r="A3591" s="40">
        <f t="shared" si="60"/>
        <v>3590</v>
      </c>
      <c r="B3591" s="34" t="s">
        <v>8</v>
      </c>
      <c r="C3591" s="34" t="s">
        <v>12400</v>
      </c>
      <c r="D3591" s="8" t="s">
        <v>12759</v>
      </c>
      <c r="E3591" s="8" t="s">
        <v>12537</v>
      </c>
      <c r="F3591" s="8" t="s">
        <v>12747</v>
      </c>
      <c r="G3591" s="34" t="s">
        <v>14</v>
      </c>
      <c r="H3591" s="34" t="str">
        <f>IFERROR(VLOOKUP(Table2[[#This Row], [Ticket]],Okey!A:B,2,0),"")</f>
        <v>ok</v>
      </c>
      <c r="I3591" s="34" t="s">
        <v>8539</v>
      </c>
      <c r="J3591" s="34" t="str">
        <f>VLOOKUP(Table2[[#This Row],[Author]],People!A:B,2,0)</f>
        <v>HC</v>
      </c>
      <c r="K3591" s="34"/>
      <c r="L3591" s="34"/>
      <c r="M3591" s="34" t="s">
        <v>9000</v>
      </c>
    </row>
    <row r="3592" spans="1:13" hidden="1">
      <c r="A3592" s="40">
        <f t="shared" si="60"/>
        <v>3591</v>
      </c>
      <c r="B3592" s="34" t="s">
        <v>8</v>
      </c>
      <c r="C3592" s="34" t="s">
        <v>12400</v>
      </c>
      <c r="D3592" s="8" t="s">
        <v>12760</v>
      </c>
      <c r="E3592" s="8" t="s">
        <v>12538</v>
      </c>
      <c r="F3592" s="8" t="s">
        <v>12517</v>
      </c>
      <c r="G3592" s="34" t="s">
        <v>14</v>
      </c>
      <c r="H3592" s="34" t="str">
        <f>IFERROR(VLOOKUP(Table2[[#This Row], [Ticket]],Okey!A:B,2,0),"")</f>
        <v>ok</v>
      </c>
      <c r="I3592" s="34" t="s">
        <v>8539</v>
      </c>
      <c r="J3592" s="34" t="str">
        <f>VLOOKUP(Table2[[#This Row],[Author]],People!A:B,2,0)</f>
        <v>HC</v>
      </c>
      <c r="K3592" s="34"/>
      <c r="L3592" s="34"/>
      <c r="M3592" s="34" t="s">
        <v>9000</v>
      </c>
    </row>
    <row r="3593" spans="1:13" hidden="1">
      <c r="A3593" s="40">
        <f t="shared" si="60"/>
        <v>3592</v>
      </c>
      <c r="B3593" s="34" t="s">
        <v>8</v>
      </c>
      <c r="C3593" s="34" t="s">
        <v>12400</v>
      </c>
      <c r="D3593" s="8" t="s">
        <v>12761</v>
      </c>
      <c r="E3593" s="8" t="s">
        <v>12539</v>
      </c>
      <c r="F3593" s="8" t="s">
        <v>1123</v>
      </c>
      <c r="G3593" s="34" t="s">
        <v>14</v>
      </c>
      <c r="H3593" s="34" t="str">
        <f>IFERROR(VLOOKUP(Table2[[#This Row], [Ticket]],Okey!A:B,2,0),"")</f>
        <v>ok</v>
      </c>
      <c r="I3593" s="34" t="s">
        <v>8539</v>
      </c>
      <c r="J3593" s="34" t="str">
        <f>VLOOKUP(Table2[[#This Row],[Author]],People!A:B,2,0)</f>
        <v>HC</v>
      </c>
      <c r="K3593" s="34"/>
      <c r="L3593" s="34"/>
      <c r="M3593" s="34" t="s">
        <v>9000</v>
      </c>
    </row>
    <row r="3594" spans="1:13" hidden="1">
      <c r="A3594" s="40">
        <f t="shared" si="60"/>
        <v>3593</v>
      </c>
      <c r="B3594" s="34" t="s">
        <v>8</v>
      </c>
      <c r="C3594" s="34" t="s">
        <v>12400</v>
      </c>
      <c r="D3594" s="8" t="s">
        <v>12762</v>
      </c>
      <c r="E3594" s="8" t="s">
        <v>12540</v>
      </c>
      <c r="F3594" s="8" t="s">
        <v>12761</v>
      </c>
      <c r="G3594" s="34" t="s">
        <v>14</v>
      </c>
      <c r="H3594" s="34" t="str">
        <f>IFERROR(VLOOKUP(Table2[[#This Row], [Ticket]],Okey!A:B,2,0),"")</f>
        <v>ok</v>
      </c>
      <c r="I3594" s="34" t="s">
        <v>8539</v>
      </c>
      <c r="J3594" s="34" t="str">
        <f>VLOOKUP(Table2[[#This Row],[Author]],People!A:B,2,0)</f>
        <v>HC</v>
      </c>
      <c r="K3594" s="34"/>
      <c r="L3594" s="34"/>
      <c r="M3594" s="34" t="s">
        <v>9000</v>
      </c>
    </row>
    <row r="3595" spans="1:13" hidden="1">
      <c r="A3595" s="40">
        <f t="shared" si="60"/>
        <v>3594</v>
      </c>
      <c r="B3595" s="34" t="s">
        <v>8</v>
      </c>
      <c r="C3595" s="34" t="s">
        <v>12400</v>
      </c>
      <c r="D3595" s="8" t="s">
        <v>12763</v>
      </c>
      <c r="E3595" s="8" t="s">
        <v>12541</v>
      </c>
      <c r="F3595" s="8" t="s">
        <v>12761</v>
      </c>
      <c r="G3595" s="34" t="s">
        <v>14</v>
      </c>
      <c r="H3595" s="34" t="str">
        <f>IFERROR(VLOOKUP(Table2[[#This Row], [Ticket]],Okey!A:B,2,0),"")</f>
        <v>ok</v>
      </c>
      <c r="I3595" s="34" t="s">
        <v>8539</v>
      </c>
      <c r="J3595" s="34" t="str">
        <f>VLOOKUP(Table2[[#This Row],[Author]],People!A:B,2,0)</f>
        <v>HC</v>
      </c>
      <c r="K3595" s="34"/>
      <c r="L3595" s="34"/>
      <c r="M3595" s="34" t="s">
        <v>9000</v>
      </c>
    </row>
    <row r="3596" spans="1:13" hidden="1">
      <c r="A3596" s="40">
        <f t="shared" si="60"/>
        <v>3595</v>
      </c>
      <c r="B3596" s="34" t="s">
        <v>8</v>
      </c>
      <c r="C3596" s="34" t="s">
        <v>12400</v>
      </c>
      <c r="D3596" s="8" t="s">
        <v>12764</v>
      </c>
      <c r="E3596" s="8" t="s">
        <v>12542</v>
      </c>
      <c r="F3596" s="8" t="s">
        <v>12761</v>
      </c>
      <c r="G3596" s="34" t="s">
        <v>14</v>
      </c>
      <c r="H3596" s="34" t="str">
        <f>IFERROR(VLOOKUP(Table2[[#This Row], [Ticket]],Okey!A:B,2,0),"")</f>
        <v>ok</v>
      </c>
      <c r="I3596" s="34" t="s">
        <v>8539</v>
      </c>
      <c r="J3596" s="34" t="str">
        <f>VLOOKUP(Table2[[#This Row],[Author]],People!A:B,2,0)</f>
        <v>HC</v>
      </c>
      <c r="K3596" s="34"/>
      <c r="L3596" s="34"/>
      <c r="M3596" s="34" t="s">
        <v>9000</v>
      </c>
    </row>
    <row r="3597" spans="1:13" hidden="1">
      <c r="A3597" s="40">
        <f t="shared" si="60"/>
        <v>3596</v>
      </c>
      <c r="B3597" s="34" t="s">
        <v>8</v>
      </c>
      <c r="C3597" s="34" t="s">
        <v>12400</v>
      </c>
      <c r="D3597" s="8" t="s">
        <v>12765</v>
      </c>
      <c r="E3597" s="8" t="s">
        <v>12543</v>
      </c>
      <c r="F3597" s="8" t="s">
        <v>12761</v>
      </c>
      <c r="G3597" s="34" t="s">
        <v>14</v>
      </c>
      <c r="H3597" s="34" t="str">
        <f>IFERROR(VLOOKUP(Table2[[#This Row], [Ticket]],Okey!A:B,2,0),"")</f>
        <v>ok</v>
      </c>
      <c r="I3597" s="34" t="s">
        <v>8539</v>
      </c>
      <c r="J3597" s="34" t="str">
        <f>VLOOKUP(Table2[[#This Row],[Author]],People!A:B,2,0)</f>
        <v>HC</v>
      </c>
      <c r="K3597" s="34"/>
      <c r="L3597" s="34"/>
      <c r="M3597" s="34" t="s">
        <v>9000</v>
      </c>
    </row>
    <row r="3598" spans="1:13" hidden="1">
      <c r="A3598" s="40">
        <f t="shared" si="60"/>
        <v>3597</v>
      </c>
      <c r="B3598" s="34" t="s">
        <v>8</v>
      </c>
      <c r="C3598" s="34" t="s">
        <v>12400</v>
      </c>
      <c r="D3598" s="8" t="s">
        <v>12766</v>
      </c>
      <c r="E3598" s="8" t="s">
        <v>12544</v>
      </c>
      <c r="F3598" s="8" t="s">
        <v>12761</v>
      </c>
      <c r="G3598" s="34" t="s">
        <v>14</v>
      </c>
      <c r="H3598" s="34" t="str">
        <f>IFERROR(VLOOKUP(Table2[[#This Row], [Ticket]],Okey!A:B,2,0),"")</f>
        <v>ok</v>
      </c>
      <c r="I3598" s="34" t="s">
        <v>8539</v>
      </c>
      <c r="J3598" s="34" t="str">
        <f>VLOOKUP(Table2[[#This Row],[Author]],People!A:B,2,0)</f>
        <v>HC</v>
      </c>
      <c r="K3598" s="34"/>
      <c r="L3598" s="34"/>
      <c r="M3598" s="34" t="s">
        <v>9000</v>
      </c>
    </row>
    <row r="3599" spans="1:13" hidden="1">
      <c r="A3599" s="40">
        <f t="shared" si="60"/>
        <v>3598</v>
      </c>
      <c r="B3599" s="34" t="s">
        <v>8</v>
      </c>
      <c r="C3599" s="34" t="s">
        <v>12400</v>
      </c>
      <c r="D3599" s="8" t="s">
        <v>12767</v>
      </c>
      <c r="E3599" s="8" t="s">
        <v>12545</v>
      </c>
      <c r="F3599" s="8" t="s">
        <v>12762</v>
      </c>
      <c r="G3599" s="34" t="s">
        <v>14</v>
      </c>
      <c r="H3599" s="34" t="str">
        <f>IFERROR(VLOOKUP(Table2[[#This Row], [Ticket]],Okey!A:B,2,0),"")</f>
        <v>ok</v>
      </c>
      <c r="I3599" s="34" t="s">
        <v>8539</v>
      </c>
      <c r="J3599" s="34" t="str">
        <f>VLOOKUP(Table2[[#This Row],[Author]],People!A:B,2,0)</f>
        <v>HC</v>
      </c>
      <c r="K3599" s="34"/>
      <c r="L3599" s="34"/>
      <c r="M3599" s="34" t="s">
        <v>9000</v>
      </c>
    </row>
    <row r="3600" spans="1:13" hidden="1">
      <c r="A3600" s="40">
        <f t="shared" si="60"/>
        <v>3599</v>
      </c>
      <c r="B3600" s="34" t="s">
        <v>8</v>
      </c>
      <c r="C3600" s="34" t="s">
        <v>12400</v>
      </c>
      <c r="D3600" s="8" t="s">
        <v>12768</v>
      </c>
      <c r="E3600" s="8" t="s">
        <v>12546</v>
      </c>
      <c r="F3600" s="8" t="s">
        <v>12763</v>
      </c>
      <c r="G3600" s="34" t="s">
        <v>14</v>
      </c>
      <c r="H3600" s="34" t="str">
        <f>IFERROR(VLOOKUP(Table2[[#This Row], [Ticket]],Okey!A:B,2,0),"")</f>
        <v>ok</v>
      </c>
      <c r="I3600" s="34" t="s">
        <v>8539</v>
      </c>
      <c r="J3600" s="34" t="str">
        <f>VLOOKUP(Table2[[#This Row],[Author]],People!A:B,2,0)</f>
        <v>HC</v>
      </c>
      <c r="K3600" s="34"/>
      <c r="L3600" s="34"/>
      <c r="M3600" s="34" t="s">
        <v>9000</v>
      </c>
    </row>
    <row r="3601" spans="1:13" hidden="1">
      <c r="A3601" s="40">
        <f t="shared" si="60"/>
        <v>3600</v>
      </c>
      <c r="B3601" s="34" t="s">
        <v>8</v>
      </c>
      <c r="C3601" s="34" t="s">
        <v>12400</v>
      </c>
      <c r="D3601" s="8" t="s">
        <v>12769</v>
      </c>
      <c r="E3601" s="8" t="s">
        <v>12547</v>
      </c>
      <c r="F3601" s="8" t="s">
        <v>12763</v>
      </c>
      <c r="G3601" s="34" t="s">
        <v>14</v>
      </c>
      <c r="H3601" s="34" t="str">
        <f>IFERROR(VLOOKUP(Table2[[#This Row], [Ticket]],Okey!A:B,2,0),"")</f>
        <v>ok</v>
      </c>
      <c r="I3601" s="34" t="s">
        <v>8539</v>
      </c>
      <c r="J3601" s="34" t="str">
        <f>VLOOKUP(Table2[[#This Row],[Author]],People!A:B,2,0)</f>
        <v>HC</v>
      </c>
      <c r="K3601" s="34"/>
      <c r="L3601" s="34"/>
      <c r="M3601" s="34" t="s">
        <v>9000</v>
      </c>
    </row>
    <row r="3602" spans="1:13" hidden="1">
      <c r="A3602" s="40">
        <f t="shared" si="60"/>
        <v>3601</v>
      </c>
      <c r="B3602" s="34" t="s">
        <v>8</v>
      </c>
      <c r="C3602" s="34" t="s">
        <v>12400</v>
      </c>
      <c r="D3602" s="8" t="s">
        <v>12770</v>
      </c>
      <c r="E3602" s="8" t="s">
        <v>12548</v>
      </c>
      <c r="F3602" s="8" t="s">
        <v>12763</v>
      </c>
      <c r="G3602" s="34" t="s">
        <v>14</v>
      </c>
      <c r="H3602" s="34" t="str">
        <f>IFERROR(VLOOKUP(Table2[[#This Row], [Ticket]],Okey!A:B,2,0),"")</f>
        <v>ok</v>
      </c>
      <c r="I3602" s="34" t="s">
        <v>8539</v>
      </c>
      <c r="J3602" s="34" t="str">
        <f>VLOOKUP(Table2[[#This Row],[Author]],People!A:B,2,0)</f>
        <v>HC</v>
      </c>
      <c r="K3602" s="34"/>
      <c r="L3602" s="34"/>
      <c r="M3602" s="34" t="s">
        <v>9000</v>
      </c>
    </row>
    <row r="3603" spans="1:13" hidden="1">
      <c r="A3603" s="40">
        <f t="shared" si="60"/>
        <v>3602</v>
      </c>
      <c r="B3603" s="34" t="s">
        <v>8</v>
      </c>
      <c r="C3603" s="34" t="s">
        <v>12400</v>
      </c>
      <c r="D3603" s="8" t="s">
        <v>12771</v>
      </c>
      <c r="E3603" s="8" t="s">
        <v>12549</v>
      </c>
      <c r="F3603" s="8" t="s">
        <v>12765</v>
      </c>
      <c r="G3603" s="34" t="s">
        <v>14</v>
      </c>
      <c r="H3603" s="34" t="str">
        <f>IFERROR(VLOOKUP(Table2[[#This Row], [Ticket]],Okey!A:B,2,0),"")</f>
        <v>ok</v>
      </c>
      <c r="I3603" s="34" t="s">
        <v>8539</v>
      </c>
      <c r="J3603" s="34" t="str">
        <f>VLOOKUP(Table2[[#This Row],[Author]],People!A:B,2,0)</f>
        <v>HC</v>
      </c>
      <c r="K3603" s="34"/>
      <c r="L3603" s="34"/>
      <c r="M3603" s="34" t="s">
        <v>9000</v>
      </c>
    </row>
    <row r="3604" spans="1:13" hidden="1">
      <c r="A3604" s="40">
        <f t="shared" si="60"/>
        <v>3603</v>
      </c>
      <c r="B3604" s="34" t="s">
        <v>8</v>
      </c>
      <c r="C3604" s="34" t="s">
        <v>12400</v>
      </c>
      <c r="D3604" s="8" t="s">
        <v>12772</v>
      </c>
      <c r="E3604" s="8" t="s">
        <v>12550</v>
      </c>
      <c r="F3604" s="8" t="s">
        <v>12765</v>
      </c>
      <c r="G3604" s="34" t="s">
        <v>14</v>
      </c>
      <c r="H3604" s="34" t="str">
        <f>IFERROR(VLOOKUP(Table2[[#This Row], [Ticket]],Okey!A:B,2,0),"")</f>
        <v>ok</v>
      </c>
      <c r="I3604" s="34" t="s">
        <v>8539</v>
      </c>
      <c r="J3604" s="34" t="str">
        <f>VLOOKUP(Table2[[#This Row],[Author]],People!A:B,2,0)</f>
        <v>HC</v>
      </c>
      <c r="K3604" s="34"/>
      <c r="L3604" s="34"/>
      <c r="M3604" s="34" t="s">
        <v>9000</v>
      </c>
    </row>
    <row r="3605" spans="1:13" hidden="1">
      <c r="A3605" s="40">
        <f t="shared" si="60"/>
        <v>3604</v>
      </c>
      <c r="B3605" s="34" t="s">
        <v>8</v>
      </c>
      <c r="C3605" s="34" t="s">
        <v>12400</v>
      </c>
      <c r="D3605" s="8" t="s">
        <v>12773</v>
      </c>
      <c r="E3605" s="8" t="s">
        <v>12551</v>
      </c>
      <c r="F3605" s="8" t="s">
        <v>12764</v>
      </c>
      <c r="G3605" s="34" t="s">
        <v>14</v>
      </c>
      <c r="H3605" s="34" t="str">
        <f>IFERROR(VLOOKUP(Table2[[#This Row], [Ticket]],Okey!A:B,2,0),"")</f>
        <v>ok</v>
      </c>
      <c r="I3605" s="34" t="s">
        <v>8539</v>
      </c>
      <c r="J3605" s="34" t="str">
        <f>VLOOKUP(Table2[[#This Row],[Author]],People!A:B,2,0)</f>
        <v>HC</v>
      </c>
      <c r="K3605" s="34"/>
      <c r="L3605" s="34"/>
      <c r="M3605" s="34" t="s">
        <v>9000</v>
      </c>
    </row>
    <row r="3606" spans="1:13" hidden="1">
      <c r="A3606" s="40">
        <f t="shared" si="60"/>
        <v>3605</v>
      </c>
      <c r="B3606" s="34" t="s">
        <v>8</v>
      </c>
      <c r="C3606" s="34" t="s">
        <v>12400</v>
      </c>
      <c r="D3606" s="8" t="s">
        <v>12774</v>
      </c>
      <c r="E3606" s="8" t="s">
        <v>12552</v>
      </c>
      <c r="F3606" s="8" t="s">
        <v>12767</v>
      </c>
      <c r="G3606" s="34" t="s">
        <v>14</v>
      </c>
      <c r="H3606" s="34" t="str">
        <f>IFERROR(VLOOKUP(Table2[[#This Row], [Ticket]],Okey!A:B,2,0),"")</f>
        <v>ok</v>
      </c>
      <c r="I3606" s="34" t="s">
        <v>8539</v>
      </c>
      <c r="J3606" s="34" t="str">
        <f>VLOOKUP(Table2[[#This Row],[Author]],People!A:B,2,0)</f>
        <v>HC</v>
      </c>
      <c r="K3606" s="34"/>
      <c r="L3606" s="34"/>
      <c r="M3606" s="34" t="s">
        <v>9000</v>
      </c>
    </row>
    <row r="3607" spans="1:13" hidden="1">
      <c r="A3607" s="40">
        <f t="shared" si="60"/>
        <v>3606</v>
      </c>
      <c r="B3607" s="34" t="s">
        <v>8</v>
      </c>
      <c r="C3607" s="34" t="s">
        <v>12400</v>
      </c>
      <c r="D3607" s="8" t="s">
        <v>12775</v>
      </c>
      <c r="E3607" s="8" t="s">
        <v>12553</v>
      </c>
      <c r="F3607" s="8" t="s">
        <v>12767</v>
      </c>
      <c r="G3607" s="34" t="s">
        <v>14</v>
      </c>
      <c r="H3607" s="34" t="str">
        <f>IFERROR(VLOOKUP(Table2[[#This Row], [Ticket]],Okey!A:B,2,0),"")</f>
        <v>ok</v>
      </c>
      <c r="I3607" s="34" t="s">
        <v>8539</v>
      </c>
      <c r="J3607" s="34" t="str">
        <f>VLOOKUP(Table2[[#This Row],[Author]],People!A:B,2,0)</f>
        <v>HC</v>
      </c>
      <c r="K3607" s="34"/>
      <c r="L3607" s="34"/>
      <c r="M3607" s="34" t="s">
        <v>9000</v>
      </c>
    </row>
    <row r="3608" spans="1:13" hidden="1">
      <c r="A3608" s="40">
        <f t="shared" si="60"/>
        <v>3607</v>
      </c>
      <c r="B3608" s="34" t="s">
        <v>8</v>
      </c>
      <c r="C3608" s="34" t="s">
        <v>12400</v>
      </c>
      <c r="D3608" s="8" t="s">
        <v>12776</v>
      </c>
      <c r="E3608" s="8" t="s">
        <v>12554</v>
      </c>
      <c r="F3608" s="8" t="s">
        <v>12774</v>
      </c>
      <c r="G3608" s="34" t="s">
        <v>14</v>
      </c>
      <c r="H3608" s="34" t="str">
        <f>IFERROR(VLOOKUP(Table2[[#This Row], [Ticket]],Okey!A:B,2,0),"")</f>
        <v>ok</v>
      </c>
      <c r="I3608" s="34" t="s">
        <v>8539</v>
      </c>
      <c r="J3608" s="34" t="str">
        <f>VLOOKUP(Table2[[#This Row],[Author]],People!A:B,2,0)</f>
        <v>HC</v>
      </c>
      <c r="K3608" s="34"/>
      <c r="L3608" s="34"/>
      <c r="M3608" s="34" t="s">
        <v>9000</v>
      </c>
    </row>
    <row r="3609" spans="1:13" hidden="1">
      <c r="A3609" s="40">
        <f t="shared" si="60"/>
        <v>3608</v>
      </c>
      <c r="B3609" s="34" t="s">
        <v>8</v>
      </c>
      <c r="C3609" s="34" t="s">
        <v>12400</v>
      </c>
      <c r="D3609" s="8" t="s">
        <v>12777</v>
      </c>
      <c r="E3609" s="8" t="s">
        <v>12555</v>
      </c>
      <c r="F3609" s="8" t="s">
        <v>12774</v>
      </c>
      <c r="G3609" s="34" t="s">
        <v>14</v>
      </c>
      <c r="H3609" s="34" t="str">
        <f>IFERROR(VLOOKUP(Table2[[#This Row], [Ticket]],Okey!A:B,2,0),"")</f>
        <v>ok</v>
      </c>
      <c r="I3609" s="34" t="s">
        <v>8539</v>
      </c>
      <c r="J3609" s="34" t="str">
        <f>VLOOKUP(Table2[[#This Row],[Author]],People!A:B,2,0)</f>
        <v>HC</v>
      </c>
      <c r="K3609" s="34"/>
      <c r="L3609" s="34"/>
      <c r="M3609" s="34" t="s">
        <v>9000</v>
      </c>
    </row>
    <row r="3610" spans="1:13" hidden="1">
      <c r="A3610" s="40">
        <f t="shared" si="60"/>
        <v>3609</v>
      </c>
      <c r="B3610" s="34" t="s">
        <v>8</v>
      </c>
      <c r="C3610" s="34" t="s">
        <v>12400</v>
      </c>
      <c r="D3610" s="8" t="s">
        <v>12778</v>
      </c>
      <c r="E3610" s="8" t="s">
        <v>12556</v>
      </c>
      <c r="F3610" s="8" t="s">
        <v>12774</v>
      </c>
      <c r="G3610" s="34" t="s">
        <v>14</v>
      </c>
      <c r="H3610" s="34" t="str">
        <f>IFERROR(VLOOKUP(Table2[[#This Row], [Ticket]],Okey!A:B,2,0),"")</f>
        <v>ok</v>
      </c>
      <c r="I3610" s="34" t="s">
        <v>8539</v>
      </c>
      <c r="J3610" s="34" t="str">
        <f>VLOOKUP(Table2[[#This Row],[Author]],People!A:B,2,0)</f>
        <v>HC</v>
      </c>
      <c r="K3610" s="34"/>
      <c r="L3610" s="34"/>
      <c r="M3610" s="34" t="s">
        <v>9000</v>
      </c>
    </row>
    <row r="3611" spans="1:13" hidden="1">
      <c r="A3611" s="40">
        <f t="shared" si="60"/>
        <v>3610</v>
      </c>
      <c r="B3611" s="34" t="s">
        <v>8</v>
      </c>
      <c r="C3611" s="34" t="s">
        <v>12400</v>
      </c>
      <c r="D3611" s="8" t="s">
        <v>12779</v>
      </c>
      <c r="E3611" s="8" t="s">
        <v>12557</v>
      </c>
      <c r="F3611" s="8" t="s">
        <v>12774</v>
      </c>
      <c r="G3611" s="34" t="s">
        <v>14</v>
      </c>
      <c r="H3611" s="34" t="str">
        <f>IFERROR(VLOOKUP(Table2[[#This Row], [Ticket]],Okey!A:B,2,0),"")</f>
        <v>ok</v>
      </c>
      <c r="I3611" s="34" t="s">
        <v>8539</v>
      </c>
      <c r="J3611" s="34" t="str">
        <f>VLOOKUP(Table2[[#This Row],[Author]],People!A:B,2,0)</f>
        <v>HC</v>
      </c>
      <c r="K3611" s="34"/>
      <c r="L3611" s="34"/>
      <c r="M3611" s="34" t="s">
        <v>9000</v>
      </c>
    </row>
    <row r="3612" spans="1:13" hidden="1">
      <c r="A3612" s="40">
        <f t="shared" si="60"/>
        <v>3611</v>
      </c>
      <c r="B3612" s="34" t="s">
        <v>8</v>
      </c>
      <c r="C3612" s="34" t="s">
        <v>12400</v>
      </c>
      <c r="D3612" s="8" t="s">
        <v>12780</v>
      </c>
      <c r="E3612" s="8" t="s">
        <v>12558</v>
      </c>
      <c r="F3612" s="8" t="s">
        <v>1123</v>
      </c>
      <c r="G3612" s="34" t="s">
        <v>14</v>
      </c>
      <c r="H3612" s="34" t="str">
        <f>IFERROR(VLOOKUP(Table2[[#This Row], [Ticket]],Okey!A:B,2,0),"")</f>
        <v>ok</v>
      </c>
      <c r="I3612" s="34" t="s">
        <v>8539</v>
      </c>
      <c r="J3612" s="34" t="str">
        <f>VLOOKUP(Table2[[#This Row],[Author]],People!A:B,2,0)</f>
        <v>HC</v>
      </c>
      <c r="K3612" s="34"/>
      <c r="L3612" s="34"/>
      <c r="M3612" s="34" t="s">
        <v>9000</v>
      </c>
    </row>
    <row r="3613" spans="1:13" hidden="1">
      <c r="A3613" s="40">
        <f t="shared" si="60"/>
        <v>3612</v>
      </c>
      <c r="B3613" s="34" t="s">
        <v>8</v>
      </c>
      <c r="C3613" s="8" t="s">
        <v>12559</v>
      </c>
      <c r="D3613" s="8" t="s">
        <v>8594</v>
      </c>
      <c r="G3613" s="34" t="s">
        <v>8537</v>
      </c>
      <c r="H3613" s="34" t="str">
        <f>IFERROR(VLOOKUP(Table2[[#This Row], [Ticket]],Okey!A:B,2,0),"")</f>
        <v>ok</v>
      </c>
      <c r="I3613" s="34" t="s">
        <v>12295</v>
      </c>
      <c r="J3613" s="34" t="str">
        <f>VLOOKUP(Table2[[#This Row],[Author]],People!A:B,2,0)</f>
        <v>LS</v>
      </c>
      <c r="K3613" s="34"/>
      <c r="L3613" s="34"/>
      <c r="M3613" s="34" t="s">
        <v>12398</v>
      </c>
    </row>
    <row r="3614" spans="1:13" hidden="1">
      <c r="A3614" s="40">
        <f t="shared" si="60"/>
        <v>3613</v>
      </c>
      <c r="B3614" s="34" t="s">
        <v>8</v>
      </c>
      <c r="C3614" s="34" t="s">
        <v>12559</v>
      </c>
      <c r="D3614" s="8" t="s">
        <v>8430</v>
      </c>
      <c r="G3614" s="34" t="s">
        <v>8537</v>
      </c>
      <c r="H3614" s="34" t="str">
        <f>IFERROR(VLOOKUP(Table2[[#This Row], [Ticket]],Okey!A:B,2,0),"")</f>
        <v>ok</v>
      </c>
      <c r="I3614" s="34" t="s">
        <v>12295</v>
      </c>
      <c r="J3614" s="34" t="str">
        <f>VLOOKUP(Table2[[#This Row],[Author]],People!A:B,2,0)</f>
        <v>LS</v>
      </c>
      <c r="K3614" s="34"/>
      <c r="L3614" s="34"/>
      <c r="M3614" s="34" t="s">
        <v>12398</v>
      </c>
    </row>
    <row r="3615" spans="1:13" hidden="1">
      <c r="A3615" s="40">
        <f t="shared" si="60"/>
        <v>3614</v>
      </c>
      <c r="B3615" s="34" t="s">
        <v>8</v>
      </c>
      <c r="C3615" s="34" t="s">
        <v>12559</v>
      </c>
      <c r="D3615" s="8" t="s">
        <v>12384</v>
      </c>
      <c r="G3615" s="34" t="s">
        <v>8537</v>
      </c>
      <c r="H3615" s="34" t="str">
        <f>IFERROR(VLOOKUP(Table2[[#This Row], [Ticket]],Okey!A:B,2,0),"")</f>
        <v>ok</v>
      </c>
      <c r="I3615" s="34" t="s">
        <v>12295</v>
      </c>
      <c r="J3615" s="34" t="str">
        <f>VLOOKUP(Table2[[#This Row],[Author]],People!A:B,2,0)</f>
        <v>LS</v>
      </c>
      <c r="K3615" s="34"/>
      <c r="L3615" s="34"/>
      <c r="M3615" s="34" t="s">
        <v>12398</v>
      </c>
    </row>
    <row r="3616" spans="1:13" hidden="1">
      <c r="A3616" s="40">
        <f t="shared" si="60"/>
        <v>3615</v>
      </c>
      <c r="B3616" s="34" t="s">
        <v>8</v>
      </c>
      <c r="C3616" s="34" t="s">
        <v>12559</v>
      </c>
      <c r="D3616" s="8" t="s">
        <v>12385</v>
      </c>
      <c r="G3616" s="34" t="s">
        <v>8537</v>
      </c>
      <c r="H3616" s="34" t="str">
        <f>IFERROR(VLOOKUP(Table2[[#This Row], [Ticket]],Okey!A:B,2,0),"")</f>
        <v>ok</v>
      </c>
      <c r="I3616" s="34" t="s">
        <v>12295</v>
      </c>
      <c r="J3616" s="34" t="str">
        <f>VLOOKUP(Table2[[#This Row],[Author]],People!A:B,2,0)</f>
        <v>LS</v>
      </c>
      <c r="K3616" s="34"/>
      <c r="L3616" s="34"/>
      <c r="M3616" s="34" t="s">
        <v>12398</v>
      </c>
    </row>
    <row r="3617" spans="1:13" hidden="1">
      <c r="A3617" s="40">
        <f t="shared" si="60"/>
        <v>3616</v>
      </c>
      <c r="B3617" s="34" t="s">
        <v>8</v>
      </c>
      <c r="C3617" s="34" t="s">
        <v>12559</v>
      </c>
      <c r="D3617" s="8" t="s">
        <v>12386</v>
      </c>
      <c r="G3617" s="34" t="s">
        <v>8537</v>
      </c>
      <c r="H3617" s="34" t="str">
        <f>IFERROR(VLOOKUP(Table2[[#This Row], [Ticket]],Okey!A:B,2,0),"")</f>
        <v>ok</v>
      </c>
      <c r="I3617" s="34" t="s">
        <v>12295</v>
      </c>
      <c r="J3617" s="34" t="str">
        <f>VLOOKUP(Table2[[#This Row],[Author]],People!A:B,2,0)</f>
        <v>LS</v>
      </c>
      <c r="K3617" s="34"/>
      <c r="L3617" s="34"/>
      <c r="M3617" s="34" t="s">
        <v>12398</v>
      </c>
    </row>
    <row r="3618" spans="1:13" hidden="1">
      <c r="A3618" s="40">
        <f t="shared" si="60"/>
        <v>3617</v>
      </c>
      <c r="B3618" s="34" t="s">
        <v>8</v>
      </c>
      <c r="C3618" s="34" t="s">
        <v>12559</v>
      </c>
      <c r="D3618" s="8" t="s">
        <v>12387</v>
      </c>
      <c r="G3618" s="34" t="s">
        <v>8537</v>
      </c>
      <c r="H3618" s="34" t="str">
        <f>IFERROR(VLOOKUP(Table2[[#This Row], [Ticket]],Okey!A:B,2,0),"")</f>
        <v>ok</v>
      </c>
      <c r="I3618" s="34" t="s">
        <v>12295</v>
      </c>
      <c r="J3618" s="34" t="str">
        <f>VLOOKUP(Table2[[#This Row],[Author]],People!A:B,2,0)</f>
        <v>LS</v>
      </c>
      <c r="K3618" s="34"/>
      <c r="L3618" s="34"/>
      <c r="M3618" s="34" t="s">
        <v>12398</v>
      </c>
    </row>
    <row r="3619" spans="1:13" hidden="1">
      <c r="A3619" s="40">
        <f t="shared" si="60"/>
        <v>3618</v>
      </c>
      <c r="B3619" s="34" t="s">
        <v>8</v>
      </c>
      <c r="C3619" s="34" t="s">
        <v>12559</v>
      </c>
      <c r="D3619" s="8" t="s">
        <v>8433</v>
      </c>
      <c r="G3619" s="34" t="s">
        <v>8537</v>
      </c>
      <c r="H3619" s="34" t="str">
        <f>IFERROR(VLOOKUP(Table2[[#This Row], [Ticket]],Okey!A:B,2,0),"")</f>
        <v>ok</v>
      </c>
      <c r="I3619" s="34" t="s">
        <v>12295</v>
      </c>
      <c r="J3619" s="34" t="str">
        <f>VLOOKUP(Table2[[#This Row],[Author]],People!A:B,2,0)</f>
        <v>LS</v>
      </c>
      <c r="K3619" s="34"/>
      <c r="L3619" s="34"/>
      <c r="M3619" s="34" t="s">
        <v>12398</v>
      </c>
    </row>
    <row r="3620" spans="1:13" hidden="1">
      <c r="A3620" s="40">
        <f t="shared" si="60"/>
        <v>3619</v>
      </c>
      <c r="B3620" s="34" t="s">
        <v>8</v>
      </c>
      <c r="C3620" s="34" t="s">
        <v>12559</v>
      </c>
      <c r="D3620" s="8" t="s">
        <v>12388</v>
      </c>
      <c r="G3620" s="34" t="s">
        <v>8537</v>
      </c>
      <c r="H3620" s="34" t="str">
        <f>IFERROR(VLOOKUP(Table2[[#This Row], [Ticket]],Okey!A:B,2,0),"")</f>
        <v>ok</v>
      </c>
      <c r="I3620" s="34" t="s">
        <v>12295</v>
      </c>
      <c r="J3620" s="34" t="str">
        <f>VLOOKUP(Table2[[#This Row],[Author]],People!A:B,2,0)</f>
        <v>LS</v>
      </c>
      <c r="K3620" s="34"/>
      <c r="L3620" s="34"/>
      <c r="M3620" s="34" t="s">
        <v>12398</v>
      </c>
    </row>
    <row r="3621" spans="1:13" hidden="1">
      <c r="A3621" s="40">
        <f t="shared" si="60"/>
        <v>3620</v>
      </c>
      <c r="B3621" s="34" t="s">
        <v>8</v>
      </c>
      <c r="C3621" s="34" t="s">
        <v>12559</v>
      </c>
      <c r="D3621" s="8" t="s">
        <v>12389</v>
      </c>
      <c r="G3621" s="34" t="s">
        <v>8537</v>
      </c>
      <c r="H3621" s="34" t="str">
        <f>IFERROR(VLOOKUP(Table2[[#This Row], [Ticket]],Okey!A:B,2,0),"")</f>
        <v>ok</v>
      </c>
      <c r="I3621" s="34" t="s">
        <v>12295</v>
      </c>
      <c r="J3621" s="34" t="str">
        <f>VLOOKUP(Table2[[#This Row],[Author]],People!A:B,2,0)</f>
        <v>LS</v>
      </c>
      <c r="K3621" s="34"/>
      <c r="L3621" s="34"/>
      <c r="M3621" s="34" t="s">
        <v>12398</v>
      </c>
    </row>
    <row r="3622" spans="1:13" hidden="1">
      <c r="A3622" s="40">
        <f t="shared" si="60"/>
        <v>3621</v>
      </c>
      <c r="B3622" s="34" t="s">
        <v>8</v>
      </c>
      <c r="C3622" s="34" t="s">
        <v>12559</v>
      </c>
      <c r="D3622" s="8" t="s">
        <v>8423</v>
      </c>
      <c r="G3622" s="34" t="s">
        <v>8537</v>
      </c>
      <c r="H3622" s="34" t="str">
        <f>IFERROR(VLOOKUP(Table2[[#This Row], [Ticket]],Okey!A:B,2,0),"")</f>
        <v>ok</v>
      </c>
      <c r="I3622" s="34" t="s">
        <v>12295</v>
      </c>
      <c r="J3622" s="34" t="str">
        <f>VLOOKUP(Table2[[#This Row],[Author]],People!A:B,2,0)</f>
        <v>LS</v>
      </c>
      <c r="K3622" s="34"/>
      <c r="L3622" s="34"/>
      <c r="M3622" s="34" t="s">
        <v>12398</v>
      </c>
    </row>
    <row r="3623" spans="1:13" hidden="1">
      <c r="A3623" s="40">
        <f t="shared" si="60"/>
        <v>3622</v>
      </c>
      <c r="B3623" s="34" t="s">
        <v>8</v>
      </c>
      <c r="C3623" s="34" t="s">
        <v>12559</v>
      </c>
      <c r="D3623" s="8" t="s">
        <v>12390</v>
      </c>
      <c r="G3623" s="34" t="s">
        <v>8537</v>
      </c>
      <c r="H3623" s="34" t="str">
        <f>IFERROR(VLOOKUP(Table2[[#This Row], [Ticket]],Okey!A:B,2,0),"")</f>
        <v>ok</v>
      </c>
      <c r="I3623" s="34" t="s">
        <v>12295</v>
      </c>
      <c r="J3623" s="34" t="str">
        <f>VLOOKUP(Table2[[#This Row],[Author]],People!A:B,2,0)</f>
        <v>LS</v>
      </c>
      <c r="K3623" s="34"/>
      <c r="L3623" s="34"/>
      <c r="M3623" s="34" t="s">
        <v>12398</v>
      </c>
    </row>
    <row r="3624" spans="1:13" hidden="1">
      <c r="A3624" s="40">
        <f t="shared" si="60"/>
        <v>3623</v>
      </c>
      <c r="B3624" s="34" t="s">
        <v>8</v>
      </c>
      <c r="C3624" s="34" t="s">
        <v>12559</v>
      </c>
      <c r="D3624" s="8" t="s">
        <v>8303</v>
      </c>
      <c r="E3624" s="8" t="s">
        <v>12392</v>
      </c>
      <c r="G3624" s="8" t="s">
        <v>15</v>
      </c>
      <c r="H3624" s="34" t="str">
        <f>IFERROR(VLOOKUP(Table2[[#This Row], [Ticket]],Okey!A:B,2,0),"")</f>
        <v>ok</v>
      </c>
      <c r="I3624" s="34" t="s">
        <v>12295</v>
      </c>
      <c r="J3624" s="34" t="str">
        <f>VLOOKUP(Table2[[#This Row],[Author]],People!A:B,2,0)</f>
        <v>LS</v>
      </c>
      <c r="K3624" s="34"/>
      <c r="L3624" s="34"/>
      <c r="M3624" s="34" t="s">
        <v>12398</v>
      </c>
    </row>
    <row r="3625" spans="1:13" hidden="1">
      <c r="A3625" s="40">
        <f t="shared" si="60"/>
        <v>3624</v>
      </c>
      <c r="B3625" s="34" t="s">
        <v>8</v>
      </c>
      <c r="C3625" s="34" t="s">
        <v>12559</v>
      </c>
      <c r="D3625" s="8" t="s">
        <v>8426</v>
      </c>
      <c r="E3625" s="8" t="s">
        <v>12393</v>
      </c>
      <c r="G3625" s="34" t="s">
        <v>15</v>
      </c>
      <c r="H3625" s="34" t="str">
        <f>IFERROR(VLOOKUP(Table2[[#This Row], [Ticket]],Okey!A:B,2,0),"")</f>
        <v>ok</v>
      </c>
      <c r="I3625" s="34" t="s">
        <v>12295</v>
      </c>
      <c r="J3625" s="34" t="str">
        <f>VLOOKUP(Table2[[#This Row],[Author]],People!A:B,2,0)</f>
        <v>LS</v>
      </c>
      <c r="K3625" s="34"/>
      <c r="L3625" s="34"/>
      <c r="M3625" s="34" t="s">
        <v>12398</v>
      </c>
    </row>
    <row r="3626" spans="1:13" hidden="1">
      <c r="A3626" s="40">
        <f t="shared" si="60"/>
        <v>3625</v>
      </c>
      <c r="B3626" s="34" t="s">
        <v>8</v>
      </c>
      <c r="C3626" s="34" t="s">
        <v>12559</v>
      </c>
      <c r="D3626" s="8" t="s">
        <v>8595</v>
      </c>
      <c r="E3626" s="8" t="s">
        <v>12394</v>
      </c>
      <c r="G3626" s="34" t="s">
        <v>15</v>
      </c>
      <c r="H3626" s="34" t="str">
        <f>IFERROR(VLOOKUP(Table2[[#This Row], [Ticket]],Okey!A:B,2,0),"")</f>
        <v>ok</v>
      </c>
      <c r="I3626" s="34" t="s">
        <v>12295</v>
      </c>
      <c r="J3626" s="34" t="str">
        <f>VLOOKUP(Table2[[#This Row],[Author]],People!A:B,2,0)</f>
        <v>LS</v>
      </c>
      <c r="K3626" s="34"/>
      <c r="L3626" s="34"/>
      <c r="M3626" s="34" t="s">
        <v>12398</v>
      </c>
    </row>
    <row r="3627" spans="1:13" hidden="1">
      <c r="A3627" s="40">
        <f t="shared" si="60"/>
        <v>3626</v>
      </c>
      <c r="B3627" s="34" t="s">
        <v>8</v>
      </c>
      <c r="C3627" s="34" t="s">
        <v>12559</v>
      </c>
      <c r="D3627" s="8" t="s">
        <v>8596</v>
      </c>
      <c r="E3627" s="8" t="s">
        <v>12395</v>
      </c>
      <c r="G3627" s="34" t="s">
        <v>15</v>
      </c>
      <c r="H3627" s="34" t="str">
        <f>IFERROR(VLOOKUP(Table2[[#This Row], [Ticket]],Okey!A:B,2,0),"")</f>
        <v>ok</v>
      </c>
      <c r="I3627" s="34" t="s">
        <v>12295</v>
      </c>
      <c r="J3627" s="34" t="str">
        <f>VLOOKUP(Table2[[#This Row],[Author]],People!A:B,2,0)</f>
        <v>LS</v>
      </c>
      <c r="K3627" s="34"/>
      <c r="L3627" s="34"/>
      <c r="M3627" s="34" t="s">
        <v>12398</v>
      </c>
    </row>
    <row r="3628" spans="1:13" hidden="1">
      <c r="A3628" s="40">
        <f t="shared" si="60"/>
        <v>3627</v>
      </c>
      <c r="B3628" s="34" t="s">
        <v>8</v>
      </c>
      <c r="C3628" s="34" t="s">
        <v>12559</v>
      </c>
      <c r="D3628" s="8" t="s">
        <v>8599</v>
      </c>
      <c r="E3628" s="8" t="s">
        <v>12396</v>
      </c>
      <c r="G3628" s="34" t="s">
        <v>15</v>
      </c>
      <c r="H3628" s="34" t="str">
        <f>IFERROR(VLOOKUP(Table2[[#This Row], [Ticket]],Okey!A:B,2,0),"")</f>
        <v>ok</v>
      </c>
      <c r="I3628" s="34" t="s">
        <v>12295</v>
      </c>
      <c r="J3628" s="34" t="str">
        <f>VLOOKUP(Table2[[#This Row],[Author]],People!A:B,2,0)</f>
        <v>LS</v>
      </c>
      <c r="K3628" s="34"/>
      <c r="L3628" s="34"/>
      <c r="M3628" s="34" t="s">
        <v>12398</v>
      </c>
    </row>
    <row r="3629" spans="1:13" hidden="1">
      <c r="A3629" s="40">
        <f t="shared" si="60"/>
        <v>3628</v>
      </c>
      <c r="B3629" s="34" t="s">
        <v>8</v>
      </c>
      <c r="C3629" s="34" t="s">
        <v>12559</v>
      </c>
      <c r="D3629" s="8" t="s">
        <v>12391</v>
      </c>
      <c r="E3629" s="8" t="s">
        <v>12397</v>
      </c>
      <c r="G3629" s="34" t="s">
        <v>15</v>
      </c>
      <c r="H3629" s="34" t="str">
        <f>IFERROR(VLOOKUP(Table2[[#This Row], [Ticket]],Okey!A:B,2,0),"")</f>
        <v>ok</v>
      </c>
      <c r="I3629" s="34" t="s">
        <v>12295</v>
      </c>
      <c r="J3629" s="34" t="str">
        <f>VLOOKUP(Table2[[#This Row],[Author]],People!A:B,2,0)</f>
        <v>LS</v>
      </c>
      <c r="K3629" s="34"/>
      <c r="L3629" s="34"/>
      <c r="M3629" s="34" t="s">
        <v>12398</v>
      </c>
    </row>
    <row r="3630" spans="1:13" hidden="1">
      <c r="A3630" s="40">
        <f t="shared" si="60"/>
        <v>3629</v>
      </c>
      <c r="B3630" s="34" t="s">
        <v>8</v>
      </c>
      <c r="C3630" s="34" t="s">
        <v>12572</v>
      </c>
      <c r="D3630" s="8" t="s">
        <v>12560</v>
      </c>
      <c r="E3630" s="8" t="s">
        <v>12561</v>
      </c>
      <c r="F3630" s="34" t="s">
        <v>2464</v>
      </c>
      <c r="G3630" s="34" t="s">
        <v>14</v>
      </c>
      <c r="H3630" s="34" t="str">
        <f>IFERROR(VLOOKUP(Table2[[#This Row], [Ticket]],Okey!A:B,2,0),"")</f>
        <v>ok</v>
      </c>
      <c r="I3630" s="34" t="s">
        <v>8539</v>
      </c>
      <c r="J3630" s="34" t="str">
        <f>VLOOKUP(Table2[[#This Row],[Author]],People!A:B,2,0)</f>
        <v>EL</v>
      </c>
      <c r="K3630" s="34"/>
      <c r="L3630" s="34"/>
      <c r="M3630" s="34" t="s">
        <v>8007</v>
      </c>
    </row>
    <row r="3631" spans="1:13" hidden="1">
      <c r="A3631" s="40">
        <f t="shared" si="60"/>
        <v>3630</v>
      </c>
      <c r="B3631" s="34" t="s">
        <v>8</v>
      </c>
      <c r="C3631" s="34" t="s">
        <v>12572</v>
      </c>
      <c r="D3631" s="8" t="s">
        <v>12562</v>
      </c>
      <c r="E3631" s="8" t="s">
        <v>12563</v>
      </c>
      <c r="F3631" s="34" t="s">
        <v>2492</v>
      </c>
      <c r="G3631" s="34" t="s">
        <v>14</v>
      </c>
      <c r="H3631" s="34" t="str">
        <f>IFERROR(VLOOKUP(Table2[[#This Row], [Ticket]],Okey!A:B,2,0),"")</f>
        <v>ok</v>
      </c>
      <c r="I3631" s="34" t="s">
        <v>8539</v>
      </c>
      <c r="J3631" s="34" t="str">
        <f>VLOOKUP(Table2[[#This Row],[Author]],People!A:B,2,0)</f>
        <v>EL</v>
      </c>
      <c r="K3631" s="34"/>
      <c r="L3631" s="34"/>
      <c r="M3631" s="34" t="s">
        <v>8007</v>
      </c>
    </row>
    <row r="3632" spans="1:13" hidden="1">
      <c r="A3632" s="40">
        <f t="shared" si="60"/>
        <v>3631</v>
      </c>
      <c r="B3632" s="34" t="s">
        <v>8</v>
      </c>
      <c r="C3632" s="34" t="s">
        <v>12572</v>
      </c>
      <c r="D3632" s="8" t="s">
        <v>12564</v>
      </c>
      <c r="E3632" s="8" t="s">
        <v>12565</v>
      </c>
      <c r="F3632" s="34" t="s">
        <v>2094</v>
      </c>
      <c r="G3632" s="34" t="s">
        <v>14</v>
      </c>
      <c r="H3632" s="34" t="str">
        <f>IFERROR(VLOOKUP(Table2[[#This Row], [Ticket]],Okey!A:B,2,0),"")</f>
        <v>ok</v>
      </c>
      <c r="I3632" s="34" t="s">
        <v>8539</v>
      </c>
      <c r="J3632" s="34" t="str">
        <f>VLOOKUP(Table2[[#This Row],[Author]],People!A:B,2,0)</f>
        <v>EL</v>
      </c>
      <c r="K3632" s="34"/>
      <c r="L3632" s="34"/>
      <c r="M3632" s="34" t="s">
        <v>8007</v>
      </c>
    </row>
    <row r="3633" spans="1:13" hidden="1">
      <c r="A3633" s="40">
        <f t="shared" si="60"/>
        <v>3632</v>
      </c>
      <c r="B3633" s="34" t="s">
        <v>8</v>
      </c>
      <c r="C3633" s="34" t="s">
        <v>12572</v>
      </c>
      <c r="D3633" s="8" t="s">
        <v>12566</v>
      </c>
      <c r="E3633" s="8" t="s">
        <v>12567</v>
      </c>
      <c r="F3633" s="34" t="s">
        <v>12163</v>
      </c>
      <c r="G3633" s="34" t="s">
        <v>14</v>
      </c>
      <c r="H3633" s="34" t="str">
        <f>IFERROR(VLOOKUP(Table2[[#This Row], [Ticket]],Okey!A:B,2,0),"")</f>
        <v>ok</v>
      </c>
      <c r="I3633" s="34" t="s">
        <v>8539</v>
      </c>
      <c r="J3633" s="34" t="str">
        <f>VLOOKUP(Table2[[#This Row],[Author]],People!A:B,2,0)</f>
        <v>EL</v>
      </c>
      <c r="K3633" s="34"/>
      <c r="L3633" s="34"/>
      <c r="M3633" s="34" t="s">
        <v>8007</v>
      </c>
    </row>
    <row r="3634" spans="1:13" hidden="1">
      <c r="A3634" s="40">
        <f t="shared" si="60"/>
        <v>3633</v>
      </c>
      <c r="B3634" s="34" t="s">
        <v>8</v>
      </c>
      <c r="C3634" s="34" t="s">
        <v>12572</v>
      </c>
      <c r="D3634" s="8" t="s">
        <v>12568</v>
      </c>
      <c r="E3634" s="8" t="s">
        <v>12569</v>
      </c>
      <c r="F3634" s="34" t="s">
        <v>8042</v>
      </c>
      <c r="G3634" s="34" t="s">
        <v>14</v>
      </c>
      <c r="H3634" s="34" t="str">
        <f>IFERROR(VLOOKUP(Table2[[#This Row], [Ticket]],Okey!A:B,2,0),"")</f>
        <v>ok</v>
      </c>
      <c r="I3634" s="34" t="s">
        <v>8539</v>
      </c>
      <c r="J3634" s="34" t="str">
        <f>VLOOKUP(Table2[[#This Row],[Author]],People!A:B,2,0)</f>
        <v>EL</v>
      </c>
      <c r="K3634" s="34"/>
      <c r="L3634" s="34"/>
      <c r="M3634" s="34" t="s">
        <v>8007</v>
      </c>
    </row>
    <row r="3635" spans="1:13" hidden="1">
      <c r="A3635" s="40">
        <f t="shared" si="60"/>
        <v>3634</v>
      </c>
      <c r="B3635" s="34" t="s">
        <v>8</v>
      </c>
      <c r="C3635" s="34" t="s">
        <v>12572</v>
      </c>
      <c r="D3635" s="8" t="s">
        <v>12570</v>
      </c>
      <c r="E3635" s="8" t="s">
        <v>12571</v>
      </c>
      <c r="F3635" s="34" t="s">
        <v>2686</v>
      </c>
      <c r="G3635" s="34" t="s">
        <v>14</v>
      </c>
      <c r="H3635" s="34" t="str">
        <f>IFERROR(VLOOKUP(Table2[[#This Row], [Ticket]],Okey!A:B,2,0),"")</f>
        <v>ok</v>
      </c>
      <c r="I3635" s="34" t="s">
        <v>8539</v>
      </c>
      <c r="J3635" s="34" t="str">
        <f>VLOOKUP(Table2[[#This Row],[Author]],People!A:B,2,0)</f>
        <v>EL</v>
      </c>
      <c r="K3635" s="34"/>
      <c r="L3635" s="34"/>
      <c r="M3635" s="34" t="s">
        <v>8007</v>
      </c>
    </row>
    <row r="3636" spans="1:13" hidden="1">
      <c r="A3636" s="40">
        <f t="shared" si="60"/>
        <v>3635</v>
      </c>
      <c r="B3636" s="34" t="s">
        <v>8</v>
      </c>
      <c r="C3636" s="8" t="s">
        <v>12781</v>
      </c>
      <c r="D3636" s="8" t="s">
        <v>11464</v>
      </c>
      <c r="E3636" s="8" t="s">
        <v>11289</v>
      </c>
      <c r="G3636" s="34" t="s">
        <v>15</v>
      </c>
      <c r="H3636" s="34" t="str">
        <f>IFERROR(VLOOKUP(Table2[[#This Row], [Ticket]],Okey!A:B,2,0),"")</f>
        <v>ok</v>
      </c>
      <c r="I3636" s="34" t="s">
        <v>8539</v>
      </c>
      <c r="J3636" s="34" t="str">
        <f>VLOOKUP(Table2[[#This Row],[Author]],People!A:B,2,0)</f>
        <v>MGF</v>
      </c>
      <c r="L3636" s="34"/>
      <c r="M3636" s="34" t="s">
        <v>4778</v>
      </c>
    </row>
    <row r="3637" spans="1:13" hidden="1">
      <c r="A3637" s="40">
        <f t="shared" si="60"/>
        <v>3636</v>
      </c>
      <c r="B3637" s="34" t="s">
        <v>8</v>
      </c>
      <c r="C3637" s="8" t="s">
        <v>12782</v>
      </c>
      <c r="D3637" s="8" t="s">
        <v>12783</v>
      </c>
      <c r="E3637" s="8" t="s">
        <v>10861</v>
      </c>
      <c r="F3637" s="8" t="s">
        <v>10993</v>
      </c>
      <c r="G3637" s="34" t="s">
        <v>14</v>
      </c>
      <c r="H3637" s="34" t="str">
        <f>IFERROR(VLOOKUP(Table2[[#This Row], [Ticket]],Okey!A:B,2,0),"")</f>
        <v>ok</v>
      </c>
      <c r="I3637" s="34" t="s">
        <v>8539</v>
      </c>
      <c r="J3637" s="34" t="str">
        <f>VLOOKUP(Table2[[#This Row],[Author]],People!A:B,2,0)</f>
        <v>LS</v>
      </c>
      <c r="L3637" s="34"/>
      <c r="M3637" s="34" t="s">
        <v>6348</v>
      </c>
    </row>
    <row r="3638" spans="1:13" hidden="1">
      <c r="A3638" s="40">
        <f t="shared" si="60"/>
        <v>3637</v>
      </c>
      <c r="B3638" s="34" t="s">
        <v>8</v>
      </c>
      <c r="C3638" s="34" t="s">
        <v>12782</v>
      </c>
      <c r="D3638" s="8" t="s">
        <v>12784</v>
      </c>
      <c r="E3638" s="8" t="s">
        <v>10863</v>
      </c>
      <c r="F3638" s="8" t="s">
        <v>10994</v>
      </c>
      <c r="G3638" s="34" t="s">
        <v>14</v>
      </c>
      <c r="H3638" s="34" t="str">
        <f>IFERROR(VLOOKUP(Table2[[#This Row], [Ticket]],Okey!A:B,2,0),"")</f>
        <v>ok</v>
      </c>
      <c r="I3638" s="34" t="s">
        <v>8539</v>
      </c>
      <c r="J3638" s="34" t="str">
        <f>VLOOKUP(Table2[[#This Row],[Author]],People!A:B,2,0)</f>
        <v>LS</v>
      </c>
      <c r="K3638" s="34"/>
      <c r="L3638" s="34"/>
      <c r="M3638" s="34" t="s">
        <v>6348</v>
      </c>
    </row>
    <row r="3639" spans="1:13" hidden="1">
      <c r="A3639" s="40">
        <f t="shared" si="60"/>
        <v>3638</v>
      </c>
      <c r="B3639" s="34" t="s">
        <v>8</v>
      </c>
      <c r="C3639" s="34" t="s">
        <v>12782</v>
      </c>
      <c r="D3639" s="8" t="s">
        <v>12785</v>
      </c>
      <c r="E3639" s="8" t="s">
        <v>10864</v>
      </c>
      <c r="F3639" s="8" t="s">
        <v>10995</v>
      </c>
      <c r="G3639" s="34" t="s">
        <v>14</v>
      </c>
      <c r="H3639" s="34" t="str">
        <f>IFERROR(VLOOKUP(Table2[[#This Row], [Ticket]],Okey!A:B,2,0),"")</f>
        <v>ok</v>
      </c>
      <c r="I3639" s="34" t="s">
        <v>8539</v>
      </c>
      <c r="J3639" s="34" t="str">
        <f>VLOOKUP(Table2[[#This Row],[Author]],People!A:B,2,0)</f>
        <v>LS</v>
      </c>
      <c r="K3639" s="34"/>
      <c r="L3639" s="34"/>
      <c r="M3639" s="34" t="s">
        <v>6348</v>
      </c>
    </row>
    <row r="3640" spans="1:13" hidden="1">
      <c r="A3640" s="40">
        <f t="shared" si="60"/>
        <v>3639</v>
      </c>
      <c r="B3640" s="34" t="s">
        <v>8</v>
      </c>
      <c r="C3640" s="34" t="s">
        <v>12782</v>
      </c>
      <c r="D3640" s="8" t="s">
        <v>12786</v>
      </c>
      <c r="E3640" s="8" t="s">
        <v>10865</v>
      </c>
      <c r="F3640" s="8" t="s">
        <v>10996</v>
      </c>
      <c r="G3640" s="34" t="s">
        <v>14</v>
      </c>
      <c r="H3640" s="34" t="str">
        <f>IFERROR(VLOOKUP(Table2[[#This Row], [Ticket]],Okey!A:B,2,0),"")</f>
        <v>ok</v>
      </c>
      <c r="I3640" s="34" t="s">
        <v>8539</v>
      </c>
      <c r="J3640" s="34" t="str">
        <f>VLOOKUP(Table2[[#This Row],[Author]],People!A:B,2,0)</f>
        <v>LS</v>
      </c>
      <c r="K3640" s="34"/>
      <c r="L3640" s="34"/>
      <c r="M3640" s="34" t="s">
        <v>6348</v>
      </c>
    </row>
    <row r="3641" spans="1:13" hidden="1">
      <c r="A3641" s="40">
        <f t="shared" si="60"/>
        <v>3640</v>
      </c>
      <c r="B3641" s="34" t="s">
        <v>8</v>
      </c>
      <c r="C3641" s="34" t="s">
        <v>12782</v>
      </c>
      <c r="D3641" s="8" t="s">
        <v>12787</v>
      </c>
      <c r="E3641" s="8" t="s">
        <v>10866</v>
      </c>
      <c r="F3641" s="8" t="s">
        <v>10997</v>
      </c>
      <c r="G3641" s="34" t="s">
        <v>14</v>
      </c>
      <c r="H3641" s="34" t="str">
        <f>IFERROR(VLOOKUP(Table2[[#This Row], [Ticket]],Okey!A:B,2,0),"")</f>
        <v>ok</v>
      </c>
      <c r="I3641" s="34" t="s">
        <v>8539</v>
      </c>
      <c r="J3641" s="34" t="str">
        <f>VLOOKUP(Table2[[#This Row],[Author]],People!A:B,2,0)</f>
        <v>LS</v>
      </c>
      <c r="K3641" s="34"/>
      <c r="L3641" s="34"/>
      <c r="M3641" s="34" t="s">
        <v>6348</v>
      </c>
    </row>
    <row r="3642" spans="1:13" hidden="1">
      <c r="A3642" s="40">
        <f t="shared" si="60"/>
        <v>3641</v>
      </c>
      <c r="B3642" s="34" t="s">
        <v>8</v>
      </c>
      <c r="C3642" s="34" t="s">
        <v>12782</v>
      </c>
      <c r="D3642" s="8" t="s">
        <v>12788</v>
      </c>
      <c r="E3642" s="8" t="s">
        <v>10867</v>
      </c>
      <c r="F3642" s="8" t="s">
        <v>10998</v>
      </c>
      <c r="G3642" s="34" t="s">
        <v>14</v>
      </c>
      <c r="H3642" s="34" t="str">
        <f>IFERROR(VLOOKUP(Table2[[#This Row], [Ticket]],Okey!A:B,2,0),"")</f>
        <v>ok</v>
      </c>
      <c r="I3642" s="34" t="s">
        <v>8539</v>
      </c>
      <c r="J3642" s="34" t="str">
        <f>VLOOKUP(Table2[[#This Row],[Author]],People!A:B,2,0)</f>
        <v>LS</v>
      </c>
      <c r="K3642" s="34"/>
      <c r="L3642" s="34"/>
      <c r="M3642" s="34" t="s">
        <v>6348</v>
      </c>
    </row>
    <row r="3643" spans="1:13" hidden="1">
      <c r="A3643" s="40">
        <f t="shared" si="60"/>
        <v>3642</v>
      </c>
      <c r="B3643" s="34" t="s">
        <v>8</v>
      </c>
      <c r="C3643" s="34" t="s">
        <v>12782</v>
      </c>
      <c r="D3643" s="8" t="s">
        <v>12789</v>
      </c>
      <c r="E3643" s="8" t="s">
        <v>10868</v>
      </c>
      <c r="F3643" s="8" t="s">
        <v>10999</v>
      </c>
      <c r="G3643" s="34" t="s">
        <v>14</v>
      </c>
      <c r="H3643" s="34" t="str">
        <f>IFERROR(VLOOKUP(Table2[[#This Row], [Ticket]],Okey!A:B,2,0),"")</f>
        <v>ok</v>
      </c>
      <c r="I3643" s="34" t="s">
        <v>8539</v>
      </c>
      <c r="J3643" s="34" t="str">
        <f>VLOOKUP(Table2[[#This Row],[Author]],People!A:B,2,0)</f>
        <v>LS</v>
      </c>
      <c r="K3643" s="34"/>
      <c r="L3643" s="34"/>
      <c r="M3643" s="34" t="s">
        <v>6348</v>
      </c>
    </row>
    <row r="3644" spans="1:13" hidden="1">
      <c r="A3644" s="40">
        <f t="shared" si="60"/>
        <v>3643</v>
      </c>
      <c r="B3644" s="34" t="s">
        <v>8</v>
      </c>
      <c r="C3644" s="34" t="s">
        <v>12782</v>
      </c>
      <c r="D3644" s="8" t="s">
        <v>12790</v>
      </c>
      <c r="E3644" s="8" t="s">
        <v>10869</v>
      </c>
      <c r="F3644" s="8" t="s">
        <v>11000</v>
      </c>
      <c r="G3644" s="34" t="s">
        <v>14</v>
      </c>
      <c r="H3644" s="34" t="str">
        <f>IFERROR(VLOOKUP(Table2[[#This Row], [Ticket]],Okey!A:B,2,0),"")</f>
        <v>ok</v>
      </c>
      <c r="I3644" s="34" t="s">
        <v>8539</v>
      </c>
      <c r="J3644" s="34" t="str">
        <f>VLOOKUP(Table2[[#This Row],[Author]],People!A:B,2,0)</f>
        <v>LS</v>
      </c>
      <c r="K3644" s="34"/>
      <c r="L3644" s="34"/>
      <c r="M3644" s="34" t="s">
        <v>6348</v>
      </c>
    </row>
    <row r="3645" spans="1:13" hidden="1">
      <c r="A3645" s="40">
        <f t="shared" si="60"/>
        <v>3644</v>
      </c>
      <c r="B3645" s="34" t="s">
        <v>8</v>
      </c>
      <c r="C3645" s="34" t="s">
        <v>12782</v>
      </c>
      <c r="D3645" s="8" t="s">
        <v>12791</v>
      </c>
      <c r="E3645" s="8" t="s">
        <v>10870</v>
      </c>
      <c r="F3645" s="8" t="s">
        <v>11002</v>
      </c>
      <c r="G3645" s="34" t="s">
        <v>14</v>
      </c>
      <c r="H3645" s="34" t="str">
        <f>IFERROR(VLOOKUP(Table2[[#This Row], [Ticket]],Okey!A:B,2,0),"")</f>
        <v>ok</v>
      </c>
      <c r="I3645" s="34" t="s">
        <v>8539</v>
      </c>
      <c r="J3645" s="34" t="str">
        <f>VLOOKUP(Table2[[#This Row],[Author]],People!A:B,2,0)</f>
        <v>LS</v>
      </c>
      <c r="K3645" s="34"/>
      <c r="L3645" s="34"/>
      <c r="M3645" s="34" t="s">
        <v>6348</v>
      </c>
    </row>
    <row r="3646" spans="1:13" hidden="1">
      <c r="A3646" s="40">
        <f t="shared" ref="A3646:A3709" si="61">1+A3645</f>
        <v>3645</v>
      </c>
      <c r="B3646" s="34" t="s">
        <v>8</v>
      </c>
      <c r="C3646" s="34" t="s">
        <v>12782</v>
      </c>
      <c r="D3646" s="8" t="s">
        <v>12792</v>
      </c>
      <c r="E3646" s="8" t="s">
        <v>10872</v>
      </c>
      <c r="F3646" s="8" t="s">
        <v>11003</v>
      </c>
      <c r="G3646" s="34" t="s">
        <v>14</v>
      </c>
      <c r="H3646" s="34" t="str">
        <f>IFERROR(VLOOKUP(Table2[[#This Row], [Ticket]],Okey!A:B,2,0),"")</f>
        <v>ok</v>
      </c>
      <c r="I3646" s="34" t="s">
        <v>8539</v>
      </c>
      <c r="J3646" s="34" t="str">
        <f>VLOOKUP(Table2[[#This Row],[Author]],People!A:B,2,0)</f>
        <v>LS</v>
      </c>
      <c r="K3646" s="34"/>
      <c r="L3646" s="34"/>
      <c r="M3646" s="34" t="s">
        <v>6348</v>
      </c>
    </row>
    <row r="3647" spans="1:13" hidden="1">
      <c r="A3647" s="40">
        <f t="shared" si="61"/>
        <v>3646</v>
      </c>
      <c r="B3647" s="34" t="s">
        <v>8</v>
      </c>
      <c r="C3647" s="34" t="s">
        <v>12782</v>
      </c>
      <c r="D3647" s="8" t="s">
        <v>12793</v>
      </c>
      <c r="E3647" s="8" t="s">
        <v>10873</v>
      </c>
      <c r="F3647" s="8" t="s">
        <v>11004</v>
      </c>
      <c r="G3647" s="34" t="s">
        <v>14</v>
      </c>
      <c r="H3647" s="34" t="str">
        <f>IFERROR(VLOOKUP(Table2[[#This Row], [Ticket]],Okey!A:B,2,0),"")</f>
        <v>ok</v>
      </c>
      <c r="I3647" s="34" t="s">
        <v>8539</v>
      </c>
      <c r="J3647" s="34" t="str">
        <f>VLOOKUP(Table2[[#This Row],[Author]],People!A:B,2,0)</f>
        <v>LS</v>
      </c>
      <c r="K3647" s="34"/>
      <c r="L3647" s="34"/>
      <c r="M3647" s="34" t="s">
        <v>6348</v>
      </c>
    </row>
    <row r="3648" spans="1:13" hidden="1">
      <c r="A3648" s="40">
        <f t="shared" si="61"/>
        <v>3647</v>
      </c>
      <c r="B3648" s="34" t="s">
        <v>8</v>
      </c>
      <c r="C3648" s="34" t="s">
        <v>12782</v>
      </c>
      <c r="D3648" s="8" t="s">
        <v>12794</v>
      </c>
      <c r="E3648" s="8" t="s">
        <v>10874</v>
      </c>
      <c r="F3648" s="8" t="s">
        <v>11005</v>
      </c>
      <c r="G3648" s="34" t="s">
        <v>14</v>
      </c>
      <c r="H3648" s="34" t="str">
        <f>IFERROR(VLOOKUP(Table2[[#This Row], [Ticket]],Okey!A:B,2,0),"")</f>
        <v>ok</v>
      </c>
      <c r="I3648" s="34" t="s">
        <v>8539</v>
      </c>
      <c r="J3648" s="34" t="str">
        <f>VLOOKUP(Table2[[#This Row],[Author]],People!A:B,2,0)</f>
        <v>LS</v>
      </c>
      <c r="K3648" s="34"/>
      <c r="L3648" s="34"/>
      <c r="M3648" s="34" t="s">
        <v>6348</v>
      </c>
    </row>
    <row r="3649" spans="1:13" hidden="1">
      <c r="A3649" s="40">
        <f t="shared" si="61"/>
        <v>3648</v>
      </c>
      <c r="B3649" s="34" t="s">
        <v>8</v>
      </c>
      <c r="C3649" s="34" t="s">
        <v>12782</v>
      </c>
      <c r="D3649" s="8" t="s">
        <v>12795</v>
      </c>
      <c r="E3649" s="8" t="s">
        <v>10875</v>
      </c>
      <c r="F3649" s="8" t="s">
        <v>11006</v>
      </c>
      <c r="G3649" s="34" t="s">
        <v>14</v>
      </c>
      <c r="H3649" s="34" t="str">
        <f>IFERROR(VLOOKUP(Table2[[#This Row], [Ticket]],Okey!A:B,2,0),"")</f>
        <v>ok</v>
      </c>
      <c r="I3649" s="34" t="s">
        <v>8539</v>
      </c>
      <c r="J3649" s="34" t="str">
        <f>VLOOKUP(Table2[[#This Row],[Author]],People!A:B,2,0)</f>
        <v>LS</v>
      </c>
      <c r="K3649" s="34"/>
      <c r="L3649" s="34"/>
      <c r="M3649" s="34" t="s">
        <v>6348</v>
      </c>
    </row>
    <row r="3650" spans="1:13" hidden="1">
      <c r="A3650" s="40">
        <f t="shared" si="61"/>
        <v>3649</v>
      </c>
      <c r="B3650" s="34" t="s">
        <v>8</v>
      </c>
      <c r="C3650" s="34" t="s">
        <v>12782</v>
      </c>
      <c r="D3650" s="8" t="s">
        <v>12796</v>
      </c>
      <c r="E3650" s="8" t="s">
        <v>10876</v>
      </c>
      <c r="F3650" s="8" t="s">
        <v>11007</v>
      </c>
      <c r="G3650" s="34" t="s">
        <v>14</v>
      </c>
      <c r="H3650" s="34" t="str">
        <f>IFERROR(VLOOKUP(Table2[[#This Row], [Ticket]],Okey!A:B,2,0),"")</f>
        <v>ok</v>
      </c>
      <c r="I3650" s="34" t="s">
        <v>8539</v>
      </c>
      <c r="J3650" s="34" t="str">
        <f>VLOOKUP(Table2[[#This Row],[Author]],People!A:B,2,0)</f>
        <v>LS</v>
      </c>
      <c r="K3650" s="34"/>
      <c r="L3650" s="34"/>
      <c r="M3650" s="34" t="s">
        <v>6348</v>
      </c>
    </row>
    <row r="3651" spans="1:13" hidden="1">
      <c r="A3651" s="40">
        <f t="shared" si="61"/>
        <v>3650</v>
      </c>
      <c r="B3651" s="34" t="s">
        <v>8</v>
      </c>
      <c r="C3651" s="34" t="s">
        <v>12782</v>
      </c>
      <c r="D3651" s="8" t="s">
        <v>12797</v>
      </c>
      <c r="E3651" s="8" t="s">
        <v>10877</v>
      </c>
      <c r="F3651" s="8" t="s">
        <v>11008</v>
      </c>
      <c r="G3651" s="34" t="s">
        <v>14</v>
      </c>
      <c r="H3651" s="34" t="str">
        <f>IFERROR(VLOOKUP(Table2[[#This Row], [Ticket]],Okey!A:B,2,0),"")</f>
        <v>ok</v>
      </c>
      <c r="I3651" s="34" t="s">
        <v>8539</v>
      </c>
      <c r="J3651" s="34" t="str">
        <f>VLOOKUP(Table2[[#This Row],[Author]],People!A:B,2,0)</f>
        <v>LS</v>
      </c>
      <c r="K3651" s="34"/>
      <c r="L3651" s="34"/>
      <c r="M3651" s="34" t="s">
        <v>6348</v>
      </c>
    </row>
    <row r="3652" spans="1:13" hidden="1">
      <c r="A3652" s="40">
        <f t="shared" si="61"/>
        <v>3651</v>
      </c>
      <c r="B3652" s="34" t="s">
        <v>8</v>
      </c>
      <c r="C3652" s="34" t="s">
        <v>12782</v>
      </c>
      <c r="D3652" s="8" t="s">
        <v>12798</v>
      </c>
      <c r="E3652" s="8" t="s">
        <v>10878</v>
      </c>
      <c r="F3652" s="8" t="s">
        <v>11010</v>
      </c>
      <c r="G3652" s="34" t="s">
        <v>14</v>
      </c>
      <c r="H3652" s="34" t="str">
        <f>IFERROR(VLOOKUP(Table2[[#This Row], [Ticket]],Okey!A:B,2,0),"")</f>
        <v>ok</v>
      </c>
      <c r="I3652" s="34" t="s">
        <v>8539</v>
      </c>
      <c r="J3652" s="34" t="str">
        <f>VLOOKUP(Table2[[#This Row],[Author]],People!A:B,2,0)</f>
        <v>LS</v>
      </c>
      <c r="K3652" s="34"/>
      <c r="L3652" s="34"/>
      <c r="M3652" s="34" t="s">
        <v>6348</v>
      </c>
    </row>
    <row r="3653" spans="1:13" hidden="1">
      <c r="A3653" s="40">
        <f t="shared" si="61"/>
        <v>3652</v>
      </c>
      <c r="B3653" s="34" t="s">
        <v>8</v>
      </c>
      <c r="C3653" s="34" t="s">
        <v>12782</v>
      </c>
      <c r="D3653" s="8" t="s">
        <v>12799</v>
      </c>
      <c r="E3653" s="8" t="s">
        <v>10880</v>
      </c>
      <c r="F3653" s="8" t="s">
        <v>11011</v>
      </c>
      <c r="G3653" s="34" t="s">
        <v>14</v>
      </c>
      <c r="H3653" s="34" t="str">
        <f>IFERROR(VLOOKUP(Table2[[#This Row], [Ticket]],Okey!A:B,2,0),"")</f>
        <v>ok</v>
      </c>
      <c r="I3653" s="34" t="s">
        <v>8539</v>
      </c>
      <c r="J3653" s="34" t="str">
        <f>VLOOKUP(Table2[[#This Row],[Author]],People!A:B,2,0)</f>
        <v>LS</v>
      </c>
      <c r="K3653" s="34"/>
      <c r="L3653" s="34"/>
      <c r="M3653" s="34" t="s">
        <v>6348</v>
      </c>
    </row>
    <row r="3654" spans="1:13" hidden="1">
      <c r="A3654" s="40">
        <f t="shared" si="61"/>
        <v>3653</v>
      </c>
      <c r="B3654" s="34" t="s">
        <v>8</v>
      </c>
      <c r="C3654" s="34" t="s">
        <v>12782</v>
      </c>
      <c r="D3654" s="8" t="s">
        <v>12800</v>
      </c>
      <c r="E3654" s="8" t="s">
        <v>10881</v>
      </c>
      <c r="F3654" s="8" t="s">
        <v>11012</v>
      </c>
      <c r="G3654" s="34" t="s">
        <v>14</v>
      </c>
      <c r="H3654" s="34" t="str">
        <f>IFERROR(VLOOKUP(Table2[[#This Row], [Ticket]],Okey!A:B,2,0),"")</f>
        <v>ok</v>
      </c>
      <c r="I3654" s="34" t="s">
        <v>8539</v>
      </c>
      <c r="J3654" s="34" t="str">
        <f>VLOOKUP(Table2[[#This Row],[Author]],People!A:B,2,0)</f>
        <v>LS</v>
      </c>
      <c r="K3654" s="34"/>
      <c r="L3654" s="34"/>
      <c r="M3654" s="34" t="s">
        <v>6348</v>
      </c>
    </row>
    <row r="3655" spans="1:13" hidden="1">
      <c r="A3655" s="40">
        <f t="shared" si="61"/>
        <v>3654</v>
      </c>
      <c r="B3655" s="34" t="s">
        <v>8</v>
      </c>
      <c r="C3655" s="34" t="s">
        <v>12782</v>
      </c>
      <c r="D3655" s="8" t="s">
        <v>12801</v>
      </c>
      <c r="E3655" s="8" t="s">
        <v>10882</v>
      </c>
      <c r="F3655" s="8" t="s">
        <v>11013</v>
      </c>
      <c r="G3655" s="34" t="s">
        <v>14</v>
      </c>
      <c r="H3655" s="34" t="str">
        <f>IFERROR(VLOOKUP(Table2[[#This Row], [Ticket]],Okey!A:B,2,0),"")</f>
        <v>ok</v>
      </c>
      <c r="I3655" s="34" t="s">
        <v>8539</v>
      </c>
      <c r="J3655" s="34" t="str">
        <f>VLOOKUP(Table2[[#This Row],[Author]],People!A:B,2,0)</f>
        <v>LS</v>
      </c>
      <c r="K3655" s="34"/>
      <c r="L3655" s="34"/>
      <c r="M3655" s="34" t="s">
        <v>6348</v>
      </c>
    </row>
    <row r="3656" spans="1:13" hidden="1">
      <c r="A3656" s="40">
        <f t="shared" si="61"/>
        <v>3655</v>
      </c>
      <c r="B3656" s="34" t="s">
        <v>8</v>
      </c>
      <c r="C3656" s="34" t="s">
        <v>12782</v>
      </c>
      <c r="D3656" s="8" t="s">
        <v>12802</v>
      </c>
      <c r="E3656" s="8" t="s">
        <v>10883</v>
      </c>
      <c r="F3656" s="8" t="s">
        <v>11014</v>
      </c>
      <c r="G3656" s="34" t="s">
        <v>14</v>
      </c>
      <c r="H3656" s="34" t="str">
        <f>IFERROR(VLOOKUP(Table2[[#This Row], [Ticket]],Okey!A:B,2,0),"")</f>
        <v>ok</v>
      </c>
      <c r="I3656" s="34" t="s">
        <v>8539</v>
      </c>
      <c r="J3656" s="34" t="str">
        <f>VLOOKUP(Table2[[#This Row],[Author]],People!A:B,2,0)</f>
        <v>LS</v>
      </c>
      <c r="K3656" s="34"/>
      <c r="L3656" s="34"/>
      <c r="M3656" s="34" t="s">
        <v>6348</v>
      </c>
    </row>
    <row r="3657" spans="1:13" hidden="1">
      <c r="A3657" s="40">
        <f t="shared" si="61"/>
        <v>3656</v>
      </c>
      <c r="B3657" s="34" t="s">
        <v>8</v>
      </c>
      <c r="C3657" s="34" t="s">
        <v>12782</v>
      </c>
      <c r="D3657" s="8" t="s">
        <v>12803</v>
      </c>
      <c r="E3657" s="8" t="s">
        <v>10884</v>
      </c>
      <c r="F3657" s="8" t="s">
        <v>11015</v>
      </c>
      <c r="G3657" s="34" t="s">
        <v>14</v>
      </c>
      <c r="H3657" s="34" t="str">
        <f>IFERROR(VLOOKUP(Table2[[#This Row], [Ticket]],Okey!A:B,2,0),"")</f>
        <v>ok</v>
      </c>
      <c r="I3657" s="34" t="s">
        <v>8539</v>
      </c>
      <c r="J3657" s="34" t="str">
        <f>VLOOKUP(Table2[[#This Row],[Author]],People!A:B,2,0)</f>
        <v>LS</v>
      </c>
      <c r="K3657" s="34"/>
      <c r="L3657" s="34"/>
      <c r="M3657" s="34" t="s">
        <v>6348</v>
      </c>
    </row>
    <row r="3658" spans="1:13" hidden="1">
      <c r="A3658" s="40">
        <f t="shared" si="61"/>
        <v>3657</v>
      </c>
      <c r="B3658" s="34" t="s">
        <v>8</v>
      </c>
      <c r="C3658" s="34" t="s">
        <v>12782</v>
      </c>
      <c r="D3658" s="8" t="s">
        <v>12804</v>
      </c>
      <c r="E3658" s="8" t="s">
        <v>10885</v>
      </c>
      <c r="F3658" s="8" t="s">
        <v>11016</v>
      </c>
      <c r="G3658" s="34" t="s">
        <v>14</v>
      </c>
      <c r="H3658" s="34" t="str">
        <f>IFERROR(VLOOKUP(Table2[[#This Row], [Ticket]],Okey!A:B,2,0),"")</f>
        <v>ok</v>
      </c>
      <c r="I3658" s="34" t="s">
        <v>8539</v>
      </c>
      <c r="J3658" s="34" t="str">
        <f>VLOOKUP(Table2[[#This Row],[Author]],People!A:B,2,0)</f>
        <v>LS</v>
      </c>
      <c r="K3658" s="34"/>
      <c r="L3658" s="34"/>
      <c r="M3658" s="34" t="s">
        <v>6348</v>
      </c>
    </row>
    <row r="3659" spans="1:13" hidden="1">
      <c r="A3659" s="40">
        <f t="shared" si="61"/>
        <v>3658</v>
      </c>
      <c r="B3659" s="34" t="s">
        <v>8</v>
      </c>
      <c r="C3659" s="34" t="s">
        <v>12782</v>
      </c>
      <c r="D3659" s="8" t="s">
        <v>12805</v>
      </c>
      <c r="E3659" s="8" t="s">
        <v>10886</v>
      </c>
      <c r="F3659" s="8" t="s">
        <v>11017</v>
      </c>
      <c r="G3659" s="34" t="s">
        <v>14</v>
      </c>
      <c r="H3659" s="34" t="str">
        <f>IFERROR(VLOOKUP(Table2[[#This Row], [Ticket]],Okey!A:B,2,0),"")</f>
        <v>ok</v>
      </c>
      <c r="I3659" s="34" t="s">
        <v>8539</v>
      </c>
      <c r="J3659" s="34" t="str">
        <f>VLOOKUP(Table2[[#This Row],[Author]],People!A:B,2,0)</f>
        <v>LS</v>
      </c>
      <c r="K3659" s="34"/>
      <c r="L3659" s="34"/>
      <c r="M3659" s="34" t="s">
        <v>6348</v>
      </c>
    </row>
    <row r="3660" spans="1:13" hidden="1">
      <c r="A3660" s="40">
        <f t="shared" si="61"/>
        <v>3659</v>
      </c>
      <c r="B3660" s="34" t="s">
        <v>8</v>
      </c>
      <c r="C3660" s="34" t="s">
        <v>12782</v>
      </c>
      <c r="D3660" s="8" t="s">
        <v>12806</v>
      </c>
      <c r="E3660" s="8" t="s">
        <v>10887</v>
      </c>
      <c r="F3660" s="8" t="s">
        <v>11018</v>
      </c>
      <c r="G3660" s="34" t="s">
        <v>14</v>
      </c>
      <c r="H3660" s="34" t="str">
        <f>IFERROR(VLOOKUP(Table2[[#This Row], [Ticket]],Okey!A:B,2,0),"")</f>
        <v>ok</v>
      </c>
      <c r="I3660" s="34" t="s">
        <v>8539</v>
      </c>
      <c r="J3660" s="34" t="str">
        <f>VLOOKUP(Table2[[#This Row],[Author]],People!A:B,2,0)</f>
        <v>LS</v>
      </c>
      <c r="K3660" s="34"/>
      <c r="L3660" s="34"/>
      <c r="M3660" s="34" t="s">
        <v>6348</v>
      </c>
    </row>
    <row r="3661" spans="1:13" hidden="1">
      <c r="A3661" s="40">
        <f t="shared" si="61"/>
        <v>3660</v>
      </c>
      <c r="B3661" s="34" t="s">
        <v>8</v>
      </c>
      <c r="C3661" s="34" t="s">
        <v>12782</v>
      </c>
      <c r="D3661" s="8" t="s">
        <v>12807</v>
      </c>
      <c r="E3661" s="8" t="s">
        <v>10888</v>
      </c>
      <c r="F3661" s="8" t="s">
        <v>11020</v>
      </c>
      <c r="G3661" s="34" t="s">
        <v>14</v>
      </c>
      <c r="H3661" s="34" t="str">
        <f>IFERROR(VLOOKUP(Table2[[#This Row], [Ticket]],Okey!A:B,2,0),"")</f>
        <v>ok</v>
      </c>
      <c r="I3661" s="34" t="s">
        <v>8539</v>
      </c>
      <c r="J3661" s="34" t="str">
        <f>VLOOKUP(Table2[[#This Row],[Author]],People!A:B,2,0)</f>
        <v>LS</v>
      </c>
      <c r="K3661" s="34"/>
      <c r="L3661" s="34"/>
      <c r="M3661" s="34" t="s">
        <v>6348</v>
      </c>
    </row>
    <row r="3662" spans="1:13" hidden="1">
      <c r="A3662" s="40">
        <f t="shared" si="61"/>
        <v>3661</v>
      </c>
      <c r="B3662" s="34" t="s">
        <v>8</v>
      </c>
      <c r="C3662" s="34" t="s">
        <v>12782</v>
      </c>
      <c r="D3662" s="8" t="s">
        <v>12808</v>
      </c>
      <c r="E3662" s="8" t="s">
        <v>10890</v>
      </c>
      <c r="F3662" s="8" t="s">
        <v>11021</v>
      </c>
      <c r="G3662" s="34" t="s">
        <v>14</v>
      </c>
      <c r="H3662" s="34" t="str">
        <f>IFERROR(VLOOKUP(Table2[[#This Row], [Ticket]],Okey!A:B,2,0),"")</f>
        <v>ok</v>
      </c>
      <c r="I3662" s="34" t="s">
        <v>8539</v>
      </c>
      <c r="J3662" s="34" t="str">
        <f>VLOOKUP(Table2[[#This Row],[Author]],People!A:B,2,0)</f>
        <v>LS</v>
      </c>
      <c r="K3662" s="34"/>
      <c r="L3662" s="34"/>
      <c r="M3662" s="34" t="s">
        <v>6348</v>
      </c>
    </row>
    <row r="3663" spans="1:13" hidden="1">
      <c r="A3663" s="40">
        <f t="shared" si="61"/>
        <v>3662</v>
      </c>
      <c r="B3663" s="34" t="s">
        <v>8</v>
      </c>
      <c r="C3663" s="34" t="s">
        <v>12782</v>
      </c>
      <c r="D3663" s="8" t="s">
        <v>12809</v>
      </c>
      <c r="E3663" s="8" t="s">
        <v>10891</v>
      </c>
      <c r="F3663" s="8" t="s">
        <v>11022</v>
      </c>
      <c r="G3663" s="34" t="s">
        <v>14</v>
      </c>
      <c r="H3663" s="34" t="str">
        <f>IFERROR(VLOOKUP(Table2[[#This Row], [Ticket]],Okey!A:B,2,0),"")</f>
        <v>ok</v>
      </c>
      <c r="I3663" s="34" t="s">
        <v>8539</v>
      </c>
      <c r="J3663" s="34" t="str">
        <f>VLOOKUP(Table2[[#This Row],[Author]],People!A:B,2,0)</f>
        <v>LS</v>
      </c>
      <c r="K3663" s="34"/>
      <c r="L3663" s="34"/>
      <c r="M3663" s="34" t="s">
        <v>6348</v>
      </c>
    </row>
    <row r="3664" spans="1:13" hidden="1">
      <c r="A3664" s="40">
        <f t="shared" si="61"/>
        <v>3663</v>
      </c>
      <c r="B3664" s="34" t="s">
        <v>8</v>
      </c>
      <c r="C3664" s="34" t="s">
        <v>12782</v>
      </c>
      <c r="D3664" s="8" t="s">
        <v>12810</v>
      </c>
      <c r="E3664" s="8" t="s">
        <v>10892</v>
      </c>
      <c r="F3664" s="8" t="s">
        <v>11023</v>
      </c>
      <c r="G3664" s="34" t="s">
        <v>14</v>
      </c>
      <c r="H3664" s="34" t="str">
        <f>IFERROR(VLOOKUP(Table2[[#This Row], [Ticket]],Okey!A:B,2,0),"")</f>
        <v>ok</v>
      </c>
      <c r="I3664" s="34" t="s">
        <v>8539</v>
      </c>
      <c r="J3664" s="34" t="str">
        <f>VLOOKUP(Table2[[#This Row],[Author]],People!A:B,2,0)</f>
        <v>LS</v>
      </c>
      <c r="K3664" s="34"/>
      <c r="L3664" s="34"/>
      <c r="M3664" s="34" t="s">
        <v>6348</v>
      </c>
    </row>
    <row r="3665" spans="1:13" hidden="1">
      <c r="A3665" s="40">
        <f t="shared" si="61"/>
        <v>3664</v>
      </c>
      <c r="B3665" s="34" t="s">
        <v>8</v>
      </c>
      <c r="C3665" s="34" t="s">
        <v>12782</v>
      </c>
      <c r="D3665" s="8" t="s">
        <v>12811</v>
      </c>
      <c r="E3665" s="8" t="s">
        <v>10893</v>
      </c>
      <c r="F3665" s="8" t="s">
        <v>11024</v>
      </c>
      <c r="G3665" s="34" t="s">
        <v>14</v>
      </c>
      <c r="H3665" s="34" t="str">
        <f>IFERROR(VLOOKUP(Table2[[#This Row], [Ticket]],Okey!A:B,2,0),"")</f>
        <v>ok</v>
      </c>
      <c r="I3665" s="34" t="s">
        <v>8539</v>
      </c>
      <c r="J3665" s="34" t="str">
        <f>VLOOKUP(Table2[[#This Row],[Author]],People!A:B,2,0)</f>
        <v>LS</v>
      </c>
      <c r="K3665" s="34"/>
      <c r="L3665" s="34"/>
      <c r="M3665" s="34" t="s">
        <v>6348</v>
      </c>
    </row>
    <row r="3666" spans="1:13" hidden="1">
      <c r="A3666" s="40">
        <f t="shared" si="61"/>
        <v>3665</v>
      </c>
      <c r="B3666" s="34" t="s">
        <v>8</v>
      </c>
      <c r="C3666" s="34" t="s">
        <v>12782</v>
      </c>
      <c r="D3666" s="8" t="s">
        <v>12812</v>
      </c>
      <c r="E3666" s="8" t="s">
        <v>10894</v>
      </c>
      <c r="F3666" s="8" t="s">
        <v>11025</v>
      </c>
      <c r="G3666" s="34" t="s">
        <v>14</v>
      </c>
      <c r="H3666" s="34" t="str">
        <f>IFERROR(VLOOKUP(Table2[[#This Row], [Ticket]],Okey!A:B,2,0),"")</f>
        <v>ok</v>
      </c>
      <c r="I3666" s="34" t="s">
        <v>8539</v>
      </c>
      <c r="J3666" s="34" t="str">
        <f>VLOOKUP(Table2[[#This Row],[Author]],People!A:B,2,0)</f>
        <v>LS</v>
      </c>
      <c r="K3666" s="34"/>
      <c r="L3666" s="34"/>
      <c r="M3666" s="34" t="s">
        <v>6348</v>
      </c>
    </row>
    <row r="3667" spans="1:13" hidden="1">
      <c r="A3667" s="40">
        <f t="shared" si="61"/>
        <v>3666</v>
      </c>
      <c r="B3667" s="34" t="s">
        <v>8</v>
      </c>
      <c r="C3667" s="34" t="s">
        <v>12782</v>
      </c>
      <c r="D3667" s="8" t="s">
        <v>12813</v>
      </c>
      <c r="E3667" s="8" t="s">
        <v>10895</v>
      </c>
      <c r="F3667" s="8" t="s">
        <v>11026</v>
      </c>
      <c r="G3667" s="34" t="s">
        <v>14</v>
      </c>
      <c r="H3667" s="34" t="str">
        <f>IFERROR(VLOOKUP(Table2[[#This Row], [Ticket]],Okey!A:B,2,0),"")</f>
        <v>ok</v>
      </c>
      <c r="I3667" s="34" t="s">
        <v>8539</v>
      </c>
      <c r="J3667" s="34" t="str">
        <f>VLOOKUP(Table2[[#This Row],[Author]],People!A:B,2,0)</f>
        <v>LS</v>
      </c>
      <c r="K3667" s="34"/>
      <c r="L3667" s="34"/>
      <c r="M3667" s="34" t="s">
        <v>6348</v>
      </c>
    </row>
    <row r="3668" spans="1:13" hidden="1">
      <c r="A3668" s="40">
        <f t="shared" si="61"/>
        <v>3667</v>
      </c>
      <c r="B3668" s="34" t="s">
        <v>8</v>
      </c>
      <c r="C3668" s="34" t="s">
        <v>12782</v>
      </c>
      <c r="D3668" s="8" t="s">
        <v>12814</v>
      </c>
      <c r="E3668" s="8" t="s">
        <v>10896</v>
      </c>
      <c r="F3668" s="8" t="s">
        <v>11027</v>
      </c>
      <c r="G3668" s="34" t="s">
        <v>14</v>
      </c>
      <c r="H3668" s="34" t="str">
        <f>IFERROR(VLOOKUP(Table2[[#This Row], [Ticket]],Okey!A:B,2,0),"")</f>
        <v>ok</v>
      </c>
      <c r="I3668" s="34" t="s">
        <v>8539</v>
      </c>
      <c r="J3668" s="34" t="str">
        <f>VLOOKUP(Table2[[#This Row],[Author]],People!A:B,2,0)</f>
        <v>LS</v>
      </c>
      <c r="K3668" s="34"/>
      <c r="L3668" s="34"/>
      <c r="M3668" s="34" t="s">
        <v>6348</v>
      </c>
    </row>
    <row r="3669" spans="1:13" hidden="1">
      <c r="A3669" s="40">
        <f t="shared" si="61"/>
        <v>3668</v>
      </c>
      <c r="B3669" s="34" t="s">
        <v>8</v>
      </c>
      <c r="C3669" s="34" t="s">
        <v>12782</v>
      </c>
      <c r="D3669" s="8" t="s">
        <v>12815</v>
      </c>
      <c r="E3669" s="8" t="s">
        <v>10897</v>
      </c>
      <c r="F3669" s="8" t="s">
        <v>11028</v>
      </c>
      <c r="G3669" s="34" t="s">
        <v>14</v>
      </c>
      <c r="H3669" s="34" t="str">
        <f>IFERROR(VLOOKUP(Table2[[#This Row], [Ticket]],Okey!A:B,2,0),"")</f>
        <v>ok</v>
      </c>
      <c r="I3669" s="34" t="s">
        <v>8539</v>
      </c>
      <c r="J3669" s="34" t="str">
        <f>VLOOKUP(Table2[[#This Row],[Author]],People!A:B,2,0)</f>
        <v>LS</v>
      </c>
      <c r="K3669" s="34"/>
      <c r="L3669" s="34"/>
      <c r="M3669" s="34" t="s">
        <v>6348</v>
      </c>
    </row>
    <row r="3670" spans="1:13" hidden="1">
      <c r="A3670" s="40">
        <f t="shared" si="61"/>
        <v>3669</v>
      </c>
      <c r="B3670" s="34" t="s">
        <v>8</v>
      </c>
      <c r="C3670" s="34" t="s">
        <v>12782</v>
      </c>
      <c r="D3670" s="8" t="s">
        <v>12816</v>
      </c>
      <c r="E3670" s="8" t="s">
        <v>10898</v>
      </c>
      <c r="F3670" s="8" t="s">
        <v>11030</v>
      </c>
      <c r="G3670" s="34" t="s">
        <v>14</v>
      </c>
      <c r="H3670" s="34" t="str">
        <f>IFERROR(VLOOKUP(Table2[[#This Row], [Ticket]],Okey!A:B,2,0),"")</f>
        <v>ok</v>
      </c>
      <c r="I3670" s="34" t="s">
        <v>8539</v>
      </c>
      <c r="J3670" s="34" t="str">
        <f>VLOOKUP(Table2[[#This Row],[Author]],People!A:B,2,0)</f>
        <v>LS</v>
      </c>
      <c r="K3670" s="34"/>
      <c r="L3670" s="34"/>
      <c r="M3670" s="34" t="s">
        <v>6348</v>
      </c>
    </row>
    <row r="3671" spans="1:13" hidden="1">
      <c r="A3671" s="40">
        <f t="shared" si="61"/>
        <v>3670</v>
      </c>
      <c r="B3671" s="34" t="s">
        <v>8</v>
      </c>
      <c r="C3671" s="34" t="s">
        <v>12782</v>
      </c>
      <c r="D3671" s="8" t="s">
        <v>12817</v>
      </c>
      <c r="E3671" s="8" t="s">
        <v>10900</v>
      </c>
      <c r="F3671" s="8" t="s">
        <v>11031</v>
      </c>
      <c r="G3671" s="34" t="s">
        <v>14</v>
      </c>
      <c r="H3671" s="34" t="str">
        <f>IFERROR(VLOOKUP(Table2[[#This Row], [Ticket]],Okey!A:B,2,0),"")</f>
        <v>ok</v>
      </c>
      <c r="I3671" s="34" t="s">
        <v>8539</v>
      </c>
      <c r="J3671" s="34" t="str">
        <f>VLOOKUP(Table2[[#This Row],[Author]],People!A:B,2,0)</f>
        <v>LS</v>
      </c>
      <c r="K3671" s="34"/>
      <c r="L3671" s="34"/>
      <c r="M3671" s="34" t="s">
        <v>6348</v>
      </c>
    </row>
    <row r="3672" spans="1:13" hidden="1">
      <c r="A3672" s="40">
        <f t="shared" si="61"/>
        <v>3671</v>
      </c>
      <c r="B3672" s="34" t="s">
        <v>8</v>
      </c>
      <c r="C3672" s="34" t="s">
        <v>12782</v>
      </c>
      <c r="D3672" s="8" t="s">
        <v>12818</v>
      </c>
      <c r="E3672" s="8" t="s">
        <v>10901</v>
      </c>
      <c r="F3672" s="8" t="s">
        <v>11032</v>
      </c>
      <c r="G3672" s="34" t="s">
        <v>14</v>
      </c>
      <c r="H3672" s="34" t="str">
        <f>IFERROR(VLOOKUP(Table2[[#This Row], [Ticket]],Okey!A:B,2,0),"")</f>
        <v>ok</v>
      </c>
      <c r="I3672" s="34" t="s">
        <v>8539</v>
      </c>
      <c r="J3672" s="34" t="str">
        <f>VLOOKUP(Table2[[#This Row],[Author]],People!A:B,2,0)</f>
        <v>LS</v>
      </c>
      <c r="K3672" s="34"/>
      <c r="L3672" s="34"/>
      <c r="M3672" s="34" t="s">
        <v>6348</v>
      </c>
    </row>
    <row r="3673" spans="1:13" hidden="1">
      <c r="A3673" s="40">
        <f t="shared" si="61"/>
        <v>3672</v>
      </c>
      <c r="B3673" s="34" t="s">
        <v>8</v>
      </c>
      <c r="C3673" s="34" t="s">
        <v>12782</v>
      </c>
      <c r="D3673" s="8" t="s">
        <v>12819</v>
      </c>
      <c r="E3673" s="8" t="s">
        <v>10902</v>
      </c>
      <c r="F3673" s="8" t="s">
        <v>11033</v>
      </c>
      <c r="G3673" s="34" t="s">
        <v>14</v>
      </c>
      <c r="H3673" s="34" t="str">
        <f>IFERROR(VLOOKUP(Table2[[#This Row], [Ticket]],Okey!A:B,2,0),"")</f>
        <v>ok</v>
      </c>
      <c r="I3673" s="34" t="s">
        <v>8539</v>
      </c>
      <c r="J3673" s="34" t="str">
        <f>VLOOKUP(Table2[[#This Row],[Author]],People!A:B,2,0)</f>
        <v>LS</v>
      </c>
      <c r="K3673" s="34"/>
      <c r="L3673" s="34"/>
      <c r="M3673" s="34" t="s">
        <v>6348</v>
      </c>
    </row>
    <row r="3674" spans="1:13" hidden="1">
      <c r="A3674" s="40">
        <f t="shared" si="61"/>
        <v>3673</v>
      </c>
      <c r="B3674" s="34" t="s">
        <v>8</v>
      </c>
      <c r="C3674" s="34" t="s">
        <v>12782</v>
      </c>
      <c r="D3674" s="8" t="s">
        <v>12820</v>
      </c>
      <c r="E3674" s="8" t="s">
        <v>10903</v>
      </c>
      <c r="F3674" s="8" t="s">
        <v>11034</v>
      </c>
      <c r="G3674" s="34" t="s">
        <v>14</v>
      </c>
      <c r="H3674" s="34" t="str">
        <f>IFERROR(VLOOKUP(Table2[[#This Row], [Ticket]],Okey!A:B,2,0),"")</f>
        <v>ok</v>
      </c>
      <c r="I3674" s="34" t="s">
        <v>8539</v>
      </c>
      <c r="J3674" s="34" t="str">
        <f>VLOOKUP(Table2[[#This Row],[Author]],People!A:B,2,0)</f>
        <v>LS</v>
      </c>
      <c r="K3674" s="34"/>
      <c r="L3674" s="34"/>
      <c r="M3674" s="34" t="s">
        <v>6348</v>
      </c>
    </row>
    <row r="3675" spans="1:13" hidden="1">
      <c r="A3675" s="40">
        <f t="shared" si="61"/>
        <v>3674</v>
      </c>
      <c r="B3675" s="34" t="s">
        <v>8</v>
      </c>
      <c r="C3675" s="34" t="s">
        <v>12782</v>
      </c>
      <c r="D3675" s="8" t="s">
        <v>12821</v>
      </c>
      <c r="E3675" s="8" t="s">
        <v>10904</v>
      </c>
      <c r="F3675" s="8" t="s">
        <v>11035</v>
      </c>
      <c r="G3675" s="34" t="s">
        <v>14</v>
      </c>
      <c r="H3675" s="34" t="str">
        <f>IFERROR(VLOOKUP(Table2[[#This Row], [Ticket]],Okey!A:B,2,0),"")</f>
        <v>ok</v>
      </c>
      <c r="I3675" s="34" t="s">
        <v>8539</v>
      </c>
      <c r="J3675" s="34" t="str">
        <f>VLOOKUP(Table2[[#This Row],[Author]],People!A:B,2,0)</f>
        <v>LS</v>
      </c>
      <c r="K3675" s="34"/>
      <c r="L3675" s="34"/>
      <c r="M3675" s="34" t="s">
        <v>6348</v>
      </c>
    </row>
    <row r="3676" spans="1:13" hidden="1">
      <c r="A3676" s="40">
        <f t="shared" si="61"/>
        <v>3675</v>
      </c>
      <c r="B3676" s="34" t="s">
        <v>8</v>
      </c>
      <c r="C3676" s="34" t="s">
        <v>12782</v>
      </c>
      <c r="D3676" s="8" t="s">
        <v>12822</v>
      </c>
      <c r="E3676" s="8" t="s">
        <v>10905</v>
      </c>
      <c r="F3676" s="8" t="s">
        <v>11037</v>
      </c>
      <c r="G3676" s="34" t="s">
        <v>14</v>
      </c>
      <c r="H3676" s="34" t="str">
        <f>IFERROR(VLOOKUP(Table2[[#This Row], [Ticket]],Okey!A:B,2,0),"")</f>
        <v>ok</v>
      </c>
      <c r="I3676" s="34" t="s">
        <v>8539</v>
      </c>
      <c r="J3676" s="34" t="str">
        <f>VLOOKUP(Table2[[#This Row],[Author]],People!A:B,2,0)</f>
        <v>LS</v>
      </c>
      <c r="K3676" s="34"/>
      <c r="L3676" s="34"/>
      <c r="M3676" s="34" t="s">
        <v>6348</v>
      </c>
    </row>
    <row r="3677" spans="1:13" hidden="1">
      <c r="A3677" s="40">
        <f t="shared" si="61"/>
        <v>3676</v>
      </c>
      <c r="B3677" s="34" t="s">
        <v>8</v>
      </c>
      <c r="C3677" s="34" t="s">
        <v>12782</v>
      </c>
      <c r="D3677" s="8" t="s">
        <v>12823</v>
      </c>
      <c r="E3677" s="8" t="s">
        <v>10907</v>
      </c>
      <c r="F3677" s="8" t="s">
        <v>11038</v>
      </c>
      <c r="G3677" s="34" t="s">
        <v>14</v>
      </c>
      <c r="H3677" s="34" t="str">
        <f>IFERROR(VLOOKUP(Table2[[#This Row], [Ticket]],Okey!A:B,2,0),"")</f>
        <v>ok</v>
      </c>
      <c r="I3677" s="34" t="s">
        <v>8539</v>
      </c>
      <c r="J3677" s="34" t="str">
        <f>VLOOKUP(Table2[[#This Row],[Author]],People!A:B,2,0)</f>
        <v>LS</v>
      </c>
      <c r="K3677" s="34"/>
      <c r="L3677" s="34"/>
      <c r="M3677" s="34" t="s">
        <v>6348</v>
      </c>
    </row>
    <row r="3678" spans="1:13" hidden="1">
      <c r="A3678" s="40">
        <f t="shared" si="61"/>
        <v>3677</v>
      </c>
      <c r="B3678" s="34" t="s">
        <v>8</v>
      </c>
      <c r="C3678" s="34" t="s">
        <v>12782</v>
      </c>
      <c r="D3678" s="8" t="s">
        <v>12824</v>
      </c>
      <c r="E3678" s="8" t="s">
        <v>10908</v>
      </c>
      <c r="F3678" s="8" t="s">
        <v>11039</v>
      </c>
      <c r="G3678" s="34" t="s">
        <v>14</v>
      </c>
      <c r="H3678" s="34" t="str">
        <f>IFERROR(VLOOKUP(Table2[[#This Row], [Ticket]],Okey!A:B,2,0),"")</f>
        <v>ok</v>
      </c>
      <c r="I3678" s="34" t="s">
        <v>8539</v>
      </c>
      <c r="J3678" s="34" t="str">
        <f>VLOOKUP(Table2[[#This Row],[Author]],People!A:B,2,0)</f>
        <v>LS</v>
      </c>
      <c r="K3678" s="34"/>
      <c r="L3678" s="34"/>
      <c r="M3678" s="34" t="s">
        <v>6348</v>
      </c>
    </row>
    <row r="3679" spans="1:13" hidden="1">
      <c r="A3679" s="40">
        <f t="shared" si="61"/>
        <v>3678</v>
      </c>
      <c r="B3679" s="34" t="s">
        <v>8</v>
      </c>
      <c r="C3679" s="34" t="s">
        <v>12782</v>
      </c>
      <c r="D3679" s="8" t="s">
        <v>12825</v>
      </c>
      <c r="E3679" s="8" t="s">
        <v>10909</v>
      </c>
      <c r="F3679" s="8" t="s">
        <v>11040</v>
      </c>
      <c r="G3679" s="34" t="s">
        <v>14</v>
      </c>
      <c r="H3679" s="34" t="str">
        <f>IFERROR(VLOOKUP(Table2[[#This Row], [Ticket]],Okey!A:B,2,0),"")</f>
        <v>ok</v>
      </c>
      <c r="I3679" s="34" t="s">
        <v>8539</v>
      </c>
      <c r="J3679" s="34" t="str">
        <f>VLOOKUP(Table2[[#This Row],[Author]],People!A:B,2,0)</f>
        <v>LS</v>
      </c>
      <c r="K3679" s="34"/>
      <c r="L3679" s="34"/>
      <c r="M3679" s="34" t="s">
        <v>6348</v>
      </c>
    </row>
    <row r="3680" spans="1:13" hidden="1">
      <c r="A3680" s="40">
        <f t="shared" si="61"/>
        <v>3679</v>
      </c>
      <c r="B3680" s="34" t="s">
        <v>8</v>
      </c>
      <c r="C3680" s="34" t="s">
        <v>12782</v>
      </c>
      <c r="D3680" s="8" t="s">
        <v>12826</v>
      </c>
      <c r="E3680" s="8" t="s">
        <v>10910</v>
      </c>
      <c r="F3680" s="8" t="s">
        <v>11041</v>
      </c>
      <c r="G3680" s="34" t="s">
        <v>14</v>
      </c>
      <c r="H3680" s="34" t="str">
        <f>IFERROR(VLOOKUP(Table2[[#This Row], [Ticket]],Okey!A:B,2,0),"")</f>
        <v>ok</v>
      </c>
      <c r="I3680" s="34" t="s">
        <v>8539</v>
      </c>
      <c r="J3680" s="34" t="str">
        <f>VLOOKUP(Table2[[#This Row],[Author]],People!A:B,2,0)</f>
        <v>LS</v>
      </c>
      <c r="K3680" s="34"/>
      <c r="L3680" s="34"/>
      <c r="M3680" s="34" t="s">
        <v>6348</v>
      </c>
    </row>
    <row r="3681" spans="1:13" hidden="1">
      <c r="A3681" s="40">
        <f t="shared" si="61"/>
        <v>3680</v>
      </c>
      <c r="B3681" s="34" t="s">
        <v>8</v>
      </c>
      <c r="C3681" s="34" t="s">
        <v>12782</v>
      </c>
      <c r="D3681" s="8" t="s">
        <v>12827</v>
      </c>
      <c r="E3681" s="8" t="s">
        <v>10911</v>
      </c>
      <c r="F3681" s="8" t="s">
        <v>11042</v>
      </c>
      <c r="G3681" s="34" t="s">
        <v>14</v>
      </c>
      <c r="H3681" s="34" t="str">
        <f>IFERROR(VLOOKUP(Table2[[#This Row], [Ticket]],Okey!A:B,2,0),"")</f>
        <v>ok</v>
      </c>
      <c r="I3681" s="34" t="s">
        <v>8539</v>
      </c>
      <c r="J3681" s="34" t="str">
        <f>VLOOKUP(Table2[[#This Row],[Author]],People!A:B,2,0)</f>
        <v>LS</v>
      </c>
      <c r="K3681" s="34"/>
      <c r="L3681" s="34"/>
      <c r="M3681" s="34" t="s">
        <v>6348</v>
      </c>
    </row>
    <row r="3682" spans="1:13" hidden="1">
      <c r="A3682" s="40">
        <f t="shared" si="61"/>
        <v>3681</v>
      </c>
      <c r="B3682" s="34" t="s">
        <v>8</v>
      </c>
      <c r="C3682" s="34" t="s">
        <v>12782</v>
      </c>
      <c r="D3682" s="8" t="s">
        <v>12828</v>
      </c>
      <c r="E3682" s="8" t="s">
        <v>10912</v>
      </c>
      <c r="F3682" s="8" t="s">
        <v>11044</v>
      </c>
      <c r="G3682" s="34" t="s">
        <v>14</v>
      </c>
      <c r="H3682" s="34" t="str">
        <f>IFERROR(VLOOKUP(Table2[[#This Row], [Ticket]],Okey!A:B,2,0),"")</f>
        <v>ok</v>
      </c>
      <c r="I3682" s="34" t="s">
        <v>8539</v>
      </c>
      <c r="J3682" s="34" t="str">
        <f>VLOOKUP(Table2[[#This Row],[Author]],People!A:B,2,0)</f>
        <v>LS</v>
      </c>
      <c r="K3682" s="34"/>
      <c r="L3682" s="34"/>
      <c r="M3682" s="34" t="s">
        <v>6348</v>
      </c>
    </row>
    <row r="3683" spans="1:13" hidden="1">
      <c r="A3683" s="40">
        <f t="shared" si="61"/>
        <v>3682</v>
      </c>
      <c r="B3683" s="34" t="s">
        <v>8</v>
      </c>
      <c r="C3683" s="34" t="s">
        <v>12782</v>
      </c>
      <c r="D3683" s="8" t="s">
        <v>12829</v>
      </c>
      <c r="E3683" s="8" t="s">
        <v>10914</v>
      </c>
      <c r="F3683" s="8" t="s">
        <v>11045</v>
      </c>
      <c r="G3683" s="34" t="s">
        <v>14</v>
      </c>
      <c r="H3683" s="34" t="str">
        <f>IFERROR(VLOOKUP(Table2[[#This Row], [Ticket]],Okey!A:B,2,0),"")</f>
        <v>ok</v>
      </c>
      <c r="I3683" s="34" t="s">
        <v>8539</v>
      </c>
      <c r="J3683" s="34" t="str">
        <f>VLOOKUP(Table2[[#This Row],[Author]],People!A:B,2,0)</f>
        <v>LS</v>
      </c>
      <c r="K3683" s="34"/>
      <c r="L3683" s="34"/>
      <c r="M3683" s="34" t="s">
        <v>6348</v>
      </c>
    </row>
    <row r="3684" spans="1:13" hidden="1">
      <c r="A3684" s="40">
        <f t="shared" si="61"/>
        <v>3683</v>
      </c>
      <c r="B3684" s="34" t="s">
        <v>8</v>
      </c>
      <c r="C3684" s="34" t="s">
        <v>12782</v>
      </c>
      <c r="D3684" s="8" t="s">
        <v>12830</v>
      </c>
      <c r="E3684" s="8" t="s">
        <v>10915</v>
      </c>
      <c r="F3684" s="8" t="s">
        <v>11046</v>
      </c>
      <c r="G3684" s="34" t="s">
        <v>14</v>
      </c>
      <c r="H3684" s="34" t="str">
        <f>IFERROR(VLOOKUP(Table2[[#This Row], [Ticket]],Okey!A:B,2,0),"")</f>
        <v>ok</v>
      </c>
      <c r="I3684" s="34" t="s">
        <v>8539</v>
      </c>
      <c r="J3684" s="34" t="str">
        <f>VLOOKUP(Table2[[#This Row],[Author]],People!A:B,2,0)</f>
        <v>LS</v>
      </c>
      <c r="K3684" s="34"/>
      <c r="L3684" s="34"/>
      <c r="M3684" s="34" t="s">
        <v>6348</v>
      </c>
    </row>
    <row r="3685" spans="1:13" hidden="1">
      <c r="A3685" s="40">
        <f t="shared" si="61"/>
        <v>3684</v>
      </c>
      <c r="B3685" s="34" t="s">
        <v>8</v>
      </c>
      <c r="C3685" s="34" t="s">
        <v>12782</v>
      </c>
      <c r="D3685" s="8" t="s">
        <v>12831</v>
      </c>
      <c r="E3685" s="8" t="s">
        <v>10916</v>
      </c>
      <c r="F3685" s="8" t="s">
        <v>11047</v>
      </c>
      <c r="G3685" s="34" t="s">
        <v>14</v>
      </c>
      <c r="H3685" s="34" t="str">
        <f>IFERROR(VLOOKUP(Table2[[#This Row], [Ticket]],Okey!A:B,2,0),"")</f>
        <v>ok</v>
      </c>
      <c r="I3685" s="34" t="s">
        <v>8539</v>
      </c>
      <c r="J3685" s="34" t="str">
        <f>VLOOKUP(Table2[[#This Row],[Author]],People!A:B,2,0)</f>
        <v>LS</v>
      </c>
      <c r="K3685" s="34"/>
      <c r="L3685" s="34"/>
      <c r="M3685" s="34" t="s">
        <v>6348</v>
      </c>
    </row>
    <row r="3686" spans="1:13" hidden="1">
      <c r="A3686" s="40">
        <f t="shared" si="61"/>
        <v>3685</v>
      </c>
      <c r="B3686" s="34" t="s">
        <v>8</v>
      </c>
      <c r="C3686" s="34" t="s">
        <v>12782</v>
      </c>
      <c r="D3686" s="8" t="s">
        <v>12832</v>
      </c>
      <c r="E3686" s="8" t="s">
        <v>10917</v>
      </c>
      <c r="F3686" s="8" t="s">
        <v>11048</v>
      </c>
      <c r="G3686" s="34" t="s">
        <v>14</v>
      </c>
      <c r="H3686" s="34" t="str">
        <f>IFERROR(VLOOKUP(Table2[[#This Row], [Ticket]],Okey!A:B,2,0),"")</f>
        <v>ok</v>
      </c>
      <c r="I3686" s="34" t="s">
        <v>8539</v>
      </c>
      <c r="J3686" s="34" t="str">
        <f>VLOOKUP(Table2[[#This Row],[Author]],People!A:B,2,0)</f>
        <v>LS</v>
      </c>
      <c r="K3686" s="34"/>
      <c r="L3686" s="34"/>
      <c r="M3686" s="34" t="s">
        <v>6348</v>
      </c>
    </row>
    <row r="3687" spans="1:13" hidden="1">
      <c r="A3687" s="40">
        <f t="shared" si="61"/>
        <v>3686</v>
      </c>
      <c r="B3687" s="34" t="s">
        <v>8</v>
      </c>
      <c r="C3687" s="8" t="s">
        <v>12836</v>
      </c>
      <c r="D3687" s="34" t="s">
        <v>12837</v>
      </c>
      <c r="E3687" s="8" t="s">
        <v>12833</v>
      </c>
      <c r="F3687" s="8" t="s">
        <v>6106</v>
      </c>
      <c r="G3687" s="34" t="s">
        <v>14</v>
      </c>
      <c r="H3687" s="34" t="str">
        <f>IFERROR(VLOOKUP(Table2[[#This Row], [Ticket]],Okey!A:B,2,0),"")</f>
        <v>ok</v>
      </c>
      <c r="I3687" s="34" t="s">
        <v>8539</v>
      </c>
      <c r="J3687" s="34" t="str">
        <f>VLOOKUP(Table2[[#This Row],[Author]],People!A:B,2,0)</f>
        <v>EL</v>
      </c>
      <c r="K3687" s="34"/>
      <c r="L3687" s="34"/>
      <c r="M3687" s="34" t="s">
        <v>4794</v>
      </c>
    </row>
    <row r="3688" spans="1:13" hidden="1">
      <c r="A3688" s="40">
        <f t="shared" si="61"/>
        <v>3687</v>
      </c>
      <c r="B3688" s="34" t="s">
        <v>8</v>
      </c>
      <c r="C3688" s="34" t="s">
        <v>12836</v>
      </c>
      <c r="D3688" s="34" t="s">
        <v>12838</v>
      </c>
      <c r="E3688" s="8" t="s">
        <v>12834</v>
      </c>
      <c r="F3688" s="8" t="s">
        <v>6106</v>
      </c>
      <c r="G3688" s="34" t="s">
        <v>14</v>
      </c>
      <c r="H3688" s="34" t="str">
        <f>IFERROR(VLOOKUP(Table2[[#This Row], [Ticket]],Okey!A:B,2,0),"")</f>
        <v>ok</v>
      </c>
      <c r="I3688" s="34" t="s">
        <v>8539</v>
      </c>
      <c r="J3688" s="34" t="str">
        <f>VLOOKUP(Table2[[#This Row],[Author]],People!A:B,2,0)</f>
        <v>EL</v>
      </c>
      <c r="K3688" s="34"/>
      <c r="L3688" s="34"/>
      <c r="M3688" s="34" t="s">
        <v>4794</v>
      </c>
    </row>
    <row r="3689" spans="1:13" hidden="1">
      <c r="A3689" s="40">
        <f t="shared" si="61"/>
        <v>3688</v>
      </c>
      <c r="B3689" s="34" t="s">
        <v>8</v>
      </c>
      <c r="C3689" s="34" t="s">
        <v>12836</v>
      </c>
      <c r="D3689" s="34" t="s">
        <v>12839</v>
      </c>
      <c r="E3689" s="8" t="s">
        <v>12835</v>
      </c>
      <c r="F3689" s="8" t="s">
        <v>6106</v>
      </c>
      <c r="G3689" s="34" t="s">
        <v>14</v>
      </c>
      <c r="H3689" s="34" t="str">
        <f>IFERROR(VLOOKUP(Table2[[#This Row], [Ticket]],Okey!A:B,2,0),"")</f>
        <v>ok</v>
      </c>
      <c r="I3689" s="34" t="s">
        <v>8539</v>
      </c>
      <c r="J3689" s="34" t="str">
        <f>VLOOKUP(Table2[[#This Row],[Author]],People!A:B,2,0)</f>
        <v>EL</v>
      </c>
      <c r="K3689" s="34"/>
      <c r="L3689" s="34"/>
      <c r="M3689" s="34" t="s">
        <v>4794</v>
      </c>
    </row>
    <row r="3690" spans="1:13" hidden="1">
      <c r="A3690" s="40">
        <f t="shared" si="61"/>
        <v>3689</v>
      </c>
      <c r="B3690" s="34" t="s">
        <v>8</v>
      </c>
      <c r="C3690" s="8" t="s">
        <v>12852</v>
      </c>
      <c r="D3690" s="34" t="s">
        <v>12855</v>
      </c>
      <c r="E3690" s="8" t="s">
        <v>12841</v>
      </c>
      <c r="F3690" s="8" t="s">
        <v>1113</v>
      </c>
      <c r="G3690" s="34" t="s">
        <v>14</v>
      </c>
      <c r="H3690" s="34" t="str">
        <f>IFERROR(VLOOKUP(Table2[[#This Row], [Ticket]],Okey!A:B,2,0),"")</f>
        <v>ok</v>
      </c>
      <c r="I3690" s="34" t="s">
        <v>8539</v>
      </c>
      <c r="J3690" s="34" t="str">
        <f>VLOOKUP(Table2[[#This Row],[Author]],People!A:B,2,0)</f>
        <v>HC</v>
      </c>
      <c r="L3690" s="34"/>
      <c r="M3690" s="34" t="s">
        <v>9027</v>
      </c>
    </row>
    <row r="3691" spans="1:13" hidden="1">
      <c r="A3691" s="40">
        <f t="shared" si="61"/>
        <v>3690</v>
      </c>
      <c r="B3691" s="34" t="s">
        <v>8</v>
      </c>
      <c r="C3691" s="34" t="s">
        <v>12852</v>
      </c>
      <c r="D3691" s="8" t="s">
        <v>12856</v>
      </c>
      <c r="E3691" s="8" t="s">
        <v>12842</v>
      </c>
      <c r="F3691" s="8" t="s">
        <v>1113</v>
      </c>
      <c r="G3691" s="34" t="s">
        <v>14</v>
      </c>
      <c r="H3691" s="34" t="str">
        <f>IFERROR(VLOOKUP(Table2[[#This Row], [Ticket]],Okey!A:B,2,0),"")</f>
        <v>ok</v>
      </c>
      <c r="I3691" s="34" t="s">
        <v>8539</v>
      </c>
      <c r="J3691" s="34" t="str">
        <f>VLOOKUP(Table2[[#This Row],[Author]],People!A:B,2,0)</f>
        <v>HC</v>
      </c>
      <c r="L3691" s="34"/>
      <c r="M3691" s="34" t="s">
        <v>9027</v>
      </c>
    </row>
    <row r="3692" spans="1:13" hidden="1">
      <c r="A3692" s="40">
        <f t="shared" si="61"/>
        <v>3691</v>
      </c>
      <c r="B3692" s="34" t="s">
        <v>8</v>
      </c>
      <c r="C3692" s="34" t="s">
        <v>12852</v>
      </c>
      <c r="D3692" s="8" t="s">
        <v>12857</v>
      </c>
      <c r="E3692" s="8" t="s">
        <v>12843</v>
      </c>
      <c r="F3692" s="8" t="s">
        <v>12851</v>
      </c>
      <c r="G3692" s="34" t="s">
        <v>14</v>
      </c>
      <c r="H3692" s="34" t="str">
        <f>IFERROR(VLOOKUP(Table2[[#This Row], [Ticket]],Okey!A:B,2,0),"")</f>
        <v>ok</v>
      </c>
      <c r="I3692" s="34" t="s">
        <v>8539</v>
      </c>
      <c r="J3692" s="34" t="str">
        <f>VLOOKUP(Table2[[#This Row],[Author]],People!A:B,2,0)</f>
        <v>HC</v>
      </c>
      <c r="L3692" s="34"/>
      <c r="M3692" s="34" t="s">
        <v>9027</v>
      </c>
    </row>
    <row r="3693" spans="1:13" hidden="1">
      <c r="A3693" s="40">
        <f t="shared" si="61"/>
        <v>3692</v>
      </c>
      <c r="B3693" s="34" t="s">
        <v>8</v>
      </c>
      <c r="C3693" s="34" t="s">
        <v>12852</v>
      </c>
      <c r="D3693" s="8" t="s">
        <v>12858</v>
      </c>
      <c r="E3693" s="8" t="s">
        <v>12844</v>
      </c>
      <c r="F3693" s="8" t="s">
        <v>12851</v>
      </c>
      <c r="G3693" s="34" t="s">
        <v>14</v>
      </c>
      <c r="H3693" s="34" t="str">
        <f>IFERROR(VLOOKUP(Table2[[#This Row], [Ticket]],Okey!A:B,2,0),"")</f>
        <v>ok</v>
      </c>
      <c r="I3693" s="34" t="s">
        <v>8539</v>
      </c>
      <c r="J3693" s="34" t="str">
        <f>VLOOKUP(Table2[[#This Row],[Author]],People!A:B,2,0)</f>
        <v>HC</v>
      </c>
      <c r="L3693" s="34"/>
      <c r="M3693" s="34" t="s">
        <v>9027</v>
      </c>
    </row>
    <row r="3694" spans="1:13" hidden="1">
      <c r="A3694" s="40">
        <f t="shared" si="61"/>
        <v>3693</v>
      </c>
      <c r="B3694" s="34" t="s">
        <v>8</v>
      </c>
      <c r="C3694" s="34" t="s">
        <v>12852</v>
      </c>
      <c r="D3694" s="8" t="s">
        <v>12859</v>
      </c>
      <c r="E3694" s="8" t="s">
        <v>12845</v>
      </c>
      <c r="F3694" s="8" t="s">
        <v>1159</v>
      </c>
      <c r="G3694" s="34" t="s">
        <v>14</v>
      </c>
      <c r="H3694" s="34" t="str">
        <f>IFERROR(VLOOKUP(Table2[[#This Row], [Ticket]],Okey!A:B,2,0),"")</f>
        <v>ok</v>
      </c>
      <c r="I3694" s="34" t="s">
        <v>8539</v>
      </c>
      <c r="J3694" s="34" t="str">
        <f>VLOOKUP(Table2[[#This Row],[Author]],People!A:B,2,0)</f>
        <v>HC</v>
      </c>
      <c r="L3694" s="34"/>
      <c r="M3694" s="34" t="s">
        <v>9027</v>
      </c>
    </row>
    <row r="3695" spans="1:13" hidden="1">
      <c r="A3695" s="40">
        <f t="shared" si="61"/>
        <v>3694</v>
      </c>
      <c r="B3695" s="34" t="s">
        <v>8</v>
      </c>
      <c r="C3695" s="34" t="s">
        <v>12852</v>
      </c>
      <c r="D3695" s="8" t="s">
        <v>12860</v>
      </c>
      <c r="E3695" s="8" t="s">
        <v>12846</v>
      </c>
      <c r="F3695" s="8" t="s">
        <v>1159</v>
      </c>
      <c r="G3695" s="34" t="s">
        <v>14</v>
      </c>
      <c r="H3695" s="34" t="str">
        <f>IFERROR(VLOOKUP(Table2[[#This Row], [Ticket]],Okey!A:B,2,0),"")</f>
        <v>ok</v>
      </c>
      <c r="I3695" s="34" t="s">
        <v>8539</v>
      </c>
      <c r="J3695" s="34" t="str">
        <f>VLOOKUP(Table2[[#This Row],[Author]],People!A:B,2,0)</f>
        <v>HC</v>
      </c>
      <c r="L3695" s="34"/>
      <c r="M3695" s="34" t="s">
        <v>9027</v>
      </c>
    </row>
    <row r="3696" spans="1:13" hidden="1">
      <c r="A3696" s="40">
        <f t="shared" si="61"/>
        <v>3695</v>
      </c>
      <c r="B3696" s="34" t="s">
        <v>8</v>
      </c>
      <c r="C3696" s="34" t="s">
        <v>12852</v>
      </c>
      <c r="D3696" s="8" t="s">
        <v>12861</v>
      </c>
      <c r="E3696" s="8" t="s">
        <v>12847</v>
      </c>
      <c r="F3696" s="8" t="s">
        <v>1168</v>
      </c>
      <c r="G3696" s="34" t="s">
        <v>14</v>
      </c>
      <c r="H3696" s="34" t="str">
        <f>IFERROR(VLOOKUP(Table2[[#This Row], [Ticket]],Okey!A:B,2,0),"")</f>
        <v>ok</v>
      </c>
      <c r="I3696" s="34" t="s">
        <v>8539</v>
      </c>
      <c r="J3696" s="34" t="str">
        <f>VLOOKUP(Table2[[#This Row],[Author]],People!A:B,2,0)</f>
        <v>HC</v>
      </c>
      <c r="L3696" s="34"/>
      <c r="M3696" s="34" t="s">
        <v>9027</v>
      </c>
    </row>
    <row r="3697" spans="1:13" hidden="1">
      <c r="A3697" s="40">
        <f t="shared" si="61"/>
        <v>3696</v>
      </c>
      <c r="B3697" s="34" t="s">
        <v>8</v>
      </c>
      <c r="C3697" s="34" t="s">
        <v>12852</v>
      </c>
      <c r="D3697" s="8" t="s">
        <v>12862</v>
      </c>
      <c r="E3697" s="8" t="s">
        <v>12848</v>
      </c>
      <c r="F3697" s="8" t="s">
        <v>1168</v>
      </c>
      <c r="G3697" s="34" t="s">
        <v>14</v>
      </c>
      <c r="H3697" s="34" t="str">
        <f>IFERROR(VLOOKUP(Table2[[#This Row], [Ticket]],Okey!A:B,2,0),"")</f>
        <v>ok</v>
      </c>
      <c r="I3697" s="34" t="s">
        <v>8539</v>
      </c>
      <c r="J3697" s="34" t="str">
        <f>VLOOKUP(Table2[[#This Row],[Author]],People!A:B,2,0)</f>
        <v>HC</v>
      </c>
      <c r="L3697" s="34"/>
      <c r="M3697" s="34" t="s">
        <v>9027</v>
      </c>
    </row>
    <row r="3698" spans="1:13" hidden="1">
      <c r="A3698" s="40">
        <f t="shared" si="61"/>
        <v>3697</v>
      </c>
      <c r="B3698" s="34" t="s">
        <v>8</v>
      </c>
      <c r="C3698" s="34" t="s">
        <v>12852</v>
      </c>
      <c r="D3698" s="8" t="s">
        <v>12863</v>
      </c>
      <c r="E3698" s="8" t="s">
        <v>12849</v>
      </c>
      <c r="F3698" s="8" t="s">
        <v>1120</v>
      </c>
      <c r="G3698" s="34" t="s">
        <v>14</v>
      </c>
      <c r="H3698" s="34" t="str">
        <f>IFERROR(VLOOKUP(Table2[[#This Row], [Ticket]],Okey!A:B,2,0),"")</f>
        <v>ok</v>
      </c>
      <c r="I3698" s="34" t="s">
        <v>8539</v>
      </c>
      <c r="J3698" s="34" t="str">
        <f>VLOOKUP(Table2[[#This Row],[Author]],People!A:B,2,0)</f>
        <v>HC</v>
      </c>
      <c r="L3698" s="34"/>
      <c r="M3698" s="34" t="s">
        <v>9027</v>
      </c>
    </row>
    <row r="3699" spans="1:13" hidden="1">
      <c r="A3699" s="40">
        <f t="shared" si="61"/>
        <v>3698</v>
      </c>
      <c r="B3699" s="34" t="s">
        <v>8</v>
      </c>
      <c r="C3699" s="34" t="s">
        <v>12852</v>
      </c>
      <c r="D3699" s="8" t="s">
        <v>12864</v>
      </c>
      <c r="E3699" s="8" t="s">
        <v>12850</v>
      </c>
      <c r="F3699" s="8" t="s">
        <v>1120</v>
      </c>
      <c r="G3699" s="34" t="s">
        <v>14</v>
      </c>
      <c r="H3699" s="34" t="str">
        <f>IFERROR(VLOOKUP(Table2[[#This Row], [Ticket]],Okey!A:B,2,0),"")</f>
        <v>ok</v>
      </c>
      <c r="I3699" s="34" t="s">
        <v>8539</v>
      </c>
      <c r="J3699" s="34" t="str">
        <f>VLOOKUP(Table2[[#This Row],[Author]],People!A:B,2,0)</f>
        <v>HC</v>
      </c>
      <c r="L3699" s="34"/>
      <c r="M3699" s="34" t="s">
        <v>9027</v>
      </c>
    </row>
    <row r="3700" spans="1:13" hidden="1">
      <c r="A3700" s="40">
        <f t="shared" si="61"/>
        <v>3699</v>
      </c>
      <c r="B3700" s="34" t="s">
        <v>8</v>
      </c>
      <c r="C3700" s="8" t="s">
        <v>12853</v>
      </c>
      <c r="D3700" s="8" t="s">
        <v>9029</v>
      </c>
      <c r="G3700" s="8" t="s">
        <v>8537</v>
      </c>
      <c r="H3700" s="34" t="str">
        <f>IFERROR(VLOOKUP(Table2[[#This Row], [Ticket]],Okey!A:B,2,0),"")</f>
        <v>ok</v>
      </c>
      <c r="I3700" s="34" t="s">
        <v>8539</v>
      </c>
      <c r="J3700" s="34" t="str">
        <f>VLOOKUP(Table2[[#This Row],[Author]],People!A:B,2,0)</f>
        <v>HC</v>
      </c>
      <c r="L3700" s="34"/>
      <c r="M3700" s="34" t="s">
        <v>9027</v>
      </c>
    </row>
    <row r="3701" spans="1:13" hidden="1">
      <c r="A3701" s="40">
        <f t="shared" si="61"/>
        <v>3700</v>
      </c>
      <c r="B3701" s="34" t="s">
        <v>8</v>
      </c>
      <c r="C3701" s="34" t="s">
        <v>12853</v>
      </c>
      <c r="D3701" s="8" t="s">
        <v>9030</v>
      </c>
      <c r="G3701" s="34" t="s">
        <v>8537</v>
      </c>
      <c r="H3701" s="34" t="str">
        <f>IFERROR(VLOOKUP(Table2[[#This Row], [Ticket]],Okey!A:B,2,0),"")</f>
        <v>ok</v>
      </c>
      <c r="I3701" s="34" t="s">
        <v>8539</v>
      </c>
      <c r="J3701" s="34" t="str">
        <f>VLOOKUP(Table2[[#This Row],[Author]],People!A:B,2,0)</f>
        <v>HC</v>
      </c>
      <c r="L3701" s="34"/>
      <c r="M3701" s="34" t="s">
        <v>9027</v>
      </c>
    </row>
    <row r="3702" spans="1:13" hidden="1">
      <c r="A3702" s="40">
        <f t="shared" si="61"/>
        <v>3701</v>
      </c>
      <c r="B3702" s="34" t="s">
        <v>8</v>
      </c>
      <c r="C3702" s="8" t="s">
        <v>12854</v>
      </c>
      <c r="D3702" s="8" t="s">
        <v>6646</v>
      </c>
      <c r="F3702" s="8" t="s">
        <v>12331</v>
      </c>
      <c r="G3702" s="8" t="s">
        <v>13</v>
      </c>
      <c r="H3702" s="34" t="str">
        <f>IFERROR(VLOOKUP(Table2[[#This Row], [Ticket]],Okey!A:B,2,0),"")</f>
        <v>ok</v>
      </c>
      <c r="I3702" s="34" t="s">
        <v>8539</v>
      </c>
      <c r="J3702" s="34" t="str">
        <f>VLOOKUP(Table2[[#This Row],[Author]],People!A:B,2,0)</f>
        <v>EL</v>
      </c>
      <c r="L3702" s="34"/>
      <c r="M3702" s="34" t="s">
        <v>4794</v>
      </c>
    </row>
    <row r="3703" spans="1:13" hidden="1">
      <c r="A3703" s="40">
        <f t="shared" si="61"/>
        <v>3702</v>
      </c>
      <c r="B3703" s="34" t="s">
        <v>8</v>
      </c>
      <c r="C3703" s="8" t="s">
        <v>12866</v>
      </c>
      <c r="D3703" s="8" t="s">
        <v>12865</v>
      </c>
      <c r="F3703" s="34" t="s">
        <v>6300</v>
      </c>
      <c r="G3703" s="8" t="s">
        <v>14</v>
      </c>
      <c r="H3703" s="34" t="str">
        <f>IFERROR(VLOOKUP(Table2[[#This Row], [Ticket]],Okey!A:B,2,0),"")</f>
        <v>ok</v>
      </c>
      <c r="I3703" s="34" t="s">
        <v>8539</v>
      </c>
      <c r="J3703" s="34" t="str">
        <f>VLOOKUP(Table2[[#This Row],[Author]],People!A:B,2,0)</f>
        <v>LS</v>
      </c>
      <c r="L3703" s="34"/>
      <c r="M3703" s="34" t="s">
        <v>6348</v>
      </c>
    </row>
    <row r="3704" spans="1:13" hidden="1">
      <c r="A3704" s="40">
        <f t="shared" si="61"/>
        <v>3703</v>
      </c>
      <c r="B3704" s="34" t="s">
        <v>8</v>
      </c>
      <c r="C3704" s="8" t="s">
        <v>12884</v>
      </c>
      <c r="D3704" s="8" t="s">
        <v>12886</v>
      </c>
      <c r="E3704" s="8" t="s">
        <v>12867</v>
      </c>
      <c r="F3704" s="8" t="s">
        <v>1151</v>
      </c>
      <c r="G3704" s="34" t="s">
        <v>14</v>
      </c>
      <c r="H3704" s="34" t="str">
        <f>IFERROR(VLOOKUP(Table2[[#This Row], [Ticket]],Okey!A:B,2,0),"")</f>
        <v>ok</v>
      </c>
      <c r="I3704" s="34" t="s">
        <v>8539</v>
      </c>
      <c r="J3704" s="34" t="str">
        <f>VLOOKUP(Table2[[#This Row],[Author]],People!A:B,2,0)</f>
        <v>HC</v>
      </c>
      <c r="K3704" s="34"/>
      <c r="L3704" s="34"/>
      <c r="M3704" s="34" t="s">
        <v>12885</v>
      </c>
    </row>
    <row r="3705" spans="1:13" hidden="1">
      <c r="A3705" s="40">
        <f t="shared" si="61"/>
        <v>3704</v>
      </c>
      <c r="B3705" s="34" t="s">
        <v>8</v>
      </c>
      <c r="C3705" s="34" t="s">
        <v>12884</v>
      </c>
      <c r="D3705" s="8" t="s">
        <v>12887</v>
      </c>
      <c r="E3705" s="8" t="s">
        <v>12868</v>
      </c>
      <c r="F3705" s="34" t="s">
        <v>12886</v>
      </c>
      <c r="G3705" s="34" t="s">
        <v>14</v>
      </c>
      <c r="H3705" s="34" t="str">
        <f>IFERROR(VLOOKUP(Table2[[#This Row], [Ticket]],Okey!A:B,2,0),"")</f>
        <v>ok</v>
      </c>
      <c r="I3705" s="34" t="s">
        <v>8539</v>
      </c>
      <c r="J3705" s="34" t="str">
        <f>VLOOKUP(Table2[[#This Row],[Author]],People!A:B,2,0)</f>
        <v>HC</v>
      </c>
      <c r="K3705" s="34"/>
      <c r="L3705" s="34"/>
      <c r="M3705" s="34" t="s">
        <v>12885</v>
      </c>
    </row>
    <row r="3706" spans="1:13" hidden="1">
      <c r="A3706" s="40">
        <f t="shared" si="61"/>
        <v>3705</v>
      </c>
      <c r="B3706" s="34" t="s">
        <v>8</v>
      </c>
      <c r="C3706" s="34" t="s">
        <v>12884</v>
      </c>
      <c r="D3706" s="8" t="s">
        <v>12888</v>
      </c>
      <c r="E3706" s="8" t="s">
        <v>12869</v>
      </c>
      <c r="F3706" s="34" t="s">
        <v>12886</v>
      </c>
      <c r="G3706" s="34" t="s">
        <v>14</v>
      </c>
      <c r="H3706" s="34" t="str">
        <f>IFERROR(VLOOKUP(Table2[[#This Row], [Ticket]],Okey!A:B,2,0),"")</f>
        <v>ok</v>
      </c>
      <c r="I3706" s="34" t="s">
        <v>8539</v>
      </c>
      <c r="J3706" s="34" t="str">
        <f>VLOOKUP(Table2[[#This Row],[Author]],People!A:B,2,0)</f>
        <v>HC</v>
      </c>
      <c r="K3706" s="34"/>
      <c r="L3706" s="34"/>
      <c r="M3706" s="34" t="s">
        <v>12885</v>
      </c>
    </row>
    <row r="3707" spans="1:13" hidden="1">
      <c r="A3707" s="40">
        <f t="shared" si="61"/>
        <v>3706</v>
      </c>
      <c r="B3707" s="34" t="s">
        <v>8</v>
      </c>
      <c r="C3707" s="34" t="s">
        <v>12884</v>
      </c>
      <c r="D3707" s="8" t="s">
        <v>12889</v>
      </c>
      <c r="E3707" s="8" t="s">
        <v>12870</v>
      </c>
      <c r="F3707" s="34" t="s">
        <v>12886</v>
      </c>
      <c r="G3707" s="34" t="s">
        <v>14</v>
      </c>
      <c r="H3707" s="34" t="str">
        <f>IFERROR(VLOOKUP(Table2[[#This Row], [Ticket]],Okey!A:B,2,0),"")</f>
        <v>ok</v>
      </c>
      <c r="I3707" s="34" t="s">
        <v>8539</v>
      </c>
      <c r="J3707" s="34" t="str">
        <f>VLOOKUP(Table2[[#This Row],[Author]],People!A:B,2,0)</f>
        <v>HC</v>
      </c>
      <c r="K3707" s="34"/>
      <c r="L3707" s="34"/>
      <c r="M3707" s="34" t="s">
        <v>12885</v>
      </c>
    </row>
    <row r="3708" spans="1:13" hidden="1">
      <c r="A3708" s="40">
        <f t="shared" si="61"/>
        <v>3707</v>
      </c>
      <c r="B3708" s="34" t="s">
        <v>8</v>
      </c>
      <c r="C3708" s="34" t="s">
        <v>12884</v>
      </c>
      <c r="D3708" s="8" t="s">
        <v>12890</v>
      </c>
      <c r="E3708" s="8" t="s">
        <v>12871</v>
      </c>
      <c r="F3708" s="34" t="s">
        <v>12886</v>
      </c>
      <c r="G3708" s="34" t="s">
        <v>14</v>
      </c>
      <c r="H3708" s="34" t="str">
        <f>IFERROR(VLOOKUP(Table2[[#This Row], [Ticket]],Okey!A:B,2,0),"")</f>
        <v>ok</v>
      </c>
      <c r="I3708" s="34" t="s">
        <v>8539</v>
      </c>
      <c r="J3708" s="34" t="str">
        <f>VLOOKUP(Table2[[#This Row],[Author]],People!A:B,2,0)</f>
        <v>HC</v>
      </c>
      <c r="K3708" s="34"/>
      <c r="L3708" s="34"/>
      <c r="M3708" s="34" t="s">
        <v>12885</v>
      </c>
    </row>
    <row r="3709" spans="1:13" hidden="1">
      <c r="A3709" s="40">
        <f t="shared" si="61"/>
        <v>3708</v>
      </c>
      <c r="B3709" s="34" t="s">
        <v>8</v>
      </c>
      <c r="C3709" s="34" t="s">
        <v>12884</v>
      </c>
      <c r="D3709" s="8" t="s">
        <v>12891</v>
      </c>
      <c r="E3709" s="8" t="s">
        <v>12872</v>
      </c>
      <c r="F3709" s="34" t="s">
        <v>12887</v>
      </c>
      <c r="G3709" s="34" t="s">
        <v>14</v>
      </c>
      <c r="H3709" s="34" t="str">
        <f>IFERROR(VLOOKUP(Table2[[#This Row], [Ticket]],Okey!A:B,2,0),"")</f>
        <v>ok</v>
      </c>
      <c r="I3709" s="34" t="s">
        <v>8539</v>
      </c>
      <c r="J3709" s="34" t="str">
        <f>VLOOKUP(Table2[[#This Row],[Author]],People!A:B,2,0)</f>
        <v>HC</v>
      </c>
      <c r="K3709" s="34"/>
      <c r="L3709" s="34"/>
      <c r="M3709" s="34" t="s">
        <v>12885</v>
      </c>
    </row>
    <row r="3710" spans="1:13" hidden="1">
      <c r="A3710" s="40">
        <f t="shared" ref="A3710:A3754" si="62">1+A3709</f>
        <v>3709</v>
      </c>
      <c r="B3710" s="34" t="s">
        <v>8</v>
      </c>
      <c r="C3710" s="34" t="s">
        <v>12884</v>
      </c>
      <c r="D3710" s="8" t="s">
        <v>12892</v>
      </c>
      <c r="E3710" s="8" t="s">
        <v>12873</v>
      </c>
      <c r="F3710" s="34" t="s">
        <v>12888</v>
      </c>
      <c r="G3710" s="34" t="s">
        <v>14</v>
      </c>
      <c r="H3710" s="34" t="str">
        <f>IFERROR(VLOOKUP(Table2[[#This Row], [Ticket]],Okey!A:B,2,0),"")</f>
        <v>ok</v>
      </c>
      <c r="I3710" s="34" t="s">
        <v>8539</v>
      </c>
      <c r="J3710" s="34" t="str">
        <f>VLOOKUP(Table2[[#This Row],[Author]],People!A:B,2,0)</f>
        <v>HC</v>
      </c>
      <c r="K3710" s="34"/>
      <c r="L3710" s="34"/>
      <c r="M3710" s="34" t="s">
        <v>12885</v>
      </c>
    </row>
    <row r="3711" spans="1:13" hidden="1">
      <c r="A3711" s="40">
        <f t="shared" si="62"/>
        <v>3710</v>
      </c>
      <c r="B3711" s="34" t="s">
        <v>8</v>
      </c>
      <c r="C3711" s="34" t="s">
        <v>12884</v>
      </c>
      <c r="D3711" s="8" t="s">
        <v>12893</v>
      </c>
      <c r="E3711" s="8" t="s">
        <v>12874</v>
      </c>
      <c r="F3711" s="34" t="s">
        <v>12888</v>
      </c>
      <c r="G3711" s="34" t="s">
        <v>14</v>
      </c>
      <c r="H3711" s="34" t="str">
        <f>IFERROR(VLOOKUP(Table2[[#This Row], [Ticket]],Okey!A:B,2,0),"")</f>
        <v>ok</v>
      </c>
      <c r="I3711" s="34" t="s">
        <v>8539</v>
      </c>
      <c r="J3711" s="34" t="str">
        <f>VLOOKUP(Table2[[#This Row],[Author]],People!A:B,2,0)</f>
        <v>HC</v>
      </c>
      <c r="K3711" s="34"/>
      <c r="L3711" s="34"/>
      <c r="M3711" s="34" t="s">
        <v>12885</v>
      </c>
    </row>
    <row r="3712" spans="1:13" hidden="1">
      <c r="A3712" s="40">
        <f t="shared" si="62"/>
        <v>3711</v>
      </c>
      <c r="B3712" s="34" t="s">
        <v>8</v>
      </c>
      <c r="C3712" s="34" t="s">
        <v>12884</v>
      </c>
      <c r="D3712" s="8" t="s">
        <v>12894</v>
      </c>
      <c r="E3712" s="8" t="s">
        <v>12875</v>
      </c>
      <c r="F3712" s="34" t="s">
        <v>12888</v>
      </c>
      <c r="G3712" s="34" t="s">
        <v>14</v>
      </c>
      <c r="H3712" s="34" t="str">
        <f>IFERROR(VLOOKUP(Table2[[#This Row], [Ticket]],Okey!A:B,2,0),"")</f>
        <v>ok</v>
      </c>
      <c r="I3712" s="34" t="s">
        <v>8539</v>
      </c>
      <c r="J3712" s="34" t="str">
        <f>VLOOKUP(Table2[[#This Row],[Author]],People!A:B,2,0)</f>
        <v>HC</v>
      </c>
      <c r="K3712" s="34"/>
      <c r="L3712" s="34"/>
      <c r="M3712" s="34" t="s">
        <v>12885</v>
      </c>
    </row>
    <row r="3713" spans="1:13" hidden="1">
      <c r="A3713" s="40">
        <f t="shared" si="62"/>
        <v>3712</v>
      </c>
      <c r="B3713" s="34" t="s">
        <v>8</v>
      </c>
      <c r="C3713" s="34" t="s">
        <v>12884</v>
      </c>
      <c r="D3713" s="8" t="s">
        <v>12895</v>
      </c>
      <c r="E3713" s="8" t="s">
        <v>12876</v>
      </c>
      <c r="F3713" s="34" t="s">
        <v>12890</v>
      </c>
      <c r="G3713" s="34" t="s">
        <v>14</v>
      </c>
      <c r="H3713" s="34" t="str">
        <f>IFERROR(VLOOKUP(Table2[[#This Row], [Ticket]],Okey!A:B,2,0),"")</f>
        <v>ok</v>
      </c>
      <c r="I3713" s="34" t="s">
        <v>8539</v>
      </c>
      <c r="J3713" s="34" t="str">
        <f>VLOOKUP(Table2[[#This Row],[Author]],People!A:B,2,0)</f>
        <v>HC</v>
      </c>
      <c r="K3713" s="34"/>
      <c r="L3713" s="34"/>
      <c r="M3713" s="34" t="s">
        <v>12885</v>
      </c>
    </row>
    <row r="3714" spans="1:13" hidden="1">
      <c r="A3714" s="40">
        <f t="shared" si="62"/>
        <v>3713</v>
      </c>
      <c r="B3714" s="34" t="s">
        <v>8</v>
      </c>
      <c r="C3714" s="34" t="s">
        <v>12884</v>
      </c>
      <c r="D3714" s="8" t="s">
        <v>12896</v>
      </c>
      <c r="E3714" s="8" t="s">
        <v>12877</v>
      </c>
      <c r="F3714" s="34" t="s">
        <v>12889</v>
      </c>
      <c r="G3714" s="34" t="s">
        <v>14</v>
      </c>
      <c r="H3714" s="34" t="str">
        <f>IFERROR(VLOOKUP(Table2[[#This Row], [Ticket]],Okey!A:B,2,0),"")</f>
        <v>ok</v>
      </c>
      <c r="I3714" s="34" t="s">
        <v>8539</v>
      </c>
      <c r="J3714" s="34" t="str">
        <f>VLOOKUP(Table2[[#This Row],[Author]],People!A:B,2,0)</f>
        <v>HC</v>
      </c>
      <c r="K3714" s="34"/>
      <c r="L3714" s="34"/>
      <c r="M3714" s="34" t="s">
        <v>12885</v>
      </c>
    </row>
    <row r="3715" spans="1:13" hidden="1">
      <c r="A3715" s="40">
        <f t="shared" si="62"/>
        <v>3714</v>
      </c>
      <c r="B3715" s="34" t="s">
        <v>8</v>
      </c>
      <c r="C3715" s="34" t="s">
        <v>12884</v>
      </c>
      <c r="D3715" s="8" t="s">
        <v>12897</v>
      </c>
      <c r="E3715" s="8" t="s">
        <v>12878</v>
      </c>
      <c r="F3715" s="34" t="s">
        <v>12891</v>
      </c>
      <c r="G3715" s="34" t="s">
        <v>14</v>
      </c>
      <c r="H3715" s="34" t="str">
        <f>IFERROR(VLOOKUP(Table2[[#This Row], [Ticket]],Okey!A:B,2,0),"")</f>
        <v>ok</v>
      </c>
      <c r="I3715" s="34" t="s">
        <v>8539</v>
      </c>
      <c r="J3715" s="34" t="str">
        <f>VLOOKUP(Table2[[#This Row],[Author]],People!A:B,2,0)</f>
        <v>HC</v>
      </c>
      <c r="K3715" s="34"/>
      <c r="L3715" s="34"/>
      <c r="M3715" s="34" t="s">
        <v>12885</v>
      </c>
    </row>
    <row r="3716" spans="1:13" hidden="1">
      <c r="A3716" s="40">
        <f t="shared" si="62"/>
        <v>3715</v>
      </c>
      <c r="B3716" s="34" t="s">
        <v>8</v>
      </c>
      <c r="C3716" s="34" t="s">
        <v>12884</v>
      </c>
      <c r="D3716" s="8" t="s">
        <v>12898</v>
      </c>
      <c r="E3716" s="8" t="s">
        <v>12879</v>
      </c>
      <c r="F3716" s="34" t="s">
        <v>12897</v>
      </c>
      <c r="G3716" s="34" t="s">
        <v>14</v>
      </c>
      <c r="H3716" s="34" t="str">
        <f>IFERROR(VLOOKUP(Table2[[#This Row], [Ticket]],Okey!A:B,2,0),"")</f>
        <v>ok</v>
      </c>
      <c r="I3716" s="34" t="s">
        <v>8539</v>
      </c>
      <c r="J3716" s="34" t="str">
        <f>VLOOKUP(Table2[[#This Row],[Author]],People!A:B,2,0)</f>
        <v>HC</v>
      </c>
      <c r="K3716" s="34"/>
      <c r="L3716" s="34"/>
      <c r="M3716" s="34" t="s">
        <v>12885</v>
      </c>
    </row>
    <row r="3717" spans="1:13" hidden="1">
      <c r="A3717" s="40">
        <f t="shared" si="62"/>
        <v>3716</v>
      </c>
      <c r="B3717" s="34" t="s">
        <v>8</v>
      </c>
      <c r="C3717" s="34" t="s">
        <v>12884</v>
      </c>
      <c r="D3717" s="8" t="s">
        <v>12899</v>
      </c>
      <c r="E3717" s="8" t="s">
        <v>12880</v>
      </c>
      <c r="F3717" s="34" t="s">
        <v>12897</v>
      </c>
      <c r="G3717" s="34" t="s">
        <v>14</v>
      </c>
      <c r="H3717" s="34" t="str">
        <f>IFERROR(VLOOKUP(Table2[[#This Row], [Ticket]],Okey!A:B,2,0),"")</f>
        <v>ok</v>
      </c>
      <c r="I3717" s="34" t="s">
        <v>8539</v>
      </c>
      <c r="J3717" s="34" t="str">
        <f>VLOOKUP(Table2[[#This Row],[Author]],People!A:B,2,0)</f>
        <v>HC</v>
      </c>
      <c r="K3717" s="34"/>
      <c r="L3717" s="34"/>
      <c r="M3717" s="34" t="s">
        <v>12885</v>
      </c>
    </row>
    <row r="3718" spans="1:13" hidden="1">
      <c r="A3718" s="40">
        <f t="shared" si="62"/>
        <v>3717</v>
      </c>
      <c r="B3718" s="34" t="s">
        <v>8</v>
      </c>
      <c r="C3718" s="34" t="s">
        <v>12884</v>
      </c>
      <c r="D3718" s="8" t="s">
        <v>12900</v>
      </c>
      <c r="E3718" s="8" t="s">
        <v>12881</v>
      </c>
      <c r="F3718" s="34" t="s">
        <v>12897</v>
      </c>
      <c r="G3718" s="34" t="s">
        <v>14</v>
      </c>
      <c r="H3718" s="34" t="str">
        <f>IFERROR(VLOOKUP(Table2[[#This Row], [Ticket]],Okey!A:B,2,0),"")</f>
        <v>ok</v>
      </c>
      <c r="I3718" s="34" t="s">
        <v>8539</v>
      </c>
      <c r="J3718" s="34" t="str">
        <f>VLOOKUP(Table2[[#This Row],[Author]],People!A:B,2,0)</f>
        <v>HC</v>
      </c>
      <c r="K3718" s="34"/>
      <c r="L3718" s="34"/>
      <c r="M3718" s="34" t="s">
        <v>12885</v>
      </c>
    </row>
    <row r="3719" spans="1:13" hidden="1">
      <c r="A3719" s="40">
        <f t="shared" si="62"/>
        <v>3718</v>
      </c>
      <c r="B3719" s="34" t="s">
        <v>8</v>
      </c>
      <c r="C3719" s="34" t="s">
        <v>12884</v>
      </c>
      <c r="D3719" s="8" t="s">
        <v>12901</v>
      </c>
      <c r="E3719" s="8" t="s">
        <v>12882</v>
      </c>
      <c r="F3719" s="34" t="s">
        <v>12897</v>
      </c>
      <c r="G3719" s="34" t="s">
        <v>14</v>
      </c>
      <c r="H3719" s="34" t="str">
        <f>IFERROR(VLOOKUP(Table2[[#This Row], [Ticket]],Okey!A:B,2,0),"")</f>
        <v>ok</v>
      </c>
      <c r="I3719" s="34" t="s">
        <v>8539</v>
      </c>
      <c r="J3719" s="34" t="str">
        <f>VLOOKUP(Table2[[#This Row],[Author]],People!A:B,2,0)</f>
        <v>HC</v>
      </c>
      <c r="K3719" s="34"/>
      <c r="L3719" s="34"/>
      <c r="M3719" s="34" t="s">
        <v>12885</v>
      </c>
    </row>
    <row r="3720" spans="1:13" hidden="1">
      <c r="A3720" s="40">
        <f t="shared" si="62"/>
        <v>3719</v>
      </c>
      <c r="B3720" s="34" t="s">
        <v>8</v>
      </c>
      <c r="C3720" s="34" t="s">
        <v>12884</v>
      </c>
      <c r="D3720" s="8" t="s">
        <v>12902</v>
      </c>
      <c r="E3720" s="8" t="s">
        <v>12883</v>
      </c>
      <c r="F3720" s="8" t="s">
        <v>1151</v>
      </c>
      <c r="G3720" s="34" t="s">
        <v>14</v>
      </c>
      <c r="H3720" s="34" t="str">
        <f>IFERROR(VLOOKUP(Table2[[#This Row], [Ticket]],Okey!A:B,2,0),"")</f>
        <v>ok</v>
      </c>
      <c r="I3720" s="34" t="s">
        <v>8539</v>
      </c>
      <c r="J3720" s="34" t="str">
        <f>VLOOKUP(Table2[[#This Row],[Author]],People!A:B,2,0)</f>
        <v>HC</v>
      </c>
      <c r="K3720" s="34"/>
      <c r="L3720" s="34"/>
      <c r="M3720" s="34" t="s">
        <v>12885</v>
      </c>
    </row>
    <row r="3721" spans="1:13" hidden="1">
      <c r="A3721" s="40">
        <f t="shared" si="62"/>
        <v>3720</v>
      </c>
      <c r="B3721" s="34" t="s">
        <v>8</v>
      </c>
      <c r="C3721" s="8" t="s">
        <v>12905</v>
      </c>
      <c r="D3721" s="8" t="s">
        <v>12921</v>
      </c>
      <c r="E3721" s="8" t="s">
        <v>12903</v>
      </c>
      <c r="F3721" s="8" t="s">
        <v>1688</v>
      </c>
      <c r="G3721" s="34" t="s">
        <v>14</v>
      </c>
      <c r="H3721" s="34" t="str">
        <f>IFERROR(VLOOKUP(Table2[[#This Row], [Ticket]],Okey!A:B,2,0),"")</f>
        <v>ok</v>
      </c>
      <c r="I3721" s="34" t="s">
        <v>8539</v>
      </c>
      <c r="J3721" s="34" t="str">
        <f>VLOOKUP(Table2[[#This Row],[Author]],People!A:B,2,0)</f>
        <v>HC</v>
      </c>
      <c r="K3721" s="34"/>
      <c r="L3721" s="34"/>
      <c r="M3721" s="34" t="s">
        <v>12132</v>
      </c>
    </row>
    <row r="3722" spans="1:13" hidden="1">
      <c r="A3722" s="40">
        <f t="shared" si="62"/>
        <v>3721</v>
      </c>
      <c r="B3722" s="34" t="s">
        <v>8</v>
      </c>
      <c r="C3722" s="34" t="s">
        <v>12905</v>
      </c>
      <c r="D3722" s="8" t="s">
        <v>12922</v>
      </c>
      <c r="E3722" s="8" t="s">
        <v>12904</v>
      </c>
      <c r="F3722" s="34" t="s">
        <v>1688</v>
      </c>
      <c r="G3722" s="34" t="s">
        <v>14</v>
      </c>
      <c r="H3722" s="34" t="str">
        <f>IFERROR(VLOOKUP(Table2[[#This Row], [Ticket]],Okey!A:B,2,0),"")</f>
        <v>ok</v>
      </c>
      <c r="I3722" s="34" t="s">
        <v>8539</v>
      </c>
      <c r="J3722" s="34" t="str">
        <f>VLOOKUP(Table2[[#This Row],[Author]],People!A:B,2,0)</f>
        <v>HC</v>
      </c>
      <c r="K3722" s="34"/>
      <c r="L3722" s="34"/>
      <c r="M3722" s="34" t="s">
        <v>12132</v>
      </c>
    </row>
    <row r="3723" spans="1:13" hidden="1">
      <c r="A3723" s="40">
        <f t="shared" si="62"/>
        <v>3722</v>
      </c>
      <c r="B3723" s="34" t="s">
        <v>8</v>
      </c>
      <c r="C3723" s="34" t="s">
        <v>12905</v>
      </c>
      <c r="D3723" s="8" t="s">
        <v>12923</v>
      </c>
      <c r="E3723" s="8" t="s">
        <v>9626</v>
      </c>
      <c r="F3723" s="34" t="s">
        <v>12921</v>
      </c>
      <c r="G3723" s="34" t="s">
        <v>14</v>
      </c>
      <c r="H3723" s="34" t="str">
        <f>IFERROR(VLOOKUP(Table2[[#This Row], [Ticket]],Okey!A:B,2,0),"")</f>
        <v>ok</v>
      </c>
      <c r="I3723" s="34" t="s">
        <v>8539</v>
      </c>
      <c r="J3723" s="34" t="str">
        <f>VLOOKUP(Table2[[#This Row],[Author]],People!A:B,2,0)</f>
        <v>HC</v>
      </c>
      <c r="K3723" s="34"/>
      <c r="L3723" s="34"/>
      <c r="M3723" s="34" t="s">
        <v>12132</v>
      </c>
    </row>
    <row r="3724" spans="1:13" hidden="1">
      <c r="A3724" s="40">
        <f t="shared" si="62"/>
        <v>3723</v>
      </c>
      <c r="B3724" s="34" t="s">
        <v>8</v>
      </c>
      <c r="C3724" s="34" t="s">
        <v>12905</v>
      </c>
      <c r="D3724" s="8" t="s">
        <v>12924</v>
      </c>
      <c r="E3724" s="8" t="s">
        <v>9626</v>
      </c>
      <c r="F3724" s="34" t="s">
        <v>12922</v>
      </c>
      <c r="G3724" s="34" t="s">
        <v>14</v>
      </c>
      <c r="H3724" s="34" t="str">
        <f>IFERROR(VLOOKUP(Table2[[#This Row], [Ticket]],Okey!A:B,2,0),"")</f>
        <v>ok</v>
      </c>
      <c r="I3724" s="34" t="s">
        <v>8539</v>
      </c>
      <c r="J3724" s="34" t="str">
        <f>VLOOKUP(Table2[[#This Row],[Author]],People!A:B,2,0)</f>
        <v>HC</v>
      </c>
      <c r="K3724" s="34"/>
      <c r="L3724" s="34"/>
      <c r="M3724" s="34" t="s">
        <v>12132</v>
      </c>
    </row>
    <row r="3725" spans="1:13" hidden="1">
      <c r="A3725" s="40">
        <f t="shared" si="62"/>
        <v>3724</v>
      </c>
      <c r="B3725" s="34" t="s">
        <v>8</v>
      </c>
      <c r="C3725" s="8" t="s">
        <v>12906</v>
      </c>
      <c r="D3725" s="8" t="s">
        <v>12925</v>
      </c>
      <c r="E3725" s="8" t="s">
        <v>12907</v>
      </c>
      <c r="F3725" s="8" t="s">
        <v>990</v>
      </c>
      <c r="G3725" s="34" t="s">
        <v>14</v>
      </c>
      <c r="H3725" s="34" t="str">
        <f>IFERROR(VLOOKUP(Table2[[#This Row], [Ticket]],Okey!A:B,2,0),"")</f>
        <v>ok</v>
      </c>
      <c r="I3725" s="34" t="s">
        <v>8539</v>
      </c>
      <c r="J3725" s="34" t="str">
        <f>VLOOKUP(Table2[[#This Row],[Author]],People!A:B,2,0)</f>
        <v>HC</v>
      </c>
      <c r="K3725" s="34"/>
      <c r="L3725" s="34"/>
      <c r="M3725" s="34" t="s">
        <v>8137</v>
      </c>
    </row>
    <row r="3726" spans="1:13" hidden="1">
      <c r="A3726" s="40">
        <f t="shared" si="62"/>
        <v>3725</v>
      </c>
      <c r="B3726" s="34" t="s">
        <v>8</v>
      </c>
      <c r="C3726" s="34" t="s">
        <v>12906</v>
      </c>
      <c r="D3726" s="8" t="s">
        <v>12926</v>
      </c>
      <c r="E3726" s="8" t="s">
        <v>12908</v>
      </c>
      <c r="F3726" s="8" t="s">
        <v>990</v>
      </c>
      <c r="G3726" s="34" t="s">
        <v>14</v>
      </c>
      <c r="H3726" s="34" t="str">
        <f>IFERROR(VLOOKUP(Table2[[#This Row], [Ticket]],Okey!A:B,2,0),"")</f>
        <v>ok</v>
      </c>
      <c r="I3726" s="34" t="s">
        <v>8539</v>
      </c>
      <c r="J3726" s="34" t="str">
        <f>VLOOKUP(Table2[[#This Row],[Author]],People!A:B,2,0)</f>
        <v>HC</v>
      </c>
      <c r="K3726" s="34"/>
      <c r="L3726" s="34"/>
      <c r="M3726" s="34" t="s">
        <v>8137</v>
      </c>
    </row>
    <row r="3727" spans="1:13" hidden="1">
      <c r="A3727" s="40">
        <f t="shared" si="62"/>
        <v>3726</v>
      </c>
      <c r="B3727" s="34" t="s">
        <v>8</v>
      </c>
      <c r="C3727" s="34" t="s">
        <v>12906</v>
      </c>
      <c r="D3727" s="8" t="s">
        <v>12927</v>
      </c>
      <c r="E3727" s="8" t="s">
        <v>12909</v>
      </c>
      <c r="F3727" s="8" t="s">
        <v>990</v>
      </c>
      <c r="G3727" s="34" t="s">
        <v>14</v>
      </c>
      <c r="H3727" s="34" t="str">
        <f>IFERROR(VLOOKUP(Table2[[#This Row], [Ticket]],Okey!A:B,2,0),"")</f>
        <v>ok</v>
      </c>
      <c r="I3727" s="34" t="s">
        <v>8539</v>
      </c>
      <c r="J3727" s="34" t="str">
        <f>VLOOKUP(Table2[[#This Row],[Author]],People!A:B,2,0)</f>
        <v>HC</v>
      </c>
      <c r="K3727" s="34"/>
      <c r="L3727" s="34"/>
      <c r="M3727" s="34" t="s">
        <v>8137</v>
      </c>
    </row>
    <row r="3728" spans="1:13" hidden="1">
      <c r="A3728" s="40">
        <f t="shared" si="62"/>
        <v>3727</v>
      </c>
      <c r="B3728" s="34" t="s">
        <v>8</v>
      </c>
      <c r="C3728" s="34" t="s">
        <v>12906</v>
      </c>
      <c r="D3728" s="8" t="s">
        <v>12928</v>
      </c>
      <c r="E3728" s="8" t="s">
        <v>12910</v>
      </c>
      <c r="F3728" s="8" t="s">
        <v>990</v>
      </c>
      <c r="G3728" s="34" t="s">
        <v>14</v>
      </c>
      <c r="H3728" s="34" t="str">
        <f>IFERROR(VLOOKUP(Table2[[#This Row], [Ticket]],Okey!A:B,2,0),"")</f>
        <v>ok</v>
      </c>
      <c r="I3728" s="34" t="s">
        <v>8539</v>
      </c>
      <c r="J3728" s="34" t="str">
        <f>VLOOKUP(Table2[[#This Row],[Author]],People!A:B,2,0)</f>
        <v>HC</v>
      </c>
      <c r="K3728" s="34"/>
      <c r="L3728" s="34"/>
      <c r="M3728" s="34" t="s">
        <v>8137</v>
      </c>
    </row>
    <row r="3729" spans="1:13" hidden="1">
      <c r="A3729" s="40">
        <f t="shared" si="62"/>
        <v>3728</v>
      </c>
      <c r="B3729" s="34" t="s">
        <v>8</v>
      </c>
      <c r="C3729" s="34" t="s">
        <v>12906</v>
      </c>
      <c r="D3729" s="8" t="s">
        <v>12929</v>
      </c>
      <c r="E3729" s="8" t="s">
        <v>12911</v>
      </c>
      <c r="F3729" s="8" t="s">
        <v>990</v>
      </c>
      <c r="G3729" s="34" t="s">
        <v>14</v>
      </c>
      <c r="H3729" s="34" t="str">
        <f>IFERROR(VLOOKUP(Table2[[#This Row], [Ticket]],Okey!A:B,2,0),"")</f>
        <v>ok</v>
      </c>
      <c r="I3729" s="34" t="s">
        <v>8539</v>
      </c>
      <c r="J3729" s="34" t="str">
        <f>VLOOKUP(Table2[[#This Row],[Author]],People!A:B,2,0)</f>
        <v>HC</v>
      </c>
      <c r="K3729" s="34"/>
      <c r="L3729" s="34"/>
      <c r="M3729" s="34" t="s">
        <v>8137</v>
      </c>
    </row>
    <row r="3730" spans="1:13" hidden="1">
      <c r="A3730" s="40">
        <f t="shared" si="62"/>
        <v>3729</v>
      </c>
      <c r="B3730" s="34" t="s">
        <v>8</v>
      </c>
      <c r="C3730" s="34" t="s">
        <v>12906</v>
      </c>
      <c r="D3730" s="8" t="s">
        <v>12930</v>
      </c>
      <c r="E3730" s="8" t="s">
        <v>12912</v>
      </c>
      <c r="F3730" s="8" t="s">
        <v>990</v>
      </c>
      <c r="G3730" s="34" t="s">
        <v>14</v>
      </c>
      <c r="H3730" s="34" t="str">
        <f>IFERROR(VLOOKUP(Table2[[#This Row], [Ticket]],Okey!A:B,2,0),"")</f>
        <v>ok</v>
      </c>
      <c r="I3730" s="34" t="s">
        <v>8539</v>
      </c>
      <c r="J3730" s="34" t="str">
        <f>VLOOKUP(Table2[[#This Row],[Author]],People!A:B,2,0)</f>
        <v>HC</v>
      </c>
      <c r="K3730" s="34"/>
      <c r="L3730" s="34"/>
      <c r="M3730" s="34" t="s">
        <v>8137</v>
      </c>
    </row>
    <row r="3731" spans="1:13" hidden="1">
      <c r="A3731" s="40">
        <f t="shared" si="62"/>
        <v>3730</v>
      </c>
      <c r="B3731" s="34" t="s">
        <v>8</v>
      </c>
      <c r="C3731" s="34" t="s">
        <v>12906</v>
      </c>
      <c r="D3731" s="8" t="s">
        <v>990</v>
      </c>
      <c r="E3731" s="8" t="s">
        <v>12913</v>
      </c>
      <c r="G3731" s="8" t="s">
        <v>15</v>
      </c>
      <c r="H3731" s="34" t="str">
        <f>IFERROR(VLOOKUP(Table2[[#This Row], [Ticket]],Okey!A:B,2,0),"")</f>
        <v>ok</v>
      </c>
      <c r="I3731" s="34" t="s">
        <v>8539</v>
      </c>
      <c r="J3731" s="34" t="str">
        <f>VLOOKUP(Table2[[#This Row],[Author]],People!A:B,2,0)</f>
        <v>HC</v>
      </c>
      <c r="L3731" s="34"/>
      <c r="M3731" s="34" t="s">
        <v>8137</v>
      </c>
    </row>
    <row r="3732" spans="1:13" hidden="1">
      <c r="A3732" s="40">
        <f t="shared" si="62"/>
        <v>3731</v>
      </c>
      <c r="B3732" s="34" t="s">
        <v>8</v>
      </c>
      <c r="C3732" s="8" t="s">
        <v>12914</v>
      </c>
      <c r="D3732" s="8" t="s">
        <v>12931</v>
      </c>
      <c r="E3732" s="8" t="s">
        <v>12915</v>
      </c>
      <c r="F3732" s="8" t="s">
        <v>5418</v>
      </c>
      <c r="G3732" s="34" t="s">
        <v>14</v>
      </c>
      <c r="H3732" s="34" t="str">
        <f>IFERROR(VLOOKUP(Table2[[#This Row], [Ticket]],Okey!A:B,2,0),"")</f>
        <v>ok</v>
      </c>
      <c r="I3732" s="34" t="s">
        <v>8539</v>
      </c>
      <c r="J3732" s="34" t="str">
        <f>VLOOKUP(Table2[[#This Row],[Author]],People!A:B,2,0)</f>
        <v>HC</v>
      </c>
      <c r="K3732" s="34"/>
      <c r="L3732" s="34"/>
      <c r="M3732" s="34" t="s">
        <v>4787</v>
      </c>
    </row>
    <row r="3733" spans="1:13" hidden="1">
      <c r="A3733" s="40">
        <f t="shared" si="62"/>
        <v>3732</v>
      </c>
      <c r="B3733" s="34" t="s">
        <v>8</v>
      </c>
      <c r="C3733" s="34" t="s">
        <v>12914</v>
      </c>
      <c r="D3733" s="8" t="s">
        <v>12932</v>
      </c>
      <c r="E3733" s="8" t="s">
        <v>12916</v>
      </c>
      <c r="F3733" s="8" t="s">
        <v>5421</v>
      </c>
      <c r="G3733" s="34" t="s">
        <v>14</v>
      </c>
      <c r="H3733" s="34" t="str">
        <f>IFERROR(VLOOKUP(Table2[[#This Row], [Ticket]],Okey!A:B,2,0),"")</f>
        <v>ok</v>
      </c>
      <c r="I3733" s="34" t="s">
        <v>8539</v>
      </c>
      <c r="J3733" s="34" t="str">
        <f>VLOOKUP(Table2[[#This Row],[Author]],People!A:B,2,0)</f>
        <v>HC</v>
      </c>
      <c r="K3733" s="34"/>
      <c r="L3733" s="34"/>
      <c r="M3733" s="34" t="s">
        <v>4787</v>
      </c>
    </row>
    <row r="3734" spans="1:13" hidden="1">
      <c r="A3734" s="40">
        <f t="shared" si="62"/>
        <v>3733</v>
      </c>
      <c r="B3734" s="34" t="s">
        <v>8</v>
      </c>
      <c r="C3734" s="34" t="s">
        <v>12914</v>
      </c>
      <c r="D3734" s="8" t="s">
        <v>12933</v>
      </c>
      <c r="E3734" s="8" t="s">
        <v>12917</v>
      </c>
      <c r="F3734" s="8" t="s">
        <v>5424</v>
      </c>
      <c r="G3734" s="34" t="s">
        <v>14</v>
      </c>
      <c r="H3734" s="34" t="str">
        <f>IFERROR(VLOOKUP(Table2[[#This Row], [Ticket]],Okey!A:B,2,0),"")</f>
        <v>ok</v>
      </c>
      <c r="I3734" s="34" t="s">
        <v>8539</v>
      </c>
      <c r="J3734" s="34" t="str">
        <f>VLOOKUP(Table2[[#This Row],[Author]],People!A:B,2,0)</f>
        <v>HC</v>
      </c>
      <c r="K3734" s="34"/>
      <c r="L3734" s="34"/>
      <c r="M3734" s="34" t="s">
        <v>4787</v>
      </c>
    </row>
    <row r="3735" spans="1:13" hidden="1">
      <c r="A3735" s="40">
        <f t="shared" si="62"/>
        <v>3734</v>
      </c>
      <c r="B3735" s="34" t="s">
        <v>8</v>
      </c>
      <c r="C3735" s="34" t="s">
        <v>12914</v>
      </c>
      <c r="D3735" s="8" t="s">
        <v>12934</v>
      </c>
      <c r="E3735" s="8" t="s">
        <v>12918</v>
      </c>
      <c r="F3735" s="8" t="s">
        <v>5418</v>
      </c>
      <c r="G3735" s="34" t="s">
        <v>14</v>
      </c>
      <c r="H3735" s="34" t="str">
        <f>IFERROR(VLOOKUP(Table2[[#This Row], [Ticket]],Okey!A:B,2,0),"")</f>
        <v>ok</v>
      </c>
      <c r="I3735" s="34" t="s">
        <v>8539</v>
      </c>
      <c r="J3735" s="34" t="str">
        <f>VLOOKUP(Table2[[#This Row],[Author]],People!A:B,2,0)</f>
        <v>HC</v>
      </c>
      <c r="K3735" s="34"/>
      <c r="L3735" s="34"/>
      <c r="M3735" s="34" t="s">
        <v>4787</v>
      </c>
    </row>
    <row r="3736" spans="1:13" hidden="1">
      <c r="A3736" s="40">
        <f t="shared" si="62"/>
        <v>3735</v>
      </c>
      <c r="B3736" s="34" t="s">
        <v>8</v>
      </c>
      <c r="C3736" s="34" t="s">
        <v>12914</v>
      </c>
      <c r="D3736" s="8" t="s">
        <v>12935</v>
      </c>
      <c r="E3736" s="8" t="s">
        <v>12919</v>
      </c>
      <c r="F3736" s="8" t="s">
        <v>5421</v>
      </c>
      <c r="G3736" s="34" t="s">
        <v>14</v>
      </c>
      <c r="H3736" s="34" t="str">
        <f>IFERROR(VLOOKUP(Table2[[#This Row], [Ticket]],Okey!A:B,2,0),"")</f>
        <v>ok</v>
      </c>
      <c r="I3736" s="34" t="s">
        <v>8539</v>
      </c>
      <c r="J3736" s="34" t="str">
        <f>VLOOKUP(Table2[[#This Row],[Author]],People!A:B,2,0)</f>
        <v>HC</v>
      </c>
      <c r="K3736" s="34"/>
      <c r="L3736" s="34"/>
      <c r="M3736" s="34" t="s">
        <v>4787</v>
      </c>
    </row>
    <row r="3737" spans="1:13" hidden="1">
      <c r="A3737" s="40">
        <f t="shared" si="62"/>
        <v>3736</v>
      </c>
      <c r="B3737" s="34" t="s">
        <v>8</v>
      </c>
      <c r="C3737" s="34" t="s">
        <v>12914</v>
      </c>
      <c r="D3737" s="8" t="s">
        <v>12936</v>
      </c>
      <c r="E3737" s="8" t="s">
        <v>12920</v>
      </c>
      <c r="F3737" s="8" t="s">
        <v>5424</v>
      </c>
      <c r="G3737" s="34" t="s">
        <v>14</v>
      </c>
      <c r="H3737" s="34" t="str">
        <f>IFERROR(VLOOKUP(Table2[[#This Row], [Ticket]],Okey!A:B,2,0),"")</f>
        <v>ok</v>
      </c>
      <c r="I3737" s="34" t="s">
        <v>8539</v>
      </c>
      <c r="J3737" s="34" t="str">
        <f>VLOOKUP(Table2[[#This Row],[Author]],People!A:B,2,0)</f>
        <v>HC</v>
      </c>
      <c r="K3737" s="34"/>
      <c r="L3737" s="34"/>
      <c r="M3737" s="34" t="s">
        <v>4787</v>
      </c>
    </row>
    <row r="3738" spans="1:13">
      <c r="A3738" s="40">
        <f t="shared" si="62"/>
        <v>3737</v>
      </c>
      <c r="B3738" s="34" t="s">
        <v>8</v>
      </c>
      <c r="C3738" s="8" t="s">
        <v>12937</v>
      </c>
      <c r="D3738" s="8" t="s">
        <v>9691</v>
      </c>
      <c r="E3738" s="8" t="s">
        <v>12938</v>
      </c>
      <c r="G3738" s="34" t="s">
        <v>15</v>
      </c>
      <c r="H3738" s="34" t="str">
        <f>IFERROR(VLOOKUP(Table2[[#This Row], [Ticket]],Okey!A:B,2,0),"")</f>
        <v/>
      </c>
      <c r="I3738" s="34" t="s">
        <v>12962</v>
      </c>
      <c r="J3738" s="34" t="str">
        <f>VLOOKUP(Table2[[#This Row],[Author]],People!A:B,2,0)</f>
        <v>HC</v>
      </c>
      <c r="L3738" s="34"/>
      <c r="M3738" s="34" t="s">
        <v>12132</v>
      </c>
    </row>
    <row r="3739" spans="1:13">
      <c r="A3739" s="40">
        <f t="shared" si="62"/>
        <v>3738</v>
      </c>
      <c r="B3739" s="34" t="s">
        <v>8</v>
      </c>
      <c r="C3739" s="34" t="s">
        <v>12937</v>
      </c>
      <c r="D3739" s="8" t="s">
        <v>9694</v>
      </c>
      <c r="E3739" s="8" t="s">
        <v>12939</v>
      </c>
      <c r="G3739" s="34" t="s">
        <v>15</v>
      </c>
      <c r="H3739" s="34" t="str">
        <f>IFERROR(VLOOKUP(Table2[[#This Row], [Ticket]],Okey!A:B,2,0),"")</f>
        <v/>
      </c>
      <c r="I3739" s="34" t="s">
        <v>12962</v>
      </c>
      <c r="J3739" s="34" t="str">
        <f>VLOOKUP(Table2[[#This Row],[Author]],People!A:B,2,0)</f>
        <v>HC</v>
      </c>
      <c r="K3739" s="34"/>
      <c r="L3739" s="34"/>
      <c r="M3739" s="34" t="s">
        <v>12132</v>
      </c>
    </row>
    <row r="3740" spans="1:13">
      <c r="A3740" s="40">
        <f t="shared" si="62"/>
        <v>3739</v>
      </c>
      <c r="B3740" s="34" t="s">
        <v>8</v>
      </c>
      <c r="C3740" s="34" t="s">
        <v>12937</v>
      </c>
      <c r="D3740" s="8" t="s">
        <v>9695</v>
      </c>
      <c r="E3740" s="8" t="s">
        <v>12940</v>
      </c>
      <c r="G3740" s="34" t="s">
        <v>15</v>
      </c>
      <c r="H3740" s="34" t="str">
        <f>IFERROR(VLOOKUP(Table2[[#This Row], [Ticket]],Okey!A:B,2,0),"")</f>
        <v/>
      </c>
      <c r="I3740" s="34" t="s">
        <v>12962</v>
      </c>
      <c r="J3740" s="34" t="str">
        <f>VLOOKUP(Table2[[#This Row],[Author]],People!A:B,2,0)</f>
        <v>HC</v>
      </c>
      <c r="K3740" s="34"/>
      <c r="L3740" s="34"/>
      <c r="M3740" s="34" t="s">
        <v>12132</v>
      </c>
    </row>
    <row r="3741" spans="1:13">
      <c r="A3741" s="40">
        <f t="shared" si="62"/>
        <v>3740</v>
      </c>
      <c r="B3741" s="34" t="s">
        <v>8</v>
      </c>
      <c r="C3741" s="34" t="s">
        <v>12937</v>
      </c>
      <c r="D3741" s="8" t="s">
        <v>9696</v>
      </c>
      <c r="E3741" s="8" t="s">
        <v>12941</v>
      </c>
      <c r="G3741" s="34" t="s">
        <v>15</v>
      </c>
      <c r="H3741" s="34" t="str">
        <f>IFERROR(VLOOKUP(Table2[[#This Row], [Ticket]],Okey!A:B,2,0),"")</f>
        <v/>
      </c>
      <c r="I3741" s="34" t="s">
        <v>12962</v>
      </c>
      <c r="J3741" s="34" t="str">
        <f>VLOOKUP(Table2[[#This Row],[Author]],People!A:B,2,0)</f>
        <v>HC</v>
      </c>
      <c r="K3741" s="34"/>
      <c r="L3741" s="34"/>
      <c r="M3741" s="34" t="s">
        <v>12132</v>
      </c>
    </row>
    <row r="3742" spans="1:13">
      <c r="A3742" s="40">
        <f t="shared" si="62"/>
        <v>3741</v>
      </c>
      <c r="B3742" s="34" t="s">
        <v>8</v>
      </c>
      <c r="C3742" s="34" t="s">
        <v>12937</v>
      </c>
      <c r="D3742" s="8" t="s">
        <v>9743</v>
      </c>
      <c r="E3742" s="8" t="s">
        <v>12942</v>
      </c>
      <c r="G3742" s="34" t="s">
        <v>15</v>
      </c>
      <c r="H3742" s="34" t="str">
        <f>IFERROR(VLOOKUP(Table2[[#This Row], [Ticket]],Okey!A:B,2,0),"")</f>
        <v/>
      </c>
      <c r="I3742" s="34" t="s">
        <v>12962</v>
      </c>
      <c r="J3742" s="34" t="str">
        <f>VLOOKUP(Table2[[#This Row],[Author]],People!A:B,2,0)</f>
        <v>HC</v>
      </c>
      <c r="K3742" s="34"/>
      <c r="L3742" s="34"/>
      <c r="M3742" s="34" t="s">
        <v>12132</v>
      </c>
    </row>
    <row r="3743" spans="1:13">
      <c r="A3743" s="40">
        <f t="shared" si="62"/>
        <v>3742</v>
      </c>
      <c r="B3743" s="34" t="s">
        <v>8</v>
      </c>
      <c r="C3743" s="34" t="s">
        <v>12937</v>
      </c>
      <c r="D3743" s="8" t="s">
        <v>9744</v>
      </c>
      <c r="E3743" s="8" t="s">
        <v>12943</v>
      </c>
      <c r="G3743" s="34" t="s">
        <v>15</v>
      </c>
      <c r="H3743" s="34" t="str">
        <f>IFERROR(VLOOKUP(Table2[[#This Row], [Ticket]],Okey!A:B,2,0),"")</f>
        <v/>
      </c>
      <c r="I3743" s="34" t="s">
        <v>12962</v>
      </c>
      <c r="J3743" s="34" t="str">
        <f>VLOOKUP(Table2[[#This Row],[Author]],People!A:B,2,0)</f>
        <v>HC</v>
      </c>
      <c r="K3743" s="34"/>
      <c r="L3743" s="34"/>
      <c r="M3743" s="34" t="s">
        <v>12132</v>
      </c>
    </row>
    <row r="3744" spans="1:13">
      <c r="A3744" s="40">
        <f t="shared" si="62"/>
        <v>3743</v>
      </c>
      <c r="B3744" s="34" t="s">
        <v>8</v>
      </c>
      <c r="C3744" s="34" t="s">
        <v>12937</v>
      </c>
      <c r="D3744" s="8" t="s">
        <v>9751</v>
      </c>
      <c r="E3744" s="8" t="s">
        <v>12944</v>
      </c>
      <c r="G3744" s="34" t="s">
        <v>15</v>
      </c>
      <c r="H3744" s="34" t="str">
        <f>IFERROR(VLOOKUP(Table2[[#This Row], [Ticket]],Okey!A:B,2,0),"")</f>
        <v/>
      </c>
      <c r="I3744" s="34" t="s">
        <v>12962</v>
      </c>
      <c r="J3744" s="34" t="str">
        <f>VLOOKUP(Table2[[#This Row],[Author]],People!A:B,2,0)</f>
        <v>HC</v>
      </c>
      <c r="K3744" s="34"/>
      <c r="L3744" s="34"/>
      <c r="M3744" s="34" t="s">
        <v>12132</v>
      </c>
    </row>
    <row r="3745" spans="1:13">
      <c r="A3745" s="40">
        <f t="shared" si="62"/>
        <v>3744</v>
      </c>
      <c r="B3745" s="34" t="s">
        <v>8</v>
      </c>
      <c r="C3745" s="34" t="s">
        <v>12937</v>
      </c>
      <c r="D3745" s="8" t="s">
        <v>9752</v>
      </c>
      <c r="E3745" s="8" t="s">
        <v>12945</v>
      </c>
      <c r="G3745" s="34" t="s">
        <v>15</v>
      </c>
      <c r="H3745" s="34" t="str">
        <f>IFERROR(VLOOKUP(Table2[[#This Row], [Ticket]],Okey!A:B,2,0),"")</f>
        <v/>
      </c>
      <c r="I3745" s="34" t="s">
        <v>12962</v>
      </c>
      <c r="J3745" s="34" t="str">
        <f>VLOOKUP(Table2[[#This Row],[Author]],People!A:B,2,0)</f>
        <v>HC</v>
      </c>
      <c r="K3745" s="34"/>
      <c r="L3745" s="34"/>
      <c r="M3745" s="34" t="s">
        <v>12132</v>
      </c>
    </row>
    <row r="3746" spans="1:13">
      <c r="A3746" s="40">
        <f t="shared" si="62"/>
        <v>3745</v>
      </c>
      <c r="B3746" s="34" t="s">
        <v>8</v>
      </c>
      <c r="C3746" s="34" t="s">
        <v>12937</v>
      </c>
      <c r="D3746" s="8" t="s">
        <v>9753</v>
      </c>
      <c r="E3746" s="8" t="s">
        <v>12946</v>
      </c>
      <c r="G3746" s="34" t="s">
        <v>15</v>
      </c>
      <c r="H3746" s="34" t="str">
        <f>IFERROR(VLOOKUP(Table2[[#This Row], [Ticket]],Okey!A:B,2,0),"")</f>
        <v/>
      </c>
      <c r="I3746" s="34" t="s">
        <v>12962</v>
      </c>
      <c r="J3746" s="34" t="str">
        <f>VLOOKUP(Table2[[#This Row],[Author]],People!A:B,2,0)</f>
        <v>HC</v>
      </c>
      <c r="K3746" s="34"/>
      <c r="L3746" s="34"/>
      <c r="M3746" s="34" t="s">
        <v>12132</v>
      </c>
    </row>
    <row r="3747" spans="1:13">
      <c r="A3747" s="40">
        <f t="shared" si="62"/>
        <v>3746</v>
      </c>
      <c r="B3747" s="34" t="s">
        <v>8</v>
      </c>
      <c r="C3747" s="8" t="s">
        <v>12948</v>
      </c>
      <c r="D3747" s="34" t="s">
        <v>12954</v>
      </c>
      <c r="E3747" s="8" t="s">
        <v>9630</v>
      </c>
      <c r="F3747" s="8" t="s">
        <v>12921</v>
      </c>
      <c r="G3747" s="8" t="s">
        <v>14</v>
      </c>
      <c r="H3747" s="34" t="str">
        <f>IFERROR(VLOOKUP(Table2[[#This Row], [Ticket]],Okey!A:B,2,0),"")</f>
        <v/>
      </c>
      <c r="I3747" s="34" t="s">
        <v>12962</v>
      </c>
      <c r="J3747" s="34" t="str">
        <f>VLOOKUP(Table2[[#This Row],[Author]],People!A:B,2,0)</f>
        <v>HC</v>
      </c>
      <c r="L3747" s="34"/>
      <c r="M3747" s="34" t="s">
        <v>12132</v>
      </c>
    </row>
    <row r="3748" spans="1:13">
      <c r="A3748" s="40">
        <f t="shared" si="62"/>
        <v>3747</v>
      </c>
      <c r="B3748" s="34" t="s">
        <v>8</v>
      </c>
      <c r="C3748" s="34" t="s">
        <v>12948</v>
      </c>
      <c r="D3748" s="34" t="s">
        <v>12955</v>
      </c>
      <c r="E3748" s="8" t="s">
        <v>9630</v>
      </c>
      <c r="F3748" s="8" t="s">
        <v>12922</v>
      </c>
      <c r="G3748" s="34" t="s">
        <v>14</v>
      </c>
      <c r="H3748" s="34" t="str">
        <f>IFERROR(VLOOKUP(Table2[[#This Row], [Ticket]],Okey!A:B,2,0),"")</f>
        <v/>
      </c>
      <c r="I3748" s="34" t="s">
        <v>12962</v>
      </c>
      <c r="J3748" s="34" t="str">
        <f>VLOOKUP(Table2[[#This Row],[Author]],People!A:B,2,0)</f>
        <v>HC</v>
      </c>
      <c r="L3748" s="34"/>
      <c r="M3748" s="34" t="s">
        <v>12132</v>
      </c>
    </row>
    <row r="3749" spans="1:13">
      <c r="A3749" s="40">
        <f t="shared" si="62"/>
        <v>3748</v>
      </c>
      <c r="B3749" s="34" t="s">
        <v>8</v>
      </c>
      <c r="C3749" s="34" t="s">
        <v>12948</v>
      </c>
      <c r="D3749" s="34" t="s">
        <v>12956</v>
      </c>
      <c r="E3749" s="8" t="s">
        <v>12953</v>
      </c>
      <c r="F3749" s="8" t="s">
        <v>12923</v>
      </c>
      <c r="G3749" s="34" t="s">
        <v>14</v>
      </c>
      <c r="H3749" s="34" t="str">
        <f>IFERROR(VLOOKUP(Table2[[#This Row], [Ticket]],Okey!A:B,2,0),"")</f>
        <v/>
      </c>
      <c r="I3749" s="34" t="s">
        <v>12962</v>
      </c>
      <c r="J3749" s="34" t="str">
        <f>VLOOKUP(Table2[[#This Row],[Author]],People!A:B,2,0)</f>
        <v>HC</v>
      </c>
      <c r="L3749" s="34"/>
      <c r="M3749" s="34" t="s">
        <v>12132</v>
      </c>
    </row>
    <row r="3750" spans="1:13">
      <c r="A3750" s="40">
        <f t="shared" si="62"/>
        <v>3749</v>
      </c>
      <c r="B3750" s="34" t="s">
        <v>8</v>
      </c>
      <c r="C3750" s="34" t="s">
        <v>12948</v>
      </c>
      <c r="D3750" s="34" t="s">
        <v>12957</v>
      </c>
      <c r="E3750" s="8" t="s">
        <v>12950</v>
      </c>
      <c r="F3750" s="34" t="s">
        <v>12923</v>
      </c>
      <c r="G3750" s="34" t="s">
        <v>14</v>
      </c>
      <c r="H3750" s="34" t="str">
        <f>IFERROR(VLOOKUP(Table2[[#This Row], [Ticket]],Okey!A:B,2,0),"")</f>
        <v/>
      </c>
      <c r="I3750" s="34" t="s">
        <v>12962</v>
      </c>
      <c r="J3750" s="34" t="str">
        <f>VLOOKUP(Table2[[#This Row],[Author]],People!A:B,2,0)</f>
        <v>HC</v>
      </c>
      <c r="L3750" s="34"/>
      <c r="M3750" s="34" t="s">
        <v>12132</v>
      </c>
    </row>
    <row r="3751" spans="1:13">
      <c r="A3751" s="40">
        <f t="shared" si="62"/>
        <v>3750</v>
      </c>
      <c r="B3751" s="34" t="s">
        <v>8</v>
      </c>
      <c r="C3751" s="34" t="s">
        <v>12948</v>
      </c>
      <c r="D3751" s="34" t="s">
        <v>12958</v>
      </c>
      <c r="E3751" s="8" t="s">
        <v>12949</v>
      </c>
      <c r="F3751" s="8" t="s">
        <v>12924</v>
      </c>
      <c r="G3751" s="34" t="s">
        <v>14</v>
      </c>
      <c r="H3751" s="34" t="str">
        <f>IFERROR(VLOOKUP(Table2[[#This Row], [Ticket]],Okey!A:B,2,0),"")</f>
        <v/>
      </c>
      <c r="I3751" s="34" t="s">
        <v>12962</v>
      </c>
      <c r="J3751" s="34" t="str">
        <f>VLOOKUP(Table2[[#This Row],[Author]],People!A:B,2,0)</f>
        <v>HC</v>
      </c>
      <c r="L3751" s="34"/>
      <c r="M3751" s="34" t="s">
        <v>12132</v>
      </c>
    </row>
    <row r="3752" spans="1:13">
      <c r="A3752" s="40">
        <f t="shared" si="62"/>
        <v>3751</v>
      </c>
      <c r="B3752" s="34" t="s">
        <v>8</v>
      </c>
      <c r="C3752" s="34" t="s">
        <v>12948</v>
      </c>
      <c r="D3752" s="34" t="s">
        <v>12959</v>
      </c>
      <c r="E3752" s="8" t="s">
        <v>12947</v>
      </c>
      <c r="F3752" s="8" t="s">
        <v>9689</v>
      </c>
      <c r="G3752" s="34" t="s">
        <v>14</v>
      </c>
      <c r="H3752" s="34" t="str">
        <f>IFERROR(VLOOKUP(Table2[[#This Row], [Ticket]],Okey!A:B,2,0),"")</f>
        <v/>
      </c>
      <c r="I3752" s="34" t="s">
        <v>12962</v>
      </c>
      <c r="J3752" s="34" t="str">
        <f>VLOOKUP(Table2[[#This Row],[Author]],People!A:B,2,0)</f>
        <v>HC</v>
      </c>
      <c r="L3752" s="34"/>
      <c r="M3752" s="34" t="s">
        <v>12132</v>
      </c>
    </row>
    <row r="3753" spans="1:13">
      <c r="A3753" s="40">
        <f t="shared" si="62"/>
        <v>3752</v>
      </c>
      <c r="B3753" s="34" t="s">
        <v>8</v>
      </c>
      <c r="C3753" s="34" t="s">
        <v>12948</v>
      </c>
      <c r="D3753" s="34" t="s">
        <v>12960</v>
      </c>
      <c r="E3753" s="8" t="s">
        <v>12951</v>
      </c>
      <c r="F3753" s="34" t="s">
        <v>12954</v>
      </c>
      <c r="G3753" s="34" t="s">
        <v>14</v>
      </c>
      <c r="H3753" s="34" t="str">
        <f>IFERROR(VLOOKUP(Table2[[#This Row], [Ticket]],Okey!A:B,2,0),"")</f>
        <v/>
      </c>
      <c r="I3753" s="34" t="s">
        <v>12962</v>
      </c>
      <c r="J3753" s="34" t="str">
        <f>VLOOKUP(Table2[[#This Row],[Author]],People!A:B,2,0)</f>
        <v>HC</v>
      </c>
      <c r="L3753" s="34"/>
      <c r="M3753" s="34" t="s">
        <v>12132</v>
      </c>
    </row>
    <row r="3754" spans="1:13">
      <c r="A3754" s="40">
        <f t="shared" si="62"/>
        <v>3753</v>
      </c>
      <c r="B3754" s="34" t="s">
        <v>8</v>
      </c>
      <c r="C3754" s="34" t="s">
        <v>12948</v>
      </c>
      <c r="D3754" s="34" t="s">
        <v>12961</v>
      </c>
      <c r="E3754" s="8" t="s">
        <v>12952</v>
      </c>
      <c r="F3754" s="34" t="s">
        <v>12955</v>
      </c>
      <c r="G3754" s="34" t="s">
        <v>14</v>
      </c>
      <c r="H3754" s="34" t="str">
        <f>IFERROR(VLOOKUP(Table2[[#This Row], [Ticket]],Okey!A:B,2,0),"")</f>
        <v/>
      </c>
      <c r="I3754" s="34" t="s">
        <v>12962</v>
      </c>
      <c r="J3754" s="34" t="str">
        <f>VLOOKUP(Table2[[#This Row],[Author]],People!A:B,2,0)</f>
        <v>HC</v>
      </c>
      <c r="L3754" s="34"/>
      <c r="M3754" s="34" t="s">
        <v>12132</v>
      </c>
    </row>
  </sheetData>
  <phoneticPr fontId="23" type="noConversion"/>
  <conditionalFormatting sqref="D2:D866 D869:D872">
    <cfRule type="duplicateValues" dxfId="80" priority="82"/>
  </conditionalFormatting>
  <conditionalFormatting sqref="K866:K868">
    <cfRule type="duplicateValues" dxfId="79" priority="81"/>
  </conditionalFormatting>
  <conditionalFormatting sqref="K867">
    <cfRule type="duplicateValues" dxfId="78" priority="80"/>
  </conditionalFormatting>
  <conditionalFormatting sqref="K868">
    <cfRule type="duplicateValues" dxfId="77" priority="79"/>
  </conditionalFormatting>
  <conditionalFormatting sqref="F867">
    <cfRule type="duplicateValues" dxfId="76" priority="78"/>
  </conditionalFormatting>
  <conditionalFormatting sqref="F868">
    <cfRule type="duplicateValues" dxfId="75" priority="77"/>
  </conditionalFormatting>
  <conditionalFormatting sqref="F872">
    <cfRule type="duplicateValues" dxfId="74" priority="76"/>
  </conditionalFormatting>
  <conditionalFormatting sqref="D867">
    <cfRule type="duplicateValues" dxfId="73" priority="75"/>
  </conditionalFormatting>
  <conditionalFormatting sqref="D868">
    <cfRule type="duplicateValues" dxfId="72" priority="74"/>
  </conditionalFormatting>
  <conditionalFormatting sqref="D873">
    <cfRule type="duplicateValues" dxfId="71" priority="73"/>
  </conditionalFormatting>
  <conditionalFormatting sqref="D889">
    <cfRule type="duplicateValues" dxfId="70" priority="72"/>
  </conditionalFormatting>
  <conditionalFormatting sqref="K889 K873">
    <cfRule type="duplicateValues" dxfId="69" priority="71"/>
  </conditionalFormatting>
  <conditionalFormatting sqref="D1356">
    <cfRule type="duplicateValues" dxfId="68" priority="70"/>
  </conditionalFormatting>
  <conditionalFormatting sqref="F1459">
    <cfRule type="duplicateValues" dxfId="67" priority="68"/>
  </conditionalFormatting>
  <conditionalFormatting sqref="F1460">
    <cfRule type="duplicateValues" dxfId="66" priority="67"/>
  </conditionalFormatting>
  <conditionalFormatting sqref="F1461">
    <cfRule type="duplicateValues" dxfId="65" priority="66"/>
  </conditionalFormatting>
  <conditionalFormatting sqref="F1463">
    <cfRule type="duplicateValues" dxfId="64" priority="65"/>
  </conditionalFormatting>
  <conditionalFormatting sqref="F1464">
    <cfRule type="duplicateValues" dxfId="63" priority="64"/>
  </conditionalFormatting>
  <conditionalFormatting sqref="F1473">
    <cfRule type="duplicateValues" dxfId="62" priority="63"/>
  </conditionalFormatting>
  <conditionalFormatting sqref="F1491">
    <cfRule type="duplicateValues" dxfId="61" priority="62"/>
  </conditionalFormatting>
  <conditionalFormatting sqref="F1492">
    <cfRule type="duplicateValues" dxfId="60" priority="61"/>
  </conditionalFormatting>
  <conditionalFormatting sqref="F1493">
    <cfRule type="duplicateValues" dxfId="59" priority="60"/>
  </conditionalFormatting>
  <conditionalFormatting sqref="F1494">
    <cfRule type="duplicateValues" dxfId="58" priority="59"/>
  </conditionalFormatting>
  <conditionalFormatting sqref="F1496">
    <cfRule type="duplicateValues" dxfId="57" priority="58"/>
  </conditionalFormatting>
  <conditionalFormatting sqref="F1497">
    <cfRule type="duplicateValues" dxfId="56" priority="57"/>
  </conditionalFormatting>
  <conditionalFormatting sqref="F1498">
    <cfRule type="duplicateValues" dxfId="55" priority="56"/>
  </conditionalFormatting>
  <conditionalFormatting sqref="F1499">
    <cfRule type="duplicateValues" dxfId="54" priority="55"/>
  </conditionalFormatting>
  <conditionalFormatting sqref="F1501">
    <cfRule type="duplicateValues" dxfId="53" priority="54"/>
  </conditionalFormatting>
  <conditionalFormatting sqref="F1502">
    <cfRule type="duplicateValues" dxfId="52" priority="53"/>
  </conditionalFormatting>
  <conditionalFormatting sqref="F1503">
    <cfRule type="duplicateValues" dxfId="51" priority="52"/>
  </conditionalFormatting>
  <conditionalFormatting sqref="F1504">
    <cfRule type="duplicateValues" dxfId="50" priority="51"/>
  </conditionalFormatting>
  <conditionalFormatting sqref="F1505">
    <cfRule type="duplicateValues" dxfId="49" priority="50"/>
  </conditionalFormatting>
  <conditionalFormatting sqref="F1506">
    <cfRule type="duplicateValues" dxfId="48" priority="49"/>
  </conditionalFormatting>
  <conditionalFormatting sqref="F1507">
    <cfRule type="duplicateValues" dxfId="47" priority="48"/>
  </conditionalFormatting>
  <conditionalFormatting sqref="F1508">
    <cfRule type="duplicateValues" dxfId="46" priority="47"/>
  </conditionalFormatting>
  <conditionalFormatting sqref="F1509">
    <cfRule type="duplicateValues" dxfId="45" priority="46"/>
  </conditionalFormatting>
  <conditionalFormatting sqref="F1510">
    <cfRule type="duplicateValues" dxfId="44" priority="45"/>
  </conditionalFormatting>
  <conditionalFormatting sqref="F1511">
    <cfRule type="duplicateValues" dxfId="43" priority="44"/>
  </conditionalFormatting>
  <conditionalFormatting sqref="F1512">
    <cfRule type="duplicateValues" dxfId="42" priority="43"/>
  </conditionalFormatting>
  <conditionalFormatting sqref="F1514">
    <cfRule type="duplicateValues" dxfId="41" priority="42"/>
  </conditionalFormatting>
  <conditionalFormatting sqref="F1515">
    <cfRule type="duplicateValues" dxfId="40" priority="41"/>
  </conditionalFormatting>
  <conditionalFormatting sqref="F1516">
    <cfRule type="duplicateValues" dxfId="39" priority="40"/>
  </conditionalFormatting>
  <conditionalFormatting sqref="F1517">
    <cfRule type="duplicateValues" dxfId="38" priority="39"/>
  </conditionalFormatting>
  <conditionalFormatting sqref="F1630">
    <cfRule type="duplicateValues" dxfId="37" priority="38"/>
  </conditionalFormatting>
  <conditionalFormatting sqref="F1631">
    <cfRule type="duplicateValues" dxfId="36" priority="37"/>
  </conditionalFormatting>
  <conditionalFormatting sqref="F1632">
    <cfRule type="duplicateValues" dxfId="35" priority="36"/>
  </conditionalFormatting>
  <conditionalFormatting sqref="F1633">
    <cfRule type="duplicateValues" dxfId="34" priority="35"/>
  </conditionalFormatting>
  <conditionalFormatting sqref="F1634">
    <cfRule type="duplicateValues" dxfId="33" priority="34"/>
  </conditionalFormatting>
  <conditionalFormatting sqref="D1639">
    <cfRule type="duplicateValues" dxfId="32" priority="33"/>
  </conditionalFormatting>
  <conditionalFormatting sqref="F1712">
    <cfRule type="duplicateValues" dxfId="31" priority="32"/>
  </conditionalFormatting>
  <conditionalFormatting sqref="F1713">
    <cfRule type="duplicateValues" dxfId="30" priority="31"/>
  </conditionalFormatting>
  <conditionalFormatting sqref="F1714">
    <cfRule type="duplicateValues" dxfId="29" priority="30"/>
  </conditionalFormatting>
  <conditionalFormatting sqref="F2508">
    <cfRule type="duplicateValues" dxfId="28" priority="29"/>
  </conditionalFormatting>
  <conditionalFormatting sqref="F2509">
    <cfRule type="duplicateValues" dxfId="27" priority="28"/>
  </conditionalFormatting>
  <conditionalFormatting sqref="F2524">
    <cfRule type="duplicateValues" dxfId="26" priority="27"/>
  </conditionalFormatting>
  <conditionalFormatting sqref="F2525">
    <cfRule type="duplicateValues" dxfId="25" priority="26"/>
  </conditionalFormatting>
  <conditionalFormatting sqref="F2533">
    <cfRule type="duplicateValues" dxfId="24" priority="25"/>
  </conditionalFormatting>
  <conditionalFormatting sqref="F2534">
    <cfRule type="duplicateValues" dxfId="23" priority="24"/>
  </conditionalFormatting>
  <conditionalFormatting sqref="F2543">
    <cfRule type="duplicateValues" dxfId="22" priority="23"/>
  </conditionalFormatting>
  <conditionalFormatting sqref="F2544">
    <cfRule type="duplicateValues" dxfId="21" priority="22"/>
  </conditionalFormatting>
  <conditionalFormatting sqref="F2558">
    <cfRule type="duplicateValues" dxfId="20" priority="21"/>
  </conditionalFormatting>
  <conditionalFormatting sqref="F2559">
    <cfRule type="duplicateValues" dxfId="19" priority="20"/>
  </conditionalFormatting>
  <conditionalFormatting sqref="F2572">
    <cfRule type="duplicateValues" dxfId="18" priority="19"/>
  </conditionalFormatting>
  <conditionalFormatting sqref="F2573">
    <cfRule type="duplicateValues" dxfId="17" priority="18"/>
  </conditionalFormatting>
  <conditionalFormatting sqref="F2581">
    <cfRule type="duplicateValues" dxfId="16" priority="17"/>
  </conditionalFormatting>
  <conditionalFormatting sqref="F2582">
    <cfRule type="duplicateValues" dxfId="15" priority="16"/>
  </conditionalFormatting>
  <conditionalFormatting sqref="F2593">
    <cfRule type="duplicateValues" dxfId="14" priority="15"/>
  </conditionalFormatting>
  <conditionalFormatting sqref="F2594">
    <cfRule type="duplicateValues" dxfId="13" priority="14"/>
  </conditionalFormatting>
  <conditionalFormatting sqref="F2790">
    <cfRule type="duplicateValues" dxfId="12" priority="13"/>
  </conditionalFormatting>
  <conditionalFormatting sqref="F2792">
    <cfRule type="duplicateValues" dxfId="11" priority="12"/>
  </conditionalFormatting>
  <conditionalFormatting sqref="D2:D3331">
    <cfRule type="duplicateValues" dxfId="10" priority="87"/>
  </conditionalFormatting>
  <conditionalFormatting sqref="F2846">
    <cfRule type="duplicateValues" dxfId="9" priority="11"/>
  </conditionalFormatting>
  <conditionalFormatting sqref="F3322">
    <cfRule type="duplicateValues" dxfId="8" priority="9"/>
  </conditionalFormatting>
  <conditionalFormatting sqref="F3324">
    <cfRule type="duplicateValues" dxfId="7" priority="8"/>
  </conditionalFormatting>
  <conditionalFormatting sqref="D3332">
    <cfRule type="duplicateValues" dxfId="6" priority="7"/>
  </conditionalFormatting>
  <conditionalFormatting sqref="D3333">
    <cfRule type="duplicateValues" dxfId="5" priority="6"/>
  </conditionalFormatting>
  <conditionalFormatting sqref="D3334">
    <cfRule type="duplicateValues" dxfId="4" priority="5"/>
  </conditionalFormatting>
  <conditionalFormatting sqref="D3335">
    <cfRule type="duplicateValues" dxfId="3" priority="4"/>
  </conditionalFormatting>
  <conditionalFormatting sqref="D3336">
    <cfRule type="duplicateValues" dxfId="2" priority="3"/>
  </conditionalFormatting>
  <conditionalFormatting sqref="D3343">
    <cfRule type="duplicateValues" dxfId="1" priority="2"/>
  </conditionalFormatting>
  <conditionalFormatting sqref="F334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5"/>
  <sheetViews>
    <sheetView topLeftCell="A34" workbookViewId="0">
      <selection activeCell="A75" sqref="A75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12133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12132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12134</v>
      </c>
      <c r="B72" s="39" t="s">
        <v>19</v>
      </c>
    </row>
    <row r="73" spans="1:2">
      <c r="A73" s="41" t="s">
        <v>12131</v>
      </c>
      <c r="B73" s="39" t="s">
        <v>19</v>
      </c>
    </row>
    <row r="74" spans="1:2">
      <c r="A74" s="47" t="s">
        <v>12398</v>
      </c>
      <c r="B74" s="39" t="s">
        <v>18</v>
      </c>
    </row>
    <row r="75" spans="1:2">
      <c r="A75" s="47" t="s">
        <v>12885</v>
      </c>
      <c r="B75" s="39" t="s">
        <v>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I34" sqref="I34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pvt</vt:lpstr>
      <vt:lpstr>Okey</vt:lpstr>
      <vt:lpstr>STUCT1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2026-07-20T18:22:06Z</dcterms:modified>
</cp:coreProperties>
</file>