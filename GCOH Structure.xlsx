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2A68196-51F9-46CA-A732-3A407C64FA4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52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81" i="1" l="1"/>
  <c r="A1482" i="1" s="1"/>
  <c r="A1483" i="1" s="1"/>
  <c r="A1484" i="1" s="1"/>
  <c r="A1485" i="1" s="1"/>
  <c r="A1486" i="1" s="1"/>
  <c r="A1487" i="1" s="1"/>
  <c r="A1488" i="1" s="1"/>
  <c r="A1489" i="1" s="1"/>
  <c r="H1486" i="1"/>
  <c r="H1487" i="1"/>
  <c r="H1488" i="1"/>
  <c r="H1489" i="1"/>
  <c r="H1481" i="1"/>
  <c r="H1482" i="1"/>
  <c r="H1483" i="1"/>
  <c r="H1484" i="1"/>
  <c r="H1485" i="1"/>
  <c r="A1480" i="1"/>
  <c r="H1480" i="1"/>
  <c r="A1479" i="1"/>
  <c r="H1479" i="1"/>
  <c r="A1468" i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H1468" i="1"/>
  <c r="H1469" i="1"/>
  <c r="H1470" i="1"/>
  <c r="H1471" i="1"/>
  <c r="H1472" i="1"/>
  <c r="H1473" i="1"/>
  <c r="H1474" i="1"/>
  <c r="H1475" i="1"/>
  <c r="H1476" i="1"/>
  <c r="H1477" i="1"/>
  <c r="H1478" i="1"/>
  <c r="A1458" i="1" l="1"/>
  <c r="A1459" i="1" s="1"/>
  <c r="A1460" i="1" s="1"/>
  <c r="A1461" i="1" s="1"/>
  <c r="A1462" i="1" s="1"/>
  <c r="A1463" i="1" s="1"/>
  <c r="A1464" i="1" s="1"/>
  <c r="A1465" i="1" s="1"/>
  <c r="A1466" i="1" s="1"/>
  <c r="A1467" i="1" s="1"/>
  <c r="H1467" i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</calcChain>
</file>

<file path=xl/sharedStrings.xml><?xml version="1.0" encoding="utf-8"?>
<sst xmlns="http://schemas.openxmlformats.org/spreadsheetml/2006/main" count="55986" uniqueCount="9640">
  <si>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</si>
  <si>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</si>
  <si>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</si>
  <si>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</si>
  <si>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</si>
  <si>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</si>
  <si>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</si>
  <si>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</si>
  <si>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</si>
  <si>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</si>
  <si>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</si>
  <si>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</si>
  <si>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</si>
  <si>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</si>
  <si>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</si>
  <si>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</si>
  <si>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</si>
  <si>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</si>
  <si>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</si>
  <si>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</si>
  <si>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</si>
  <si>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</si>
  <si>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</si>
  <si>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</si>
  <si>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</si>
  <si>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</si>
  <si>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</si>
  <si>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</si>
  <si>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</si>
  <si>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</si>
  <si>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</si>
  <si>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</si>
  <si>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</si>
  <si>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</si>
  <si>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</si>
  <si>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</si>
  <si>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</si>
  <si>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</si>
  <si>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</si>
  <si>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</si>
  <si>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</si>
  <si>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</si>
  <si>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</si>
  <si>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</si>
  <si>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</si>
  <si>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</si>
  <si>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</si>
  <si>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</si>
  <si>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</si>
  <si>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</si>
  <si>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</si>
  <si>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</si>
  <si>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</si>
  <si>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</si>
  <si>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</si>
  <si>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</si>
  <si>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</si>
  <si>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</si>
  <si>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</si>
  <si>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</si>
  <si>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</si>
  <si>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</si>
  <si>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</si>
  <si>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</si>
  <si>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</si>
  <si>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</si>
  <si>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</si>
  <si>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</si>
  <si>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</si>
  <si>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</si>
  <si>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</si>
  <si>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</si>
  <si>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</si>
  <si>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</si>
  <si>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</si>
  <si>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</si>
  <si>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</si>
  <si>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</si>
  <si>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</si>
  <si>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</si>
  <si>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</si>
  <si>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</si>
  <si>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</si>
  <si>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</si>
  <si>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</si>
  <si>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</si>
  <si>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</si>
  <si>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</si>
  <si>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</si>
  <si>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</si>
  <si>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</si>
  <si>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</si>
  <si>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</si>
  <si>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</si>
  <si>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</si>
  <si>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</si>
  <si>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</si>
  <si>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</si>
  <si>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</si>
  <si>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</si>
  <si>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</si>
  <si>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</si>
  <si>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</si>
  <si>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</si>
  <si>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</si>
  <si>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</si>
  <si>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</si>
  <si>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</si>
  <si>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</si>
  <si>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</si>
  <si>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</si>
  <si>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</si>
  <si>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</si>
  <si>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</si>
  <si>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</si>
  <si>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</si>
  <si>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</si>
  <si>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</si>
  <si>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</si>
  <si>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</si>
  <si>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</si>
  <si>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</si>
  <si>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</si>
  <si>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</si>
  <si>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</si>
  <si>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</si>
  <si>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</si>
  <si>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</si>
  <si>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</si>
  <si>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</si>
  <si>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</si>
  <si>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</si>
  <si>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</si>
  <si>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</si>
  <si>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</si>
  <si>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</si>
  <si>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</si>
  <si>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</si>
  <si>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</si>
  <si>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</si>
  <si>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</si>
  <si>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</si>
  <si>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</si>
  <si>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</si>
  <si>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</si>
  <si>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</si>
  <si>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</si>
  <si>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</si>
  <si>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</si>
  <si>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</si>
  <si>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</si>
  <si>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</si>
  <si>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</si>
  <si>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</si>
  <si>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</si>
  <si>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</si>
  <si>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</si>
  <si>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</si>
  <si>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</si>
  <si>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</si>
  <si>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</si>
  <si>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</si>
  <si>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</si>
  <si>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</si>
  <si>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</si>
  <si>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</si>
  <si>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</si>
  <si>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</si>
  <si>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</si>
  <si>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</si>
  <si>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</si>
  <si>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</si>
  <si>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</si>
  <si>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</si>
  <si>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</si>
  <si>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</si>
  <si>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</si>
  <si>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</si>
  <si>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</si>
  <si>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</si>
  <si>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</si>
  <si>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</si>
  <si>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</si>
  <si>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</si>
  <si>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</si>
  <si>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</si>
  <si>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</si>
  <si>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</si>
  <si>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</si>
  <si>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</si>
  <si>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</si>
  <si>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</si>
  <si>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</si>
  <si>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</si>
  <si>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</si>
  <si>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</si>
  <si>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</si>
  <si>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</si>
  <si>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</si>
  <si>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</si>
  <si>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</si>
  <si>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</si>
  <si>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</si>
  <si>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</si>
  <si>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</si>
  <si>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</si>
  <si>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</si>
  <si>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</si>
  <si>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</si>
  <si>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</si>
  <si>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</si>
  <si>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</si>
  <si>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</si>
  <si>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</si>
  <si>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</si>
  <si>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</si>
  <si>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</si>
  <si>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</si>
  <si>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</si>
  <si>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</si>
  <si>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</si>
  <si>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</si>
  <si>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</si>
  <si>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</si>
  <si>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</si>
  <si>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</si>
  <si>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</si>
  <si>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</si>
  <si>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</si>
  <si>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</si>
  <si>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</si>
  <si>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</si>
  <si>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</si>
  <si>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</si>
  <si>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</si>
  <si>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</si>
  <si>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</si>
  <si>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</si>
  <si>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</si>
  <si>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</si>
  <si>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</si>
  <si>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</si>
  <si>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</si>
  <si>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</si>
  <si>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</si>
  <si>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</si>
  <si>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</si>
  <si>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</si>
  <si>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</si>
  <si>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</si>
  <si>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</si>
  <si>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</si>
  <si>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</si>
  <si>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</si>
  <si>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</si>
  <si>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</si>
  <si>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</si>
  <si>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</si>
  <si>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</si>
  <si>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</si>
  <si>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</si>
  <si>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</si>
  <si>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</si>
  <si>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</si>
  <si>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</si>
  <si>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</si>
  <si>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</si>
  <si>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</si>
  <si>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</si>
  <si>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</si>
  <si>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</si>
  <si>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</si>
  <si>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</si>
  <si>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</si>
  <si>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</si>
  <si>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</si>
  <si>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</si>
  <si>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</si>
  <si>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</si>
  <si>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</si>
  <si>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</si>
  <si>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</si>
  <si>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</si>
  <si>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</si>
  <si>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</si>
  <si>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</si>
  <si>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</si>
  <si>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</si>
  <si>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</si>
  <si>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</si>
  <si>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</si>
  <si>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</si>
  <si>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</si>
  <si>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</si>
  <si>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</si>
  <si>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</si>
  <si>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</si>
  <si>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</si>
  <si>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</si>
  <si>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</si>
  <si>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</si>
  <si>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</si>
  <si>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</si>
  <si>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</si>
  <si>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</si>
  <si>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</si>
  <si>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</si>
  <si>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</si>
  <si>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</si>
  <si>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</si>
  <si>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</si>
  <si>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</si>
  <si>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</si>
  <si>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</si>
  <si>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</si>
  <si>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</si>
  <si>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</si>
  <si>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</si>
  <si>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</si>
  <si>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</si>
  <si>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</si>
  <si>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</si>
  <si>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</si>
  <si>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</si>
  <si>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</si>
  <si>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</si>
  <si>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</si>
  <si>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</si>
  <si>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</si>
  <si>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</si>
  <si>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</si>
  <si>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</si>
  <si>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</si>
  <si>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</si>
  <si>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</si>
  <si>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</si>
  <si>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</si>
  <si>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</si>
  <si>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</si>
  <si>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</si>
  <si>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</si>
  <si>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</si>
  <si>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</si>
  <si>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</si>
  <si>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</si>
  <si>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</si>
  <si>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</si>
  <si>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</si>
  <si>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</si>
  <si>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</si>
  <si>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</si>
  <si>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</si>
  <si>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</si>
  <si>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</si>
  <si>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</si>
  <si>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</si>
  <si>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</si>
  <si>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</si>
  <si>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</si>
  <si>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</si>
  <si>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</si>
  <si>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</si>
  <si>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</si>
  <si>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</si>
  <si>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</si>
  <si>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</si>
  <si>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</si>
  <si>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</si>
  <si>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</si>
  <si>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</si>
  <si>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</si>
  <si>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</si>
  <si>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</si>
  <si>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</si>
  <si>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</si>
  <si>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</si>
  <si>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</si>
  <si>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</si>
  <si>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</si>
  <si>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</si>
  <si>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</si>
  <si>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</si>
  <si>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</si>
  <si>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</si>
  <si>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</si>
  <si>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</si>
  <si>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</si>
  <si>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</si>
  <si>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</si>
  <si>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</si>
  <si>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</si>
  <si>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</si>
  <si>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</si>
  <si>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</si>
  <si>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</si>
  <si>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</si>
  <si>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</si>
  <si>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</si>
  <si>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</si>
  <si>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</si>
  <si>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</si>
  <si>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</si>
  <si>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</si>
  <si>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</si>
  <si>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</si>
  <si>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</si>
  <si>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</si>
  <si>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</si>
  <si>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</si>
  <si>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</si>
  <si>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</si>
  <si>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</si>
  <si>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</si>
  <si>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</si>
  <si>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</si>
  <si>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</si>
  <si>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</si>
  <si>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</si>
  <si>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</si>
  <si>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</si>
  <si>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</si>
  <si>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</si>
  <si>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</si>
  <si>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</si>
  <si>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</si>
  <si>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</si>
  <si>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</si>
  <si>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</si>
  <si>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</si>
  <si>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</si>
  <si>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</si>
  <si>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</si>
  <si>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</si>
  <si>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</si>
  <si>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</si>
  <si>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</si>
  <si>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</si>
  <si>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</si>
  <si>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</si>
  <si>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</si>
  <si>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</si>
  <si>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</si>
  <si>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</si>
  <si>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</si>
  <si>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</si>
  <si>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</si>
  <si>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</si>
  <si>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</si>
  <si>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</si>
  <si>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</si>
  <si>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</si>
  <si>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</si>
  <si>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</si>
  <si>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</si>
  <si>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</si>
  <si>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</si>
  <si>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</si>
  <si>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</si>
  <si>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</si>
  <si>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</si>
  <si>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</si>
  <si>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</si>
  <si>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</si>
  <si>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</si>
  <si>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</si>
  <si>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</si>
  <si>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</si>
  <si>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</si>
  <si>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</si>
  <si>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</si>
  <si>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</si>
  <si>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</si>
  <si>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</si>
  <si>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</si>
  <si>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</si>
  <si>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</si>
  <si>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</si>
  <si>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</si>
  <si>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</si>
  <si>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</si>
  <si>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</si>
  <si>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</si>
  <si>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</si>
  <si>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</si>
  <si>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</si>
  <si>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</si>
  <si>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</si>
  <si>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</si>
  <si>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</si>
  <si>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</si>
  <si>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</si>
  <si>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</si>
  <si>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</si>
  <si>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</si>
  <si>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</si>
  <si>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</si>
  <si>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</si>
  <si>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</si>
  <si>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</si>
  <si>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</si>
  <si>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</si>
  <si>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</si>
  <si>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</si>
  <si>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</si>
  <si>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</si>
  <si>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</si>
  <si>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</si>
  <si>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</si>
  <si>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</si>
  <si>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</si>
  <si>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</si>
  <si>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</si>
  <si>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</si>
  <si>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</si>
  <si>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</si>
  <si>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</si>
  <si>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</si>
  <si>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</si>
  <si>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</si>
  <si>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</si>
  <si>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</si>
  <si>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</si>
  <si>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</si>
  <si>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</si>
  <si>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</si>
  <si>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</si>
  <si>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</si>
  <si>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</si>
  <si>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</si>
  <si>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</si>
  <si>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</si>
  <si>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</si>
  <si>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</si>
  <si>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</si>
  <si>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</si>
  <si>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</si>
  <si>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</si>
  <si>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</si>
  <si>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</si>
  <si>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</si>
  <si>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</si>
  <si>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</si>
  <si>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</si>
  <si>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</si>
  <si>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</si>
  <si>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</si>
  <si>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</si>
  <si>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</si>
  <si>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</si>
  <si>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</si>
  <si>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</si>
  <si>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</si>
  <si>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</si>
  <si>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</si>
  <si>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</si>
  <si>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</si>
  <si>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</si>
  <si>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</si>
  <si>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</si>
  <si>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</si>
  <si>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</si>
  <si>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</si>
  <si>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</si>
  <si>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</si>
  <si>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</si>
  <si>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</si>
  <si>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</si>
  <si>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</si>
  <si>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</si>
  <si>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</si>
  <si>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</si>
  <si>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</si>
  <si>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</si>
  <si>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</si>
  <si>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</si>
  <si>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</si>
  <si>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</si>
  <si>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</si>
  <si>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</si>
  <si>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</si>
  <si>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</si>
  <si>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</si>
  <si>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</si>
  <si>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</si>
  <si>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</si>
  <si>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</si>
  <si>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</si>
  <si>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</si>
  <si>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</si>
  <si>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</si>
  <si>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</si>
  <si>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</si>
  <si>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</si>
  <si>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</si>
  <si>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</si>
  <si>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</si>
  <si>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</si>
  <si>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</si>
  <si>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</si>
  <si>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</si>
  <si>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</si>
  <si>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</si>
  <si>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</si>
  <si>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</si>
  <si>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</si>
  <si>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</si>
  <si>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</si>
  <si>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</si>
  <si>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</si>
  <si>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</si>
  <si>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</si>
  <si>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</si>
  <si>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</si>
  <si>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</si>
  <si>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</si>
  <si>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</si>
  <si>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</si>
  <si>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</si>
  <si>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</si>
  <si>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</si>
  <si>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</si>
  <si>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</si>
  <si>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</si>
  <si>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</si>
  <si>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</si>
  <si>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</si>
  <si>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</si>
  <si>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</si>
  <si>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</si>
  <si>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</si>
  <si>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</si>
  <si>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</si>
  <si>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</si>
  <si>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</si>
  <si>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</si>
  <si>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</si>
  <si>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</si>
  <si>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</si>
  <si>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</si>
  <si>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</si>
  <si>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</si>
  <si>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</si>
  <si>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</si>
  <si>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</si>
  <si>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</si>
  <si>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</si>
  <si>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</si>
  <si>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</si>
  <si>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</si>
  <si>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</si>
  <si>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</si>
  <si>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</si>
  <si>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</si>
  <si>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</si>
  <si>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</si>
  <si>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</si>
  <si>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</si>
  <si>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</si>
  <si>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</si>
  <si>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</si>
  <si>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</si>
  <si>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</si>
  <si>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</si>
  <si>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</si>
  <si>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</si>
  <si>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</si>
  <si>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</si>
  <si>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</si>
  <si>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</si>
  <si>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</si>
  <si>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</si>
  <si>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</si>
  <si>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</si>
  <si>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</si>
  <si>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</si>
  <si>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</si>
  <si>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</si>
  <si>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</si>
  <si>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</si>
  <si>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</si>
  <si>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</si>
  <si>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</si>
  <si>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</si>
  <si>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</si>
  <si>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</si>
  <si>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</si>
  <si>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</si>
  <si>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</si>
  <si>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</si>
  <si>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</si>
  <si>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</si>
  <si>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</si>
  <si>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</si>
  <si>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</si>
  <si>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</si>
  <si>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</si>
  <si>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</si>
  <si>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</si>
  <si>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</si>
  <si>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</si>
  <si>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</si>
  <si>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</si>
  <si>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</si>
  <si>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</si>
  <si>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</si>
  <si>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</si>
  <si>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</si>
  <si>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</si>
  <si>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</si>
  <si>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</si>
  <si>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</si>
  <si>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</si>
  <si>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</si>
  <si>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</si>
  <si>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</si>
  <si>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</si>
  <si>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</si>
  <si>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</si>
  <si>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</si>
  <si>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</si>
  <si>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</si>
  <si>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</si>
  <si>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</si>
  <si>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</si>
  <si>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</si>
  <si>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</si>
  <si>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</si>
  <si>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</si>
  <si>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</si>
  <si>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</si>
  <si>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</si>
  <si>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</si>
  <si>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</si>
  <si>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</si>
  <si>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</si>
  <si>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</si>
  <si>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</si>
  <si>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</si>
  <si>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</si>
  <si>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</si>
  <si>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</si>
  <si>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</si>
  <si>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</si>
  <si>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</si>
  <si>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</si>
  <si>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</si>
  <si>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</si>
  <si>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</si>
  <si>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</si>
  <si>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</si>
  <si>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</si>
  <si>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</si>
  <si>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</si>
  <si>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</si>
  <si>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</si>
  <si>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</si>
  <si>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</si>
  <si>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</si>
  <si>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</si>
  <si>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</si>
  <si>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</si>
  <si>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</si>
  <si>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</si>
  <si>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</si>
  <si>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</si>
  <si>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</si>
  <si>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</si>
  <si>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</si>
  <si>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</si>
  <si>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</si>
  <si>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</si>
  <si>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</si>
  <si>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</si>
  <si>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</si>
  <si>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</si>
  <si>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</si>
  <si>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</si>
  <si>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</si>
  <si>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</si>
  <si>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</si>
  <si>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</si>
  <si>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</si>
  <si>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</si>
  <si>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</si>
  <si>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</si>
  <si>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</si>
  <si>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</si>
  <si>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</si>
  <si>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</si>
  <si>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</si>
  <si>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</si>
  <si>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</si>
  <si>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</si>
  <si>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</si>
  <si>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</si>
  <si>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</si>
  <si>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</si>
  <si>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</si>
  <si>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</si>
  <si>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</si>
  <si>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</si>
  <si>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</si>
  <si>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</si>
  <si>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</si>
  <si>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</si>
  <si>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</si>
  <si>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</si>
  <si>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</si>
  <si>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</si>
  <si>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</si>
  <si>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</si>
  <si>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</si>
  <si>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</si>
  <si>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</si>
  <si>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</si>
  <si>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</si>
  <si>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</si>
  <si>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</si>
  <si>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</si>
  <si>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</si>
  <si>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</si>
  <si>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</si>
  <si>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</si>
  <si>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</si>
  <si>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</si>
  <si>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</si>
  <si>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</si>
  <si>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</si>
  <si>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</si>
  <si>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</si>
  <si>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</si>
  <si>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</si>
  <si>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</si>
  <si>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</si>
  <si>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</si>
  <si>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</si>
  <si>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</si>
  <si>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</si>
  <si>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</si>
  <si>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</si>
  <si>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</si>
  <si>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</si>
  <si>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</si>
  <si>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</si>
  <si>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</si>
  <si>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</si>
  <si>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</si>
  <si>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</si>
  <si>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</si>
  <si>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</si>
  <si>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</si>
  <si>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</si>
  <si>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</si>
  <si>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</si>
  <si>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</si>
  <si>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</si>
  <si>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</si>
  <si>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</si>
  <si>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</si>
  <si>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</si>
  <si>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</si>
  <si>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</si>
  <si>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</si>
  <si>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</si>
  <si>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</si>
  <si>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</si>
  <si>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</si>
  <si>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</si>
  <si>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</si>
  <si>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</si>
  <si>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</si>
  <si>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</si>
  <si>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</si>
  <si>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</si>
  <si>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</si>
  <si>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</si>
  <si>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</si>
  <si>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</si>
  <si>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</si>
  <si>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</si>
  <si>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</si>
  <si>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</si>
  <si>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</si>
  <si>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</si>
  <si>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</si>
  <si>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</si>
  <si>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</si>
  <si>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</si>
  <si>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</si>
  <si>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</si>
  <si>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</si>
  <si>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</si>
  <si>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</si>
  <si>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</si>
  <si>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</si>
  <si>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</si>
  <si>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</si>
  <si>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</si>
  <si>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</si>
  <si>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</si>
  <si>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</si>
  <si>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</si>
  <si>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</si>
  <si>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</si>
  <si>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</si>
  <si>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</si>
  <si>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</si>
  <si>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</si>
  <si>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</si>
  <si>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</si>
  <si>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</si>
  <si>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</si>
  <si>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</si>
  <si>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</si>
  <si>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</si>
  <si>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</si>
  <si>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</si>
  <si>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</si>
  <si>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</si>
  <si>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</si>
  <si>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</si>
  <si>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</si>
  <si>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</si>
  <si>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</si>
  <si>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</si>
  <si>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</si>
  <si>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</si>
  <si>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</si>
  <si>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</si>
  <si>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</si>
  <si>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</si>
  <si>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</si>
  <si>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</si>
  <si>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</si>
  <si>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</si>
  <si>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</si>
  <si>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</si>
  <si>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</si>
  <si>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</si>
  <si>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</si>
  <si>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</si>
  <si>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</si>
  <si>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</si>
  <si>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</si>
  <si>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</si>
  <si>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</si>
  <si>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</si>
  <si>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</si>
  <si>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</si>
  <si>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</si>
  <si>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</si>
  <si>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</si>
  <si>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</si>
  <si>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</si>
  <si>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</si>
  <si>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</si>
  <si>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</si>
  <si>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</si>
  <si>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</si>
  <si>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</si>
  <si>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</si>
  <si>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</si>
  <si>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</si>
  <si>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</si>
  <si>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</si>
  <si>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</si>
  <si>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</si>
  <si>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</si>
  <si>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</si>
  <si>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</si>
  <si>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</si>
  <si>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</si>
  <si>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</si>
  <si>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</si>
  <si>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</si>
  <si>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</si>
  <si>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</si>
  <si>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</si>
  <si>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</si>
  <si>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</si>
  <si>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</si>
  <si>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</si>
  <si>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</si>
  <si>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</si>
  <si>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</si>
  <si>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</si>
  <si>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</si>
  <si>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</si>
  <si>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</si>
  <si>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</si>
  <si>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</si>
  <si>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</si>
  <si>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</si>
  <si>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</si>
  <si>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</si>
  <si>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</si>
  <si>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</si>
  <si>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</si>
  <si>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</si>
  <si>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</si>
  <si>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</si>
  <si>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</si>
  <si>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</si>
  <si>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</si>
  <si>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</si>
  <si>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</si>
  <si>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</si>
  <si>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</si>
  <si>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</si>
  <si>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</si>
  <si>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</si>
  <si>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</si>
  <si>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</si>
  <si>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</si>
  <si>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</si>
  <si>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</si>
  <si>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</si>
  <si>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</si>
  <si>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</si>
  <si>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</si>
  <si>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</si>
  <si>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</si>
  <si>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</si>
  <si>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</si>
  <si>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</si>
  <si>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</si>
  <si>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</si>
  <si>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</si>
  <si>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</si>
  <si>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</si>
  <si>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</si>
  <si>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</si>
  <si>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</si>
  <si>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</si>
  <si>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</si>
  <si>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</si>
  <si>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</si>
  <si>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</si>
  <si>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</si>
  <si>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</si>
  <si>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</si>
  <si>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</si>
  <si>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</si>
  <si>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</si>
  <si>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</si>
  <si>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</si>
  <si>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</si>
  <si>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</si>
  <si>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</si>
  <si>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</si>
  <si>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</si>
  <si>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</si>
  <si>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</si>
  <si>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</si>
  <si>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</si>
  <si>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</si>
  <si>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</si>
  <si>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</si>
  <si>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</si>
  <si>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</si>
  <si>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</si>
  <si>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</si>
  <si>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</si>
  <si>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</si>
  <si>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</si>
  <si>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</si>
  <si>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</si>
  <si>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</si>
  <si>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</si>
  <si>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</si>
  <si>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</si>
  <si>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</si>
  <si>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</si>
  <si>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</si>
  <si>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</si>
  <si>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</si>
  <si>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</si>
  <si>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</si>
  <si>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</si>
  <si>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</si>
  <si>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</si>
  <si>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</si>
  <si>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</si>
  <si>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</si>
  <si>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</si>
  <si>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</si>
  <si>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</si>
  <si>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</si>
  <si>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</si>
  <si>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</si>
  <si>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</si>
  <si>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</si>
  <si>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</si>
  <si>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</si>
  <si>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</si>
  <si>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</si>
  <si>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</si>
  <si>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</si>
  <si>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</si>
  <si>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</si>
  <si>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</si>
  <si>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</si>
  <si>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</si>
  <si>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</si>
  <si>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</si>
  <si>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</si>
  <si>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</si>
  <si>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</si>
  <si>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</si>
  <si>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</si>
  <si>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</si>
  <si>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</si>
  <si>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</si>
  <si>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</si>
  <si>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</si>
  <si>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</si>
  <si>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</si>
  <si>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</si>
  <si>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</si>
  <si>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</si>
  <si>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</si>
  <si>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</si>
  <si>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</si>
  <si>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</si>
  <si>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</si>
  <si>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</si>
  <si>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</si>
  <si>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</si>
  <si>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</si>
  <si>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</si>
  <si>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</si>
  <si>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</si>
  <si>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</si>
  <si>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</si>
  <si>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</si>
  <si>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</si>
  <si>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</si>
  <si>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</si>
  <si>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</si>
  <si>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</si>
  <si>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</si>
  <si>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</si>
  <si>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</si>
  <si>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</si>
  <si>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</si>
  <si>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</si>
  <si>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</si>
  <si>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</si>
  <si>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</si>
  <si>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</si>
  <si>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</si>
  <si>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</si>
  <si>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</si>
  <si>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</si>
  <si>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</si>
  <si>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</si>
  <si>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</si>
  <si>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</si>
  <si>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</si>
  <si>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</si>
  <si>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</si>
  <si>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</si>
  <si>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</si>
  <si>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</si>
  <si>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</si>
  <si>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</si>
  <si>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</si>
  <si>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</si>
  <si>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</si>
  <si>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</si>
  <si>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</si>
  <si>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</si>
  <si>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</si>
  <si>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</si>
  <si>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</si>
  <si>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</si>
  <si>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</si>
  <si>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</si>
  <si>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</si>
  <si>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</si>
  <si>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</si>
  <si>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</si>
  <si>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</si>
  <si>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</si>
  <si>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</si>
  <si>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</si>
  <si>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</si>
  <si>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</si>
  <si>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</si>
  <si>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</si>
  <si>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</si>
  <si>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</si>
  <si>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</si>
  <si>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</si>
  <si>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</si>
  <si>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</si>
  <si>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</si>
  <si>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</si>
  <si>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</si>
  <si>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</si>
  <si>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</si>
  <si>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</si>
  <si>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</si>
  <si>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</si>
  <si>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</si>
  <si>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</si>
  <si>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</si>
  <si>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</si>
  <si>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</si>
  <si>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</si>
  <si>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</si>
  <si>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</si>
  <si>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</si>
  <si>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</si>
  <si>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</si>
  <si>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</si>
  <si>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</si>
  <si>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</si>
  <si>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</si>
  <si>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</si>
  <si>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</si>
  <si>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</si>
  <si>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</si>
  <si>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</si>
  <si>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</si>
  <si>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</si>
  <si>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</si>
  <si>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</si>
  <si>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</si>
  <si>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</si>
  <si>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</si>
  <si>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</si>
  <si>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</si>
  <si>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</si>
  <si>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</si>
  <si>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</si>
  <si>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</si>
  <si>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</si>
  <si>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</si>
  <si>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</si>
  <si>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</si>
  <si>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</si>
  <si>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</si>
  <si>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</si>
  <si>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</si>
  <si>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</si>
  <si>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</si>
  <si>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</si>
  <si>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</si>
  <si>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</si>
  <si>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</si>
  <si>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</si>
  <si>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</si>
  <si>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</si>
  <si>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</si>
  <si>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</si>
  <si>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</si>
  <si>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</si>
  <si>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</si>
  <si>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</si>
  <si>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</si>
  <si>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</si>
  <si>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</si>
  <si>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</si>
  <si>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</si>
  <si>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</si>
  <si>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</si>
  <si>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</si>
  <si>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</si>
  <si>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</si>
  <si>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</si>
  <si>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</si>
  <si>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</si>
  <si>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</si>
  <si>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</si>
  <si>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</si>
  <si>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</si>
  <si>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</si>
  <si>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</si>
  <si>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</si>
  <si>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</si>
  <si>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</si>
  <si>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</si>
  <si>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</si>
  <si>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</si>
  <si>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</si>
  <si>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</si>
  <si>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</si>
  <si>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</si>
  <si>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</si>
  <si>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</si>
  <si>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</si>
  <si>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</si>
  <si>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</si>
  <si>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</si>
  <si>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</si>
  <si>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</si>
  <si>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</si>
  <si>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</si>
  <si>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</si>
  <si>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</si>
  <si>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</si>
  <si>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</si>
  <si>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</si>
  <si>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</si>
  <si>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</si>
  <si>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</si>
  <si>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</si>
  <si>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</si>
  <si>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</si>
  <si>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</si>
  <si>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</si>
  <si>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</si>
  <si>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</si>
  <si>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</si>
  <si>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</si>
  <si>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</si>
  <si>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</si>
  <si>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</si>
  <si>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</si>
  <si>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</si>
  <si>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</si>
  <si>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</si>
  <si>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</si>
  <si>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</si>
  <si>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</si>
  <si>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</si>
  <si>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</si>
  <si>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</si>
  <si>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</si>
  <si>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</si>
  <si>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</si>
  <si>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</si>
  <si>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</si>
  <si>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</si>
  <si>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</si>
  <si>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</si>
  <si>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</si>
  <si>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</si>
  <si>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</si>
  <si>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</si>
  <si>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</si>
  <si>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</si>
  <si>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</si>
  <si>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</si>
  <si>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</si>
  <si>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</si>
  <si>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</si>
  <si>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</si>
  <si>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</si>
  <si>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</si>
  <si>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</si>
  <si>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</si>
  <si>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</si>
  <si>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</si>
  <si>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</si>
  <si>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</si>
  <si>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</si>
  <si>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</si>
  <si>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</si>
  <si>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</si>
  <si>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</si>
  <si>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</si>
  <si>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</si>
  <si>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</si>
  <si>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</si>
  <si>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</si>
  <si>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</si>
  <si>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</si>
  <si>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</si>
  <si>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</si>
  <si>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</si>
  <si>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</si>
  <si>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</si>
  <si>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</si>
  <si>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</si>
  <si>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</si>
  <si>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</si>
  <si>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</si>
  <si>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</si>
  <si>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</si>
  <si>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</si>
  <si>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</si>
  <si>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</si>
  <si>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</si>
  <si>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</si>
  <si>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</si>
  <si>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</si>
  <si>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</si>
  <si>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</si>
  <si>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</si>
  <si>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</si>
  <si>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</si>
  <si>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</si>
  <si>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</si>
  <si>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</si>
  <si>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</si>
  <si>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</si>
  <si>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</si>
  <si>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</si>
  <si>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</si>
  <si>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</si>
  <si>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</si>
  <si>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</si>
  <si>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</si>
  <si>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</si>
  <si>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</si>
  <si>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</si>
  <si>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</si>
  <si>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</si>
  <si>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</si>
  <si>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</si>
  <si>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</si>
  <si>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</si>
  <si>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</si>
  <si>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</si>
  <si>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</si>
  <si>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</si>
  <si>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</si>
  <si>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</si>
  <si>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</si>
  <si>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</si>
  <si>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</si>
  <si>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</si>
  <si>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</si>
  <si>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</si>
  <si>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</si>
  <si>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</si>
  <si>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</si>
  <si>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</si>
  <si>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</si>
  <si>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</si>
  <si>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</si>
  <si>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</si>
  <si>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</si>
  <si>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</si>
  <si>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</si>
  <si>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</si>
  <si>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</si>
  <si>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</si>
  <si>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</si>
  <si>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</si>
  <si>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</si>
  <si>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</si>
  <si>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</si>
  <si>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</si>
  <si>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</si>
  <si>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</si>
  <si>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</si>
  <si>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</si>
  <si>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</si>
  <si>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</si>
  <si>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</si>
  <si>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</si>
  <si>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</si>
  <si>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</si>
  <si>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</si>
  <si>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</si>
  <si>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</si>
  <si>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</si>
  <si>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</si>
  <si>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</si>
  <si>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</si>
  <si>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</si>
  <si>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</si>
  <si>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</si>
  <si>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</si>
  <si>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</si>
  <si>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</si>
  <si>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</si>
  <si>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</si>
  <si>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</si>
  <si>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</si>
  <si>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</si>
  <si>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</si>
  <si>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</si>
  <si>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</si>
  <si>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</si>
  <si>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</si>
  <si>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</si>
  <si>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</si>
  <si>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</si>
  <si>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</si>
  <si>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</si>
  <si>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</si>
  <si>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</si>
  <si>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</si>
  <si>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</si>
  <si>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</si>
  <si>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</si>
  <si>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</si>
  <si>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</si>
  <si>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</si>
  <si>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</si>
  <si>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</si>
  <si>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</si>
  <si>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</si>
  <si>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</si>
  <si>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</si>
  <si>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</si>
  <si>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</si>
  <si>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</si>
  <si>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</si>
  <si>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</si>
  <si>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</si>
  <si>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</si>
  <si>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</si>
  <si>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</si>
  <si>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</si>
  <si>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</si>
  <si>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</si>
  <si>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</si>
  <si>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</si>
  <si>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</si>
  <si>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</si>
  <si>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</si>
  <si>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</si>
  <si>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</si>
  <si>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</si>
  <si>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</si>
  <si>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</si>
  <si>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</si>
  <si>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</si>
  <si>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</si>
  <si>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</si>
  <si>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</si>
  <si>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</si>
  <si>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</si>
  <si>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</si>
  <si>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</si>
  <si>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</si>
  <si>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</si>
  <si>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</si>
  <si>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</si>
  <si>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</si>
  <si>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</si>
  <si>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</si>
  <si>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</si>
  <si>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</si>
  <si>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</si>
  <si>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</si>
  <si>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</si>
  <si>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</si>
  <si>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</si>
  <si>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</si>
  <si>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</si>
  <si>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</si>
  <si>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</si>
  <si>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</si>
  <si>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</si>
  <si>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</si>
  <si>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</si>
  <si>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</si>
  <si>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</si>
  <si>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</si>
  <si>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</si>
  <si>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</si>
  <si>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</si>
  <si>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</si>
  <si>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</si>
  <si>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</si>
  <si>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</si>
  <si>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</si>
  <si>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</si>
  <si>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</si>
  <si>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</si>
  <si>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</si>
  <si>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</si>
  <si>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</si>
  <si>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</si>
  <si>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</si>
  <si>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</si>
  <si>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</si>
  <si>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</si>
  <si>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</si>
  <si>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</si>
  <si>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</si>
  <si>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</si>
  <si>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</si>
  <si>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</si>
  <si>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</si>
  <si>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</si>
  <si>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</si>
  <si>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</si>
  <si>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</si>
  <si>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</si>
  <si>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</si>
  <si>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</si>
  <si>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</si>
  <si>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</si>
  <si>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</si>
  <si>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</si>
  <si>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</si>
  <si>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</si>
  <si>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</si>
  <si>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</si>
  <si>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</si>
  <si>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</si>
  <si>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</si>
  <si>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</si>
  <si>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</si>
  <si>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</si>
  <si>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</si>
  <si>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</si>
  <si>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</si>
  <si>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</si>
  <si>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</si>
  <si>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</si>
  <si>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</si>
  <si>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</si>
  <si>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</si>
  <si>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</si>
  <si>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</si>
  <si>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</si>
  <si>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</si>
  <si>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</si>
  <si>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</si>
  <si>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</si>
  <si>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</si>
  <si>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</si>
  <si>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</si>
  <si>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</si>
  <si>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</si>
  <si>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</si>
  <si>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</si>
  <si>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</si>
  <si>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</si>
  <si>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</si>
  <si>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</si>
  <si>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</si>
  <si>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</si>
  <si>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</si>
  <si>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</si>
  <si>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</si>
  <si>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</si>
  <si>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</si>
  <si>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</si>
  <si>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</si>
  <si>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</si>
  <si>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</si>
  <si>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</si>
  <si>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</si>
  <si>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</si>
  <si>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</si>
  <si>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</si>
  <si>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</si>
  <si>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</si>
  <si>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</si>
  <si>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</si>
  <si>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</si>
  <si>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</si>
  <si>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</si>
  <si>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</si>
  <si>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</si>
  <si>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</si>
  <si>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</si>
  <si>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</si>
  <si>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</si>
  <si>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</si>
  <si>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</si>
  <si>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</si>
  <si>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</si>
  <si>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</si>
  <si>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</si>
  <si>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</si>
  <si>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</si>
  <si>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</si>
  <si>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</si>
  <si>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</si>
  <si>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</si>
  <si>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</si>
  <si>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</si>
  <si>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</si>
  <si>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</si>
  <si>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</si>
  <si>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</si>
  <si>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</si>
  <si>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</si>
  <si>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</si>
  <si>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</si>
  <si>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</si>
  <si>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</si>
  <si>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</si>
  <si>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</si>
  <si>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</si>
  <si>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</si>
  <si>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</si>
  <si>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</si>
  <si>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</si>
  <si>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</si>
  <si>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</si>
  <si>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</si>
  <si>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</si>
  <si>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</si>
  <si>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</si>
  <si>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</si>
  <si>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</si>
  <si>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</si>
  <si>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</si>
  <si>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</si>
  <si>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</si>
  <si>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</si>
  <si>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</si>
  <si>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</si>
  <si>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</si>
  <si>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</si>
  <si>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</si>
  <si>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</si>
  <si>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</si>
  <si>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</si>
  <si>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</si>
  <si>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</si>
  <si>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</si>
  <si>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</si>
  <si>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</si>
  <si>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</si>
  <si>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</si>
  <si>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</si>
  <si>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</si>
  <si>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</si>
  <si>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</si>
  <si>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</si>
  <si>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</si>
  <si>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</si>
  <si>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</si>
  <si>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</si>
  <si>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</si>
  <si>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</si>
  <si>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</si>
  <si>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</si>
  <si>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</si>
  <si>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</si>
  <si>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</si>
  <si>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</si>
  <si>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</si>
  <si>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</si>
  <si>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</si>
  <si>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</si>
  <si>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</si>
  <si>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</si>
  <si>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</si>
  <si>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</si>
  <si>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</si>
  <si>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</si>
  <si>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</si>
  <si>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</si>
  <si>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</si>
  <si>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</si>
  <si>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</si>
  <si>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</si>
  <si>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</si>
  <si>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</si>
  <si>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</si>
  <si>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</si>
  <si>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</si>
  <si>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</si>
  <si>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</si>
  <si>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</si>
  <si>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</si>
  <si>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</si>
  <si>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</si>
  <si>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</si>
  <si>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</si>
  <si>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</si>
  <si>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</si>
  <si>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</si>
  <si>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</si>
  <si>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</si>
  <si>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</si>
  <si>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</si>
  <si>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</si>
  <si>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</si>
  <si>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</si>
  <si>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</si>
  <si>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</si>
  <si>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</si>
  <si>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</si>
  <si>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</si>
  <si>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</si>
  <si>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</si>
  <si>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</si>
  <si>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</si>
  <si>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</si>
  <si>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</si>
  <si>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</si>
  <si>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</si>
  <si>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</si>
  <si>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</si>
  <si>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</si>
  <si>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</si>
  <si>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</si>
  <si>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</si>
  <si>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</si>
  <si>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</si>
  <si>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</si>
  <si>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</si>
  <si>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</si>
  <si>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</si>
  <si>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</si>
  <si>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</si>
  <si>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</si>
  <si>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</si>
  <si>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</si>
  <si>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</si>
  <si>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</si>
  <si>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</si>
  <si>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</si>
  <si>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</si>
  <si>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</si>
  <si>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</si>
  <si>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</si>
  <si>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</si>
  <si>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</si>
  <si>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</si>
  <si>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</si>
  <si>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</si>
  <si>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</si>
  <si>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</si>
  <si>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</si>
  <si>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</si>
  <si>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</si>
  <si>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</si>
  <si>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</si>
  <si>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</si>
  <si>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</si>
  <si>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</si>
  <si>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</si>
  <si>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</si>
  <si>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</si>
  <si>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</si>
  <si>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</si>
  <si>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</si>
  <si>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</si>
  <si>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</si>
  <si>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</si>
  <si>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</si>
  <si>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</si>
  <si>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</si>
  <si>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</si>
  <si>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</si>
  <si>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</si>
  <si>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</si>
  <si>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</si>
  <si>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</si>
  <si>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</si>
  <si>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</si>
  <si>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</si>
  <si>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</si>
  <si>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</si>
  <si>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</si>
  <si>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</si>
  <si>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</si>
  <si>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</si>
  <si>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</si>
  <si>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</si>
  <si>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</si>
  <si>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</si>
  <si>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</si>
  <si>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</si>
  <si>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</si>
  <si>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</si>
  <si>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</si>
  <si>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</si>
  <si>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</si>
  <si>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</si>
  <si>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</si>
  <si>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</si>
  <si>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</si>
  <si>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</si>
  <si>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</si>
  <si>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</si>
  <si>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</si>
  <si>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</si>
  <si>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</si>
  <si>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</si>
  <si>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</si>
  <si>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</si>
  <si>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</si>
  <si>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</si>
  <si>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</si>
  <si>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</si>
  <si>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</si>
  <si>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</si>
  <si>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</si>
  <si>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</si>
  <si>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</si>
  <si>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</si>
  <si>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</si>
  <si>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</si>
  <si>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</si>
  <si>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</si>
  <si>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</si>
  <si>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</si>
  <si>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</si>
  <si>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</si>
  <si>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</si>
  <si>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</si>
  <si>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</si>
  <si>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</si>
  <si>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</si>
  <si>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</si>
  <si>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</si>
  <si>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</si>
  <si>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</si>
  <si>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</si>
  <si>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</si>
  <si>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</si>
  <si>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</si>
  <si>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</si>
  <si>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</si>
  <si>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</si>
  <si>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</si>
  <si>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</si>
  <si>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</si>
  <si>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</si>
  <si>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</si>
  <si>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</si>
  <si>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</si>
  <si>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</si>
  <si>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</si>
  <si>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</si>
  <si>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</si>
  <si>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</si>
  <si>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</si>
  <si>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</si>
  <si>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</si>
  <si>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</si>
  <si>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</si>
  <si>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</si>
  <si>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</si>
  <si>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</si>
  <si>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</si>
  <si>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</si>
  <si>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</si>
  <si>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</si>
  <si>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</si>
  <si>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</si>
  <si>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</si>
  <si>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</si>
  <si>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</si>
  <si>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</si>
  <si>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</si>
  <si>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</si>
  <si>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</si>
  <si>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</si>
  <si>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</si>
  <si>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</si>
  <si>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</si>
  <si>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</si>
  <si>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</si>
  <si>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</si>
  <si>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</si>
  <si>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</si>
  <si>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</si>
  <si>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</si>
  <si>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</si>
  <si>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</si>
  <si>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</si>
  <si>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</si>
  <si>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</si>
  <si>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</si>
  <si>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</si>
  <si>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</si>
  <si>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</si>
  <si>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</si>
  <si>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</si>
  <si>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</si>
  <si>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</si>
  <si>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</si>
  <si>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</si>
  <si>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</si>
  <si>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</si>
  <si>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</si>
  <si>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</si>
  <si>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</si>
  <si>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</si>
  <si>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</si>
  <si>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</si>
  <si>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</si>
  <si>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</si>
  <si>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</si>
  <si>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</si>
  <si>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</si>
  <si>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</si>
  <si>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</si>
  <si>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</si>
  <si>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</si>
  <si>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</si>
  <si>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</si>
  <si>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</si>
  <si>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</si>
  <si>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</si>
  <si>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</si>
  <si>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</si>
  <si>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</si>
  <si>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</si>
  <si>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</si>
  <si>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</si>
  <si>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</si>
  <si>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</si>
  <si>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</si>
  <si>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</si>
  <si>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</si>
  <si>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</si>
  <si>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</si>
  <si>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</si>
  <si>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</si>
  <si>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</si>
  <si>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</si>
  <si>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</si>
  <si>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</si>
  <si>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</si>
  <si>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</si>
  <si>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</si>
  <si>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</si>
  <si>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</si>
  <si>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</si>
  <si>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</si>
  <si>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</si>
  <si>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</si>
  <si>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</si>
  <si>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</si>
  <si>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</si>
  <si>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</si>
  <si>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</si>
  <si>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</si>
  <si>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</si>
  <si>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</si>
  <si>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</si>
  <si>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</si>
  <si>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</si>
  <si>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</si>
  <si>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</si>
  <si>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</si>
  <si>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</si>
  <si>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</si>
  <si>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</si>
  <si>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</si>
  <si>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</si>
  <si>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</si>
  <si>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</si>
  <si>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</si>
  <si>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</si>
  <si>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</si>
  <si>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</si>
  <si>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</si>
  <si>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</si>
  <si>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</si>
  <si>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</si>
  <si>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</si>
  <si>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</si>
  <si>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</si>
  <si>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</si>
  <si>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</si>
  <si>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</si>
  <si>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</si>
  <si>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</si>
  <si>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</si>
  <si>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</si>
  <si>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</si>
  <si>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</si>
  <si>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</si>
  <si>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</si>
  <si>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</si>
  <si>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</si>
  <si>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</si>
  <si>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</si>
  <si>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</si>
  <si>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</si>
  <si>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</si>
  <si>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</si>
  <si>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</si>
  <si>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</si>
  <si>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</si>
  <si>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</si>
  <si>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</si>
  <si>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</si>
  <si>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</si>
  <si>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</si>
  <si>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</si>
  <si>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</si>
  <si>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</si>
  <si>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</si>
  <si>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</si>
  <si>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</si>
  <si>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</si>
  <si>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</si>
  <si>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</si>
  <si>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</si>
  <si>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</si>
  <si>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</si>
  <si>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</si>
  <si>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</si>
  <si>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</si>
  <si>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</si>
  <si>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</si>
  <si>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</si>
  <si>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</si>
  <si>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</si>
  <si>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</si>
  <si>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</si>
  <si>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</si>
  <si>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</si>
  <si>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</si>
  <si>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</si>
  <si>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</si>
  <si>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</si>
  <si>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</si>
  <si>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</si>
  <si>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</si>
  <si>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</si>
  <si>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</si>
  <si>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</si>
  <si>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</si>
  <si>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</si>
  <si>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</si>
  <si>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</si>
  <si>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</si>
  <si>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</si>
  <si>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</si>
  <si>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</si>
  <si>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</si>
  <si>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</si>
  <si>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</si>
  <si>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</si>
  <si>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</si>
  <si>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</si>
  <si>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</si>
  <si>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</si>
  <si>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</si>
  <si>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</si>
  <si>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</si>
  <si>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</si>
  <si>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</si>
  <si>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</si>
  <si>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</si>
  <si>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</si>
  <si>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</si>
  <si>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</si>
  <si>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</si>
  <si>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</si>
  <si>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</si>
  <si>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</si>
  <si>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</si>
  <si>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</si>
  <si>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</si>
  <si>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</si>
  <si>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</si>
  <si>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</si>
  <si>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</si>
  <si>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</si>
  <si>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</si>
  <si>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</si>
  <si>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</si>
  <si>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</si>
  <si>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</si>
  <si>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</si>
  <si>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</si>
  <si>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</si>
  <si>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</si>
  <si>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</si>
  <si>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</si>
  <si>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</si>
  <si>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</si>
  <si>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</si>
  <si>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</si>
  <si>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</si>
  <si>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</si>
  <si>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</si>
  <si>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</si>
  <si>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</si>
  <si>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</si>
  <si>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</si>
  <si>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</si>
  <si>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</si>
  <si>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</si>
  <si>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</si>
  <si>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</si>
  <si>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</si>
  <si>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</si>
  <si>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</si>
  <si>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</si>
  <si>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</si>
  <si>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</si>
  <si>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</si>
  <si>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</si>
  <si>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</si>
  <si>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</si>
  <si>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</si>
  <si>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</si>
  <si>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</si>
  <si>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</si>
  <si>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</si>
  <si>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</si>
  <si>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</si>
  <si>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</si>
  <si>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</si>
  <si>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</si>
  <si>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</si>
  <si>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</si>
  <si>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</si>
  <si>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</si>
  <si>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</si>
  <si>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</si>
  <si>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</si>
  <si>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</si>
  <si>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</si>
  <si>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</si>
  <si>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</si>
  <si>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</si>
  <si>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</si>
  <si>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</si>
  <si>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</si>
  <si>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</si>
  <si>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</si>
  <si>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</si>
  <si>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</si>
  <si>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</si>
  <si>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</si>
  <si>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</si>
  <si>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</si>
  <si>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</si>
  <si>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</si>
  <si>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</si>
  <si>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</si>
  <si>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</si>
  <si>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</si>
  <si>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</si>
  <si>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</si>
  <si>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</si>
  <si>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</si>
  <si>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</si>
  <si>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</si>
  <si>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</si>
  <si>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</si>
  <si>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</si>
  <si>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</si>
  <si>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</si>
  <si>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</si>
  <si>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</si>
  <si>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</si>
  <si>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</si>
  <si>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</si>
  <si>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</si>
  <si>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</si>
  <si>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</si>
  <si>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</si>
  <si>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</si>
  <si>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</si>
  <si>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</si>
  <si>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</si>
  <si>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</si>
  <si>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</si>
  <si>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</si>
  <si>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</si>
  <si>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</si>
  <si>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</si>
  <si>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</si>
  <si>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</si>
  <si>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</si>
  <si>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</si>
  <si>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</si>
  <si>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</si>
  <si>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</si>
  <si>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</si>
  <si>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</si>
  <si>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</si>
  <si>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</si>
  <si>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</si>
  <si>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</si>
  <si>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</si>
  <si>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</si>
  <si>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</si>
  <si>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</si>
  <si>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</si>
  <si>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</si>
  <si>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</si>
  <si>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</si>
  <si>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</si>
  <si>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</si>
  <si>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</si>
  <si>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</si>
  <si>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</si>
  <si>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</si>
  <si>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</si>
  <si>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</si>
  <si>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</si>
  <si>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</si>
  <si>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</si>
  <si>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</si>
  <si>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</si>
  <si>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</si>
  <si>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</si>
  <si>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</si>
  <si>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</si>
  <si>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</si>
  <si>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</si>
  <si>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</si>
  <si>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</si>
  <si>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</si>
  <si>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</si>
  <si>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</si>
  <si>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</si>
  <si>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</si>
  <si>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</si>
  <si>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</si>
  <si>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</si>
  <si>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</si>
  <si>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</si>
  <si>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</si>
  <si>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</si>
  <si>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</si>
  <si>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</si>
  <si>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</si>
  <si>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</si>
  <si>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</si>
  <si>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</si>
  <si>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</si>
  <si>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</si>
  <si>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</si>
  <si>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</si>
  <si>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</si>
  <si>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</si>
  <si>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</si>
  <si>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</si>
  <si>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</si>
  <si>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</si>
  <si>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</si>
  <si>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</si>
  <si>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</si>
  <si>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</si>
  <si>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</si>
  <si>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</si>
  <si>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</si>
  <si>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</si>
  <si>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</si>
  <si>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</si>
  <si>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</si>
  <si>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</si>
  <si>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</si>
  <si>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</si>
  <si>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</si>
  <si>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</si>
  <si>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</si>
  <si>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</si>
  <si>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</si>
  <si>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</si>
  <si>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</si>
  <si>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</si>
  <si>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</si>
  <si>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</si>
  <si>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</si>
  <si>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</si>
  <si>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</si>
  <si>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</si>
  <si>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</si>
  <si>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</si>
  <si>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</si>
  <si>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</si>
  <si>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</si>
  <si>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</si>
  <si>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</si>
  <si>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</si>
  <si>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</si>
  <si>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</si>
  <si>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</si>
  <si>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</si>
  <si>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</si>
  <si>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</si>
  <si>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</si>
  <si>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</si>
  <si>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</si>
  <si>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</si>
  <si>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</si>
  <si>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</si>
  <si>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</si>
  <si>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</si>
  <si>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</si>
  <si>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</si>
  <si>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</si>
  <si>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</si>
  <si>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</si>
  <si>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</si>
  <si>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</si>
  <si>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</si>
  <si>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</si>
  <si>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</si>
  <si>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</si>
  <si>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</si>
  <si>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</si>
  <si>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</si>
  <si>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</si>
  <si>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</si>
  <si>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</si>
  <si>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</si>
  <si>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</si>
  <si>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</si>
  <si>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</si>
  <si>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</si>
  <si>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</si>
  <si>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</si>
  <si>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</si>
  <si>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</si>
  <si>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</si>
  <si>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</si>
  <si>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</si>
  <si>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</si>
  <si>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</si>
  <si>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</si>
  <si>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</si>
  <si>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</si>
  <si>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</si>
  <si>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</si>
  <si>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</si>
  <si>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</si>
  <si>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</si>
  <si>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</si>
  <si>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</si>
  <si>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</si>
  <si>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</si>
  <si>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</si>
  <si>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</si>
  <si>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</si>
  <si>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</si>
  <si>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</si>
  <si>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</si>
  <si>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</si>
  <si>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</si>
  <si>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</si>
  <si>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</si>
  <si>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</si>
  <si>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</si>
  <si>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</si>
  <si>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</si>
  <si>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</si>
  <si>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</si>
  <si>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</si>
  <si>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</si>
  <si>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</si>
  <si>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</si>
  <si>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</si>
  <si>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</si>
  <si>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</si>
  <si>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</si>
  <si>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</si>
  <si>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</si>
  <si>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</si>
  <si>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</si>
  <si>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</si>
  <si>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</si>
  <si>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</si>
  <si>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</si>
  <si>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</si>
  <si>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</si>
  <si>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</si>
  <si>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</si>
  <si>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</si>
  <si>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</si>
  <si>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</si>
  <si>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</si>
  <si>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</si>
  <si>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</si>
  <si>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</si>
  <si>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</si>
  <si>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</si>
  <si>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</si>
  <si>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</si>
  <si>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</si>
  <si>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</si>
  <si>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</si>
  <si>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</si>
  <si>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</si>
  <si>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</si>
  <si>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</si>
  <si>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</si>
  <si>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</si>
  <si>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</si>
  <si>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</si>
  <si>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</si>
  <si>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</si>
  <si>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</si>
  <si>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</si>
  <si>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</si>
  <si>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</si>
  <si>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</si>
  <si>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</si>
  <si>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</si>
  <si>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</si>
  <si>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</si>
  <si>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</si>
  <si>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</si>
  <si>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</si>
  <si>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</si>
  <si>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</si>
  <si>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</si>
  <si>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</si>
  <si>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</si>
  <si>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</si>
  <si>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</si>
  <si>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</si>
  <si>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</si>
  <si>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</si>
  <si>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</si>
  <si>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</si>
  <si>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</si>
  <si>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</si>
  <si>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</si>
  <si>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</si>
  <si>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</si>
  <si>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</si>
  <si>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</si>
  <si>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</si>
  <si>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</si>
  <si>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</si>
  <si>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</si>
  <si>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</si>
  <si>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</si>
  <si>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</si>
  <si>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</si>
  <si>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</si>
  <si>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</si>
  <si>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</si>
  <si>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</si>
  <si>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</si>
  <si>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</si>
  <si>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</si>
  <si>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</si>
  <si>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</si>
  <si>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</si>
  <si>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</si>
  <si>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</si>
  <si>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</si>
  <si>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</si>
  <si>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</si>
  <si>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</si>
  <si>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</si>
  <si>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</si>
  <si>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</si>
  <si>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</si>
  <si>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</si>
  <si>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</si>
  <si>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</si>
  <si>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</si>
  <si>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</si>
  <si>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</si>
  <si>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</si>
  <si>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</si>
  <si>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</si>
  <si>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</si>
  <si>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</si>
  <si>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</si>
  <si>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</si>
  <si>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</si>
  <si>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</si>
  <si>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</si>
  <si>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</si>
  <si>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</si>
  <si>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</si>
  <si>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</si>
  <si>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</si>
  <si>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</si>
  <si>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</si>
  <si>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</si>
  <si>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</si>
  <si>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</si>
  <si>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</si>
  <si>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</si>
  <si>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</si>
  <si>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</si>
  <si>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</si>
  <si>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</si>
  <si>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</si>
  <si>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</si>
  <si>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</si>
  <si>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</si>
  <si>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</si>
  <si>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</si>
  <si>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</si>
  <si>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</si>
  <si>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</si>
  <si>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</si>
  <si>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</si>
  <si>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</si>
  <si>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</si>
  <si>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</si>
  <si>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</si>
  <si>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</si>
  <si>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</si>
  <si>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</si>
  <si>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</si>
  <si>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</si>
  <si>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</si>
  <si>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</si>
  <si>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</si>
  <si>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</si>
  <si>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</si>
  <si>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</si>
  <si>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</si>
  <si>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</si>
  <si>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</si>
  <si>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</si>
  <si>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</si>
  <si>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</si>
  <si>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</si>
  <si>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</si>
  <si>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</si>
  <si>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</si>
  <si>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</si>
  <si>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</si>
  <si>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</si>
  <si>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</si>
  <si>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</si>
  <si>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</si>
  <si>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</si>
  <si>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</si>
  <si>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</si>
  <si>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</si>
  <si>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</si>
  <si>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</si>
  <si>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</si>
  <si>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</si>
  <si>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</si>
  <si>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</si>
  <si>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</si>
  <si>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</si>
  <si>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</si>
  <si>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</si>
  <si>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</si>
  <si>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</si>
  <si>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</si>
  <si>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</si>
  <si>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</si>
  <si>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</si>
  <si>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</si>
  <si>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</si>
  <si>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</si>
  <si>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</si>
  <si>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</si>
  <si>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</si>
  <si>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</si>
  <si>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</si>
  <si>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</si>
  <si>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</si>
  <si>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</si>
  <si>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</si>
  <si>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</si>
  <si>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</si>
  <si>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</si>
  <si>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</si>
  <si>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</si>
  <si>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</si>
  <si>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</si>
  <si>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</si>
  <si>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</si>
  <si>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</si>
  <si>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</si>
  <si>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</si>
  <si>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</si>
  <si>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</si>
  <si>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</si>
  <si>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</si>
  <si>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</si>
  <si>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</si>
  <si>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</si>
  <si>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</si>
  <si>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</si>
  <si>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</si>
  <si>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</si>
  <si>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</si>
  <si>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</si>
  <si>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</si>
  <si>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</si>
  <si>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</si>
  <si>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</si>
  <si>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</si>
  <si>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</si>
  <si>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</si>
  <si>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</si>
  <si>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</si>
  <si>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</si>
  <si>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</si>
  <si>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</si>
  <si>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</si>
  <si>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</si>
  <si>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</si>
  <si>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</si>
  <si>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</si>
  <si>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</si>
  <si>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</si>
  <si>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</si>
  <si>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</si>
  <si>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</si>
  <si>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</si>
  <si>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</si>
  <si>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</si>
  <si>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</si>
  <si>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</si>
  <si>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</si>
  <si>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</si>
  <si>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</si>
  <si>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</si>
  <si>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</si>
  <si>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</si>
  <si>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</si>
  <si>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</si>
  <si>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</si>
  <si>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</si>
  <si>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</si>
  <si>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</si>
  <si>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</si>
  <si>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</si>
  <si>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</si>
  <si>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</si>
  <si>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</si>
  <si>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</si>
  <si>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</si>
  <si>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</si>
  <si>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</si>
  <si>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</si>
  <si>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</si>
  <si>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</si>
  <si>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</si>
  <si>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</si>
  <si>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</si>
  <si>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</si>
  <si>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</si>
  <si>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</si>
  <si>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</si>
  <si>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</si>
  <si>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</si>
  <si>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</si>
  <si>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</si>
  <si>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</si>
  <si>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</si>
  <si>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</si>
  <si>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</si>
  <si>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</si>
  <si>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</si>
  <si>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</si>
  <si>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</si>
  <si>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</si>
  <si>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</si>
  <si>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</si>
  <si>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</si>
  <si>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</si>
  <si>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</si>
  <si>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</si>
  <si>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</si>
  <si>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</si>
  <si>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</si>
  <si>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</si>
  <si>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</si>
  <si>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</si>
  <si>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</si>
  <si>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</si>
  <si>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</si>
  <si>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</si>
  <si>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</si>
  <si>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</si>
  <si>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</si>
  <si>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</si>
  <si>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</si>
  <si>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</si>
  <si>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</si>
  <si>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</si>
  <si>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</si>
  <si>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</si>
  <si>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</si>
  <si>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</si>
  <si>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</si>
  <si>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</si>
  <si>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</si>
  <si>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</si>
  <si>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</si>
  <si>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</si>
  <si>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</si>
  <si>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</si>
  <si>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</si>
  <si>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</si>
  <si>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</si>
  <si>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</si>
  <si>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</si>
  <si>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</si>
  <si>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</si>
  <si>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</si>
  <si>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</si>
  <si>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</si>
  <si>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</si>
  <si>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</si>
  <si>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</si>
  <si>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</si>
  <si>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</si>
  <si>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</si>
  <si>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</si>
  <si>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</si>
  <si>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</si>
  <si>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</si>
  <si>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</si>
  <si>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</si>
  <si>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</si>
  <si>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</si>
  <si>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</si>
  <si>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</si>
  <si>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</si>
  <si>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</si>
  <si>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</si>
  <si>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</si>
  <si>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</si>
  <si>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</si>
  <si>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</si>
  <si>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</si>
  <si>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</si>
  <si>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</si>
  <si>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</si>
  <si>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</si>
  <si>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</si>
  <si>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</si>
  <si>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</si>
  <si>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</si>
  <si>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</si>
  <si>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</si>
  <si>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</si>
  <si>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</si>
  <si>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</si>
  <si>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</si>
  <si>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</si>
  <si>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</si>
  <si>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</si>
  <si>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</si>
  <si>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</si>
  <si>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</si>
  <si>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</si>
  <si>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</si>
  <si>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</si>
  <si>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</si>
  <si>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</si>
  <si>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</si>
  <si>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</si>
  <si>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</si>
  <si>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</si>
  <si>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</si>
  <si>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</si>
  <si>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</si>
  <si>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</si>
  <si>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</si>
  <si>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</si>
  <si>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</si>
  <si>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</si>
  <si>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</si>
  <si>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</si>
  <si>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</si>
  <si>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</si>
  <si>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</si>
  <si>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</si>
  <si>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</si>
  <si>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</si>
  <si>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</si>
  <si>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</si>
  <si>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</si>
  <si>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</si>
  <si>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</si>
  <si>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</si>
  <si>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</si>
  <si>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</si>
  <si>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</si>
  <si>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</si>
  <si>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</si>
  <si>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</si>
  <si>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</si>
  <si>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</si>
  <si>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</si>
  <si>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</si>
  <si>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</si>
  <si>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</si>
  <si>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</si>
  <si>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</si>
  <si>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</si>
  <si>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</si>
  <si>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</si>
  <si>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</si>
  <si>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</si>
  <si>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</si>
  <si>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</si>
  <si>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</si>
  <si>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</si>
  <si>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</si>
  <si>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</si>
  <si>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</si>
  <si>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</si>
  <si>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</si>
  <si>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</si>
  <si>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</si>
  <si>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</si>
  <si>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</si>
  <si>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</si>
  <si>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</si>
  <si>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</si>
  <si>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</si>
  <si>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</si>
  <si>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</si>
  <si>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</si>
  <si>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</si>
  <si>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</si>
  <si>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</si>
  <si>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</si>
  <si>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</si>
  <si>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</si>
  <si>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</si>
  <si>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</si>
  <si>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</si>
  <si>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</si>
  <si>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</si>
  <si>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</si>
  <si>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</si>
  <si>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</si>
  <si>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</si>
  <si>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</si>
  <si>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</si>
  <si>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</si>
  <si>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</si>
  <si>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</si>
  <si>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</si>
  <si>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</si>
  <si>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</si>
  <si>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</si>
  <si>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</si>
  <si>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</si>
  <si>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</si>
  <si>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</si>
  <si>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</si>
  <si>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</si>
  <si>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</si>
  <si>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</si>
  <si>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</si>
  <si>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</si>
  <si>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</si>
  <si>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</si>
  <si>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</si>
  <si>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</si>
  <si>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</si>
  <si>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</si>
  <si>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</si>
  <si>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</si>
  <si>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</si>
  <si>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</si>
  <si>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</si>
  <si>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</si>
  <si>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</si>
  <si>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</si>
  <si>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</si>
  <si>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</si>
  <si>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</si>
  <si>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</si>
  <si>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</si>
  <si>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</si>
  <si>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</si>
  <si>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</si>
  <si>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</si>
  <si>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</si>
  <si>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</si>
  <si>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</si>
  <si>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</si>
  <si>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</si>
  <si>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</si>
  <si>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</si>
  <si>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</si>
  <si>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</si>
  <si>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</si>
  <si>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</si>
  <si>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</si>
  <si>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</si>
  <si>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</si>
  <si>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</si>
  <si>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</si>
  <si>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</si>
  <si>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</si>
  <si>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</si>
  <si>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</si>
  <si>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</si>
  <si>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</si>
  <si>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</si>
  <si>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</si>
  <si>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</si>
  <si>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</si>
  <si>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</si>
  <si>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</si>
  <si>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</si>
  <si>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</si>
  <si>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</si>
  <si>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</si>
  <si>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</si>
  <si>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</si>
  <si>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</si>
  <si>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</si>
  <si>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</si>
  <si>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</si>
  <si>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</si>
  <si>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</si>
  <si>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</si>
  <si>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</si>
  <si>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</si>
  <si>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</si>
  <si>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</si>
  <si>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</si>
  <si>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</si>
  <si>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</si>
  <si>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</si>
  <si>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</si>
  <si>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</si>
  <si>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</si>
  <si>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</si>
  <si>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</si>
  <si>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</si>
  <si>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</si>
  <si>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</si>
  <si>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</si>
  <si>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</si>
  <si>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</si>
  <si>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</si>
  <si>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</si>
  <si>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</si>
  <si>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</si>
  <si>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</si>
  <si>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</si>
  <si>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</si>
  <si>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</si>
  <si>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</si>
  <si>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</si>
  <si>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</si>
  <si>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</si>
  <si>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</si>
  <si>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</si>
  <si>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</si>
  <si>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</si>
  <si>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</si>
  <si>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</si>
  <si>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</si>
  <si>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</si>
  <si>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</si>
  <si>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</si>
  <si>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</si>
  <si>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</si>
  <si>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</si>
  <si>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</si>
  <si>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</si>
  <si>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</si>
  <si>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</si>
  <si>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</si>
  <si>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</si>
  <si>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</si>
  <si>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</si>
  <si>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</si>
  <si>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</si>
  <si>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</si>
  <si>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</si>
  <si>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</si>
  <si>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</si>
  <si>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</si>
  <si>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</si>
  <si>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</si>
  <si>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</si>
  <si>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</si>
  <si>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</si>
  <si>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</si>
  <si>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</si>
  <si>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</si>
  <si>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</si>
  <si>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</si>
  <si>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</si>
  <si>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</si>
  <si>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</si>
  <si>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</si>
  <si>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</si>
  <si>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</si>
  <si>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</si>
  <si>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</si>
  <si>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</si>
  <si>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</si>
  <si>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</si>
  <si>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</si>
  <si>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</si>
  <si>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</si>
  <si>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</si>
  <si>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</si>
  <si>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</si>
  <si>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</si>
  <si>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</si>
  <si>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</si>
  <si>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</si>
  <si>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</si>
  <si>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</si>
  <si>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</si>
  <si>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</si>
  <si>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</si>
  <si>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</si>
  <si>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</si>
  <si>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</si>
  <si>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</si>
  <si>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</si>
  <si>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</si>
  <si>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</si>
  <si>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</si>
  <si>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</si>
  <si>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</si>
  <si>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</si>
  <si>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</si>
  <si>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</si>
  <si>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</si>
  <si>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</si>
  <si>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</si>
  <si>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</si>
  <si>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</si>
  <si>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</si>
  <si>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</si>
  <si>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</si>
  <si>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</si>
  <si>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</si>
  <si>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</si>
  <si>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</si>
  <si>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</si>
  <si>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</si>
  <si>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</si>
  <si>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</si>
  <si>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</si>
  <si>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</si>
  <si>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</si>
  <si>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</si>
  <si>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</si>
  <si>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</si>
  <si>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</si>
  <si>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</si>
  <si>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</si>
  <si>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</si>
  <si>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</si>
  <si>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</si>
  <si>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</si>
  <si>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</si>
  <si>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</si>
  <si>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</si>
  <si>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</si>
  <si>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</si>
  <si>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</si>
  <si>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</si>
  <si>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</si>
  <si>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</si>
  <si>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</si>
  <si>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</si>
  <si>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</si>
  <si>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</si>
  <si>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</si>
  <si>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</si>
  <si>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</si>
  <si>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</si>
  <si>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</si>
  <si>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</si>
  <si>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</si>
  <si>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</si>
  <si>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</si>
  <si>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</si>
  <si>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</si>
  <si>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</si>
  <si>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</si>
  <si>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</si>
  <si>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</si>
  <si>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</si>
  <si>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</si>
  <si>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</si>
  <si>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</si>
  <si>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</si>
  <si>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</si>
  <si>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</si>
  <si>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</si>
  <si>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</si>
  <si>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</si>
  <si>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</si>
  <si>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</si>
  <si>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</si>
  <si>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</si>
  <si>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</si>
  <si>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</si>
  <si>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</si>
  <si>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</si>
  <si>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</si>
  <si>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</si>
  <si>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</si>
  <si>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</si>
  <si>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</si>
  <si>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</si>
  <si>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</si>
  <si>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</si>
  <si>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</si>
  <si>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</si>
  <si>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</si>
  <si>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</si>
  <si>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</si>
  <si>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</si>
  <si>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</si>
  <si>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</si>
  <si>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</si>
  <si>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</si>
  <si>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</si>
  <si>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</si>
  <si>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</si>
  <si>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</si>
  <si>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</si>
  <si>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</si>
  <si>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</si>
  <si>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</si>
  <si>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</si>
  <si>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</si>
  <si>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</si>
  <si>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</si>
  <si>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</si>
  <si>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</si>
  <si>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</si>
  <si>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</si>
  <si>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</si>
  <si>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</si>
  <si>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</si>
  <si>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</si>
  <si>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</si>
  <si>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</si>
  <si>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</si>
  <si>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</si>
  <si>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</si>
  <si>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</si>
  <si>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</si>
  <si>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</si>
  <si>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</si>
  <si>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</si>
  <si>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</si>
  <si>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</si>
  <si>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</si>
  <si>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</si>
  <si>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</si>
  <si>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</si>
  <si>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</si>
  <si>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</si>
  <si>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</si>
  <si>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</si>
  <si>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</si>
  <si>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</si>
  <si>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</si>
  <si>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</si>
  <si>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</si>
  <si>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</si>
  <si>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</si>
  <si>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</si>
  <si>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</si>
  <si>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</si>
  <si>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</si>
  <si>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</si>
  <si>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</si>
  <si>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</si>
  <si>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</si>
  <si>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</si>
  <si>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</si>
  <si>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</si>
  <si>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</si>
  <si>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</si>
  <si>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</si>
  <si>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</si>
  <si>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</si>
  <si>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</si>
  <si>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</si>
  <si>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</si>
  <si>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</si>
  <si>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</si>
  <si>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</si>
  <si>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</si>
  <si>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</si>
  <si>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</si>
  <si>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</si>
  <si>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</si>
  <si>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</si>
  <si>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</si>
  <si>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</si>
  <si>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</si>
  <si>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</si>
  <si>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</si>
  <si>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</si>
  <si>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</si>
  <si>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</si>
  <si>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</si>
  <si>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</si>
  <si>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</si>
  <si>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</si>
  <si>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</si>
  <si>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</si>
  <si>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</si>
  <si>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</si>
  <si>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</si>
  <si>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</si>
  <si>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</si>
  <si>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</si>
  <si>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</si>
  <si>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</si>
  <si>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</si>
  <si>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</si>
  <si>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</si>
  <si>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</si>
  <si>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</si>
  <si>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</si>
  <si>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</si>
  <si>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</si>
  <si>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</si>
  <si>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</si>
  <si>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</si>
  <si>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</si>
  <si>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</si>
  <si>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</si>
  <si>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</si>
  <si>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</si>
  <si>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</si>
  <si>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</si>
  <si>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</si>
  <si>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</si>
  <si>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</si>
  <si>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</si>
  <si>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</si>
  <si>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</si>
  <si>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</si>
  <si>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</si>
  <si>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</si>
  <si>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</si>
  <si>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</si>
  <si>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</si>
  <si>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</si>
  <si>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</si>
  <si>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</si>
  <si>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</si>
  <si>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</si>
  <si>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</si>
  <si>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</si>
  <si>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</si>
  <si>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</si>
  <si>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</si>
  <si>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</si>
  <si>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</si>
  <si>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</si>
  <si>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</si>
  <si>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</si>
  <si>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</si>
  <si>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</si>
  <si>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</si>
  <si>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</si>
  <si>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</si>
  <si>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</si>
  <si>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</si>
  <si>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</si>
  <si>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</si>
  <si>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</si>
  <si>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</si>
  <si>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</si>
  <si>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</si>
  <si>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</si>
  <si>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</si>
  <si>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</si>
  <si>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</si>
  <si>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</si>
  <si>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</si>
  <si>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</si>
  <si>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</si>
  <si>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</si>
  <si>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</si>
  <si>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</si>
  <si>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</si>
  <si>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</si>
  <si>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</si>
  <si>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</si>
  <si>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</si>
  <si>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</si>
  <si>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</si>
  <si>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</si>
  <si>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</si>
  <si>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</si>
  <si>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</si>
  <si>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</si>
  <si>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</si>
  <si>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</si>
  <si>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</si>
  <si>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</si>
  <si>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</si>
  <si>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</si>
  <si>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</si>
  <si>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</si>
  <si>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</si>
  <si>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</si>
  <si>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</si>
  <si>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</si>
  <si>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</si>
  <si>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</si>
  <si>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</si>
  <si>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</si>
  <si>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</si>
  <si>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</si>
  <si>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</si>
  <si>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</si>
  <si>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</si>
  <si>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</si>
  <si>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</si>
  <si>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</si>
  <si>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</si>
  <si>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</si>
  <si>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</si>
  <si>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</si>
  <si>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</si>
  <si>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</si>
  <si>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</si>
  <si>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</si>
  <si>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</si>
  <si>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</si>
  <si>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</si>
  <si>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</si>
  <si>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</si>
  <si>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</si>
  <si>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</si>
  <si>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</si>
  <si>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</si>
  <si>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</si>
  <si>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</si>
  <si>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</si>
  <si>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</si>
  <si>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</si>
  <si>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</si>
  <si>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</si>
  <si>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</si>
  <si>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</si>
  <si>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</si>
  <si>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</si>
  <si>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</si>
  <si>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</si>
  <si>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</si>
  <si>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</si>
  <si>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</si>
  <si>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</si>
  <si>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</si>
  <si>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</si>
  <si>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</si>
  <si>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</si>
  <si>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</si>
  <si>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</si>
  <si>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</si>
  <si>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</si>
  <si>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</si>
  <si>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</si>
  <si>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</si>
  <si>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</si>
  <si>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</si>
  <si>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</si>
  <si>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</si>
  <si>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</si>
  <si>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</si>
  <si>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</si>
  <si>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</si>
  <si>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</si>
  <si>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</si>
  <si>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</si>
  <si>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</si>
  <si>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</si>
  <si>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</si>
  <si>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</si>
  <si>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</si>
  <si>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</si>
  <si>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</si>
  <si>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</si>
  <si>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</si>
  <si>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</si>
  <si>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</si>
  <si>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</si>
  <si>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</si>
  <si>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</si>
  <si>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</si>
  <si>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</si>
  <si>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</si>
  <si>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</si>
  <si>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</si>
  <si>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</si>
  <si>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</si>
  <si>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</si>
  <si>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</si>
  <si>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</si>
  <si>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</si>
  <si>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</si>
  <si>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</si>
  <si>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</si>
  <si>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</si>
  <si>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</si>
  <si>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</si>
  <si>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</si>
  <si>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</si>
  <si>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</si>
  <si>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</si>
  <si>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</si>
  <si>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</si>
  <si>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</si>
  <si>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</si>
  <si>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</si>
  <si>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</si>
  <si>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</si>
  <si>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</si>
  <si>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</si>
  <si>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</si>
  <si>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</si>
  <si>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</si>
  <si>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</si>
  <si>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</si>
  <si>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</si>
  <si>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</si>
  <si>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</si>
  <si>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</si>
  <si>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</si>
  <si>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</si>
  <si>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</si>
  <si>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</si>
  <si>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</si>
  <si>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</si>
  <si>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</si>
  <si>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</si>
  <si>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</si>
  <si>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</si>
  <si>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</si>
  <si>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</si>
  <si>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</si>
  <si>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</si>
  <si>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</si>
  <si>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</si>
  <si>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</si>
  <si>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</si>
  <si>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</si>
  <si>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</si>
  <si>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</si>
  <si>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</si>
  <si>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</si>
  <si>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</si>
  <si>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</si>
  <si>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</si>
  <si>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</si>
  <si>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</si>
  <si>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</si>
  <si>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</si>
  <si>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</si>
  <si>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</si>
  <si>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</si>
  <si>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</si>
  <si>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</si>
  <si>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</si>
  <si>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</si>
  <si>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</si>
  <si>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</si>
  <si>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</si>
  <si>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</si>
  <si>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</si>
  <si>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</si>
  <si>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</si>
  <si>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</si>
  <si>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</si>
  <si>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</si>
  <si>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</si>
  <si>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</si>
  <si>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</si>
  <si>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</si>
  <si>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</si>
  <si>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</si>
  <si>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</si>
  <si>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</si>
  <si>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</si>
  <si>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</si>
  <si>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</si>
  <si>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</si>
  <si>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</si>
  <si>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</si>
  <si>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</si>
  <si>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</si>
  <si>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</si>
  <si>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</si>
  <si>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</si>
  <si>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</si>
  <si>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</si>
  <si>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</si>
  <si>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</si>
  <si>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</si>
  <si>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</si>
  <si>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</si>
  <si>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</si>
  <si>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</si>
  <si>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</si>
  <si>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</si>
  <si>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</si>
  <si>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</si>
  <si>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</si>
  <si>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</si>
  <si>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</si>
  <si>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</si>
  <si>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</si>
  <si>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</si>
  <si>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</si>
  <si>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</si>
  <si>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</si>
  <si>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</si>
  <si>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</si>
  <si>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</si>
  <si>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</si>
  <si>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</si>
  <si>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</si>
  <si>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</si>
  <si>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</si>
  <si>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</si>
  <si>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</si>
  <si>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</si>
  <si>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</si>
  <si>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</si>
  <si>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</si>
  <si>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</si>
  <si>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</si>
  <si>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</si>
  <si>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</si>
  <si>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</si>
  <si>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</si>
  <si>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</si>
  <si>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</si>
  <si>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</si>
  <si>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</si>
  <si>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</si>
  <si>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</si>
  <si>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</si>
  <si>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</si>
  <si>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</si>
  <si>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</si>
  <si>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</si>
  <si>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</si>
  <si>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</si>
  <si>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</si>
  <si>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</si>
  <si>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</si>
  <si>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</si>
  <si>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</si>
  <si>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</si>
  <si>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</si>
  <si>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</si>
  <si>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</si>
  <si>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</si>
  <si>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</si>
  <si>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</si>
  <si>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</si>
  <si>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</si>
  <si>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</si>
  <si>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</si>
  <si>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</si>
  <si>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</si>
  <si>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</si>
  <si>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</si>
  <si>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</si>
  <si>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</si>
  <si>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</si>
  <si>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</si>
  <si>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</si>
  <si>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</si>
  <si>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</si>
  <si>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</si>
  <si>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</si>
  <si>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</si>
  <si>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</si>
  <si>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</si>
  <si>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</si>
  <si>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</si>
  <si>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</si>
  <si>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</si>
  <si>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</si>
  <si>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</si>
  <si>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</si>
  <si>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</si>
  <si>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</si>
  <si>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</si>
  <si>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</si>
  <si>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</si>
  <si>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</si>
  <si>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</si>
  <si>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</si>
  <si>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</si>
  <si>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</si>
  <si>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</si>
  <si>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</si>
  <si>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</si>
  <si>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</si>
  <si>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</si>
  <si>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</si>
  <si>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</si>
  <si>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</si>
  <si>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</si>
  <si>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</si>
  <si>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</si>
  <si>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</si>
  <si>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</si>
  <si>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</si>
  <si>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</si>
  <si>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</si>
  <si>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</si>
  <si>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</si>
  <si>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</si>
  <si>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</si>
  <si>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</si>
  <si>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</si>
  <si>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</si>
  <si>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</si>
  <si>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</si>
  <si>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</si>
  <si>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</si>
  <si>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</si>
  <si>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</si>
  <si>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</si>
  <si>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</si>
  <si>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</si>
  <si>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</si>
  <si>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</si>
  <si>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</si>
  <si>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</si>
  <si>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</si>
  <si>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</si>
  <si>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</si>
  <si>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</si>
  <si>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</si>
  <si>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</si>
  <si>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</si>
  <si>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</si>
  <si>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</si>
  <si>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</si>
  <si>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</si>
  <si>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</si>
  <si>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</si>
  <si>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</si>
  <si>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</si>
  <si>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</si>
  <si>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</si>
  <si>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</si>
  <si>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</si>
  <si>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</si>
  <si>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</si>
  <si>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</si>
  <si>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</si>
  <si>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</si>
  <si>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</si>
  <si>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</si>
  <si>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</si>
  <si>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</si>
  <si>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</si>
  <si>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</si>
  <si>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</si>
  <si>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</si>
  <si>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</si>
  <si>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</si>
  <si>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</si>
  <si>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</si>
  <si>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</si>
  <si>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</si>
  <si>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</si>
  <si>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</si>
  <si>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</si>
  <si>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</si>
  <si>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</si>
  <si>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</si>
  <si>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</si>
  <si>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</si>
  <si>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</si>
  <si>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</si>
  <si>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</si>
  <si>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</si>
  <si>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</si>
  <si>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</si>
  <si>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</si>
  <si>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</si>
  <si>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</si>
  <si>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</si>
  <si>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</si>
  <si>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</si>
  <si>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</si>
  <si>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</si>
  <si>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</si>
  <si>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</si>
  <si>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</si>
  <si>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</si>
  <si>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</si>
  <si>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</si>
  <si>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</si>
  <si>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</si>
  <si>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</si>
  <si>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</si>
  <si>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</si>
  <si>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</si>
  <si>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</si>
  <si>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</si>
  <si>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</si>
  <si>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</si>
  <si>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</si>
  <si>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</si>
  <si>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</si>
  <si>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</si>
  <si>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</si>
  <si>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</si>
  <si>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</si>
  <si>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</si>
  <si>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</si>
  <si>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</si>
  <si>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</si>
  <si>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</si>
  <si>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</si>
  <si>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</si>
  <si>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</si>
  <si>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</si>
  <si>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</si>
  <si>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</si>
  <si>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</si>
  <si>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</si>
  <si>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</si>
  <si>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</si>
  <si>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</si>
  <si>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</si>
  <si>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</si>
  <si>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</si>
  <si>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</si>
  <si>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</si>
  <si>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</si>
  <si>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</si>
  <si>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</si>
  <si>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</si>
  <si>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</si>
  <si>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</si>
  <si>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</si>
  <si>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</si>
  <si>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</si>
  <si>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</si>
  <si>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</si>
  <si>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</si>
  <si>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</si>
  <si>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</si>
  <si>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</si>
  <si>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</si>
  <si>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</si>
  <si>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</si>
  <si>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</si>
  <si>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</si>
  <si>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</si>
  <si>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</si>
  <si>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</si>
  <si>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</si>
  <si>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</si>
  <si>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</si>
  <si>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</si>
  <si>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</si>
  <si>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</si>
  <si>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</si>
  <si>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</si>
  <si>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</si>
  <si>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</si>
  <si>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</si>
  <si>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</si>
  <si>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</si>
  <si>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</si>
  <si>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</si>
  <si>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</si>
  <si>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</si>
  <si>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</si>
  <si>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</si>
  <si>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</si>
  <si>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</si>
  <si>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</si>
  <si>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</si>
  <si>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</si>
  <si>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</si>
  <si>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</si>
  <si>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</si>
  <si>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</si>
  <si>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</si>
  <si>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</si>
  <si>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</si>
  <si>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</si>
  <si>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</si>
  <si>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</si>
  <si>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</si>
  <si>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</si>
  <si>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</si>
  <si>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</si>
  <si>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</si>
  <si>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</si>
  <si>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</si>
  <si>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</si>
  <si>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</si>
  <si>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</si>
  <si>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</si>
  <si>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</si>
  <si>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</si>
  <si>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</si>
  <si>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</si>
  <si>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</si>
  <si>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</si>
  <si>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</si>
  <si>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</si>
  <si>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</si>
  <si>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</si>
  <si>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</si>
  <si>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</si>
  <si>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</si>
  <si>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</si>
  <si>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</si>
  <si>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</si>
  <si>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</si>
  <si>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</si>
  <si>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</si>
  <si>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</si>
  <si>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</si>
  <si>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</si>
  <si>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</si>
  <si>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</si>
  <si>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</si>
  <si>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</si>
  <si>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</si>
  <si>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</si>
  <si>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</si>
  <si>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</si>
  <si>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</si>
  <si>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</si>
  <si>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</si>
  <si>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</si>
  <si>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</si>
  <si>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</si>
  <si>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</si>
  <si>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</si>
  <si>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</si>
  <si>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</si>
  <si>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</si>
  <si>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</si>
  <si>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</si>
  <si>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</si>
  <si>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</si>
  <si>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</si>
  <si>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</si>
  <si>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</si>
  <si>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</si>
  <si>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</si>
  <si>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</si>
  <si>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</si>
  <si>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</si>
  <si>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</si>
  <si>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</si>
  <si>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</si>
  <si>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</si>
  <si>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</si>
  <si>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</si>
  <si>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</si>
  <si>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</si>
  <si>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</si>
  <si>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</si>
  <si>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</si>
  <si>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</si>
  <si>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</si>
  <si>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</si>
  <si>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</si>
  <si>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</si>
  <si>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</si>
  <si>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</si>
  <si>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</si>
  <si>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</si>
  <si>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</si>
  <si>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</si>
  <si>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</si>
  <si>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</si>
  <si>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</si>
  <si>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</si>
  <si>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</si>
  <si>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</si>
  <si>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</si>
  <si>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</si>
  <si>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</si>
  <si>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</si>
  <si>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</si>
  <si>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</si>
  <si>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</si>
  <si>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</si>
  <si>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</si>
  <si>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</si>
  <si>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</si>
  <si>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</si>
  <si>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</si>
  <si>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</si>
  <si>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</si>
  <si>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</si>
  <si>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</si>
  <si>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</si>
  <si>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</si>
  <si>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</si>
  <si>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</si>
  <si>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</si>
  <si>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</si>
  <si>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</si>
  <si>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</si>
  <si>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</si>
  <si>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</si>
  <si>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</si>
  <si>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</si>
  <si>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</si>
  <si>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</si>
  <si>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</si>
  <si>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</si>
  <si>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</si>
  <si>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</si>
  <si>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</si>
  <si>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</si>
  <si>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</si>
  <si>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</si>
  <si>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</si>
  <si>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</si>
  <si>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</si>
  <si>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</si>
  <si>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</si>
  <si>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</si>
  <si>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</si>
  <si>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</si>
  <si>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</si>
  <si>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</si>
  <si>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</si>
  <si>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</si>
  <si>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</si>
  <si>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</si>
  <si>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</si>
  <si>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</si>
  <si>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</si>
  <si>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</si>
  <si>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</si>
  <si>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</si>
  <si>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</si>
  <si>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</si>
  <si>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</si>
  <si>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</si>
  <si>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</si>
  <si>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</si>
  <si>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</si>
  <si>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</si>
  <si>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</si>
  <si>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</si>
  <si>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</si>
  <si>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</si>
  <si>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</si>
  <si>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</si>
  <si>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</si>
  <si>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</si>
  <si>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</si>
  <si>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</si>
  <si>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</si>
  <si>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</si>
  <si>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</si>
  <si>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</si>
  <si>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</si>
  <si>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</si>
  <si>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</si>
  <si>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</si>
  <si>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</si>
  <si>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</si>
  <si>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</si>
  <si>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</si>
  <si>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</si>
  <si>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</si>
  <si>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</si>
  <si>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</si>
  <si>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</si>
  <si>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</si>
  <si>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</si>
  <si>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</si>
  <si>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</si>
  <si>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</si>
  <si>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</si>
  <si>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</si>
  <si>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</si>
  <si>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</si>
  <si>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</si>
  <si>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</si>
  <si>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</si>
  <si>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</si>
  <si>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</si>
  <si>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</si>
  <si>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</si>
  <si>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</si>
  <si>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</si>
  <si>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</si>
  <si>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</si>
  <si>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</si>
  <si>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</si>
  <si>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</si>
  <si>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</si>
  <si>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</si>
  <si>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</si>
  <si>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</si>
  <si>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</si>
  <si>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</si>
  <si>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</si>
  <si>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</si>
  <si>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</si>
  <si>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</si>
  <si>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</si>
  <si>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</si>
  <si>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</si>
  <si>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</si>
  <si>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</si>
  <si>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</si>
  <si>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</si>
  <si>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</si>
  <si>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</si>
  <si>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</si>
  <si>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</si>
  <si>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</si>
  <si>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</si>
  <si>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</si>
  <si>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</si>
  <si>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</si>
  <si>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</si>
  <si>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</si>
  <si>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</si>
  <si>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</si>
  <si>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</si>
  <si>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</si>
  <si>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</si>
  <si>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</si>
  <si>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</si>
  <si>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</si>
  <si>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</si>
  <si>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</si>
  <si>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</si>
  <si>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</si>
  <si>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</si>
  <si>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</si>
  <si>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</si>
  <si>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</si>
  <si>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</si>
  <si>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</si>
  <si>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</si>
  <si>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</si>
  <si>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</si>
  <si>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</si>
  <si>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</si>
  <si>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</si>
  <si>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</si>
  <si>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</si>
  <si>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</si>
  <si>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</si>
  <si>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</si>
  <si>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</si>
  <si>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</si>
  <si>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</si>
  <si>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</si>
  <si>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</si>
  <si>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</si>
  <si>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</si>
  <si>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</si>
  <si>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</si>
  <si>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</si>
  <si>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</si>
  <si>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</si>
  <si>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</si>
  <si>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</si>
  <si>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</si>
  <si>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</si>
  <si>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</si>
  <si>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</si>
  <si>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</si>
  <si>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</si>
  <si>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</si>
  <si>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</si>
  <si>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</si>
  <si>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</si>
  <si>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</si>
  <si>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</si>
  <si>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</si>
  <si>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</si>
  <si>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</si>
  <si>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</si>
  <si>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</si>
  <si>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</si>
  <si>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</si>
  <si>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</si>
  <si>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</si>
  <si>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</si>
  <si>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</si>
  <si>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</si>
  <si>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</si>
  <si>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</si>
  <si>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</si>
  <si>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</si>
  <si>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</si>
  <si>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</si>
  <si>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</si>
  <si>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</si>
  <si>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</si>
  <si>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</si>
  <si>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</si>
  <si>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</si>
  <si>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</si>
  <si>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</si>
  <si>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</si>
  <si>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</si>
  <si>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</si>
  <si>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</si>
  <si>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</si>
  <si>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</si>
  <si>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</si>
  <si>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</si>
  <si>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</si>
  <si>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</si>
  <si>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</si>
  <si>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</si>
  <si>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</si>
  <si>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</si>
  <si>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</si>
  <si>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</si>
  <si>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</si>
  <si>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</si>
  <si>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</si>
  <si>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</si>
  <si>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</si>
  <si>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</si>
  <si>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</si>
  <si>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</si>
  <si>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</si>
  <si>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</si>
  <si>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</si>
  <si>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</si>
  <si>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</si>
  <si>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</si>
  <si>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</si>
  <si>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</si>
  <si>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</si>
  <si>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</si>
  <si>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</si>
  <si>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</si>
  <si>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</si>
  <si>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</si>
  <si>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</si>
  <si>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</si>
  <si>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</si>
  <si>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</si>
  <si>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</si>
  <si>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</si>
  <si>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</si>
  <si>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</si>
  <si>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</si>
  <si>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</si>
  <si>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</si>
  <si>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</si>
  <si>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</si>
  <si>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</si>
  <si>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</si>
  <si>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</si>
  <si>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</si>
  <si>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</si>
  <si>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</si>
  <si>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</si>
  <si>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</si>
  <si>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</si>
  <si>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</si>
  <si>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</si>
  <si>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</si>
  <si>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</si>
  <si>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</si>
  <si>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</si>
  <si>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</si>
  <si>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</si>
  <si>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</si>
  <si>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</si>
  <si>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</si>
  <si>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</si>
  <si>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</si>
  <si>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</si>
  <si>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</si>
  <si>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</si>
  <si>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</si>
  <si>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</si>
  <si>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</si>
  <si>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</si>
  <si>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</si>
  <si>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</si>
  <si>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</si>
  <si>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</si>
  <si>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</si>
  <si>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</si>
  <si>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</si>
  <si>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</si>
  <si>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</si>
  <si>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</si>
  <si>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</si>
  <si>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</si>
  <si>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</si>
  <si>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</si>
  <si>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</si>
  <si>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</si>
  <si>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</si>
  <si>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</si>
  <si>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</si>
  <si>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</si>
  <si>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</si>
  <si>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</si>
  <si>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</si>
  <si>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</si>
  <si>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</si>
  <si>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</si>
  <si>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</si>
  <si>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</si>
  <si>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</si>
  <si>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</si>
  <si>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</si>
  <si>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</si>
  <si>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</si>
  <si>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</si>
  <si>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</si>
  <si>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</si>
  <si>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</si>
  <si>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</si>
  <si>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</si>
  <si>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</si>
  <si>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</si>
  <si>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</si>
  <si>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</si>
  <si>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</si>
  <si>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</si>
  <si>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</si>
  <si>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</si>
  <si>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</si>
  <si>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</si>
  <si>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</si>
  <si>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</si>
  <si>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</si>
  <si>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</si>
  <si>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</si>
  <si>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</si>
  <si>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</si>
  <si>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</si>
  <si>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</si>
  <si>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</si>
  <si>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</si>
  <si>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</si>
  <si>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</si>
  <si>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</si>
  <si>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</si>
  <si>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</si>
  <si>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</si>
  <si>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</si>
  <si>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</si>
  <si>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</si>
  <si>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</si>
  <si>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</si>
  <si>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</si>
  <si>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</si>
  <si>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</si>
  <si>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</si>
  <si>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</si>
  <si>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</si>
  <si>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</si>
  <si>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</si>
  <si>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</si>
  <si>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</si>
  <si>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</si>
  <si>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</si>
  <si>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</si>
  <si>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</si>
  <si>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</si>
  <si>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</si>
  <si>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</si>
  <si>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</si>
  <si>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</si>
  <si>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</si>
  <si>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</si>
  <si>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</si>
  <si>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</si>
  <si>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</si>
  <si>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</si>
  <si>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</si>
  <si>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</si>
  <si>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</si>
  <si>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</si>
  <si>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</si>
  <si>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</si>
  <si>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</si>
  <si>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</si>
  <si>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</si>
  <si>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</si>
  <si>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</si>
  <si>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</si>
  <si>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</si>
  <si>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</si>
  <si>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</si>
  <si>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</si>
  <si>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</si>
  <si>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</si>
  <si>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</si>
  <si>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</si>
  <si>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</si>
  <si>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</si>
  <si>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</si>
  <si>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</si>
  <si>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</si>
  <si>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</si>
  <si>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</si>
  <si>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</si>
  <si>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</si>
  <si>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</si>
  <si>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</si>
  <si>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</si>
  <si>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</si>
  <si>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</si>
  <si>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</si>
  <si>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</si>
  <si>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</si>
  <si>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</si>
  <si>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</si>
  <si>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</si>
  <si>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</si>
  <si>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</si>
  <si>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</si>
  <si>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</si>
  <si>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</si>
  <si>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</si>
  <si>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</si>
  <si>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</si>
  <si>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</si>
  <si>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</si>
  <si>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</si>
  <si>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</si>
  <si>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</si>
  <si>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</si>
  <si>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</si>
  <si>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</si>
  <si>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</si>
  <si>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</si>
  <si>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</si>
  <si>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</si>
  <si>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</si>
  <si>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</si>
  <si>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</si>
  <si>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</si>
  <si>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</si>
  <si>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</si>
  <si>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</si>
  <si>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</si>
  <si>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</si>
  <si>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</si>
  <si>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</si>
  <si>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</si>
  <si>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</si>
  <si>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</si>
  <si>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</si>
  <si>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</si>
  <si>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</si>
  <si>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</si>
  <si>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</si>
  <si>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</si>
  <si>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</si>
  <si>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</si>
  <si>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</si>
  <si>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</si>
  <si>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</si>
  <si>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</si>
  <si>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</si>
  <si>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</si>
  <si>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</si>
  <si>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</si>
  <si>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</si>
  <si>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</si>
  <si>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</si>
  <si>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</si>
  <si>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</si>
  <si>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</si>
  <si>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</si>
  <si>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</si>
  <si>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</si>
  <si>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</si>
  <si>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</si>
  <si>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</si>
  <si>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</si>
  <si>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</si>
  <si>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</si>
  <si>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</si>
  <si>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</si>
  <si>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</si>
  <si>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</si>
  <si>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</si>
  <si>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</si>
  <si>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</si>
  <si>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</si>
  <si>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</si>
  <si>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</si>
  <si>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</si>
  <si>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</si>
  <si>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</si>
  <si>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</si>
  <si>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</si>
  <si>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</si>
  <si>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</si>
  <si>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</si>
  <si>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</si>
  <si>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</si>
  <si>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</si>
  <si>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</si>
  <si>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</si>
  <si>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</si>
  <si>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</si>
  <si>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</si>
  <si>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</si>
  <si>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</si>
  <si>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</si>
  <si>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</si>
  <si>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</si>
  <si>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</si>
  <si>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</si>
  <si>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</si>
  <si>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</si>
  <si>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</si>
  <si>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</si>
  <si>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</si>
  <si>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</si>
  <si>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</si>
  <si>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</si>
  <si>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</si>
  <si>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</si>
  <si>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</si>
  <si>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</si>
  <si>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</si>
  <si>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</si>
  <si>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</si>
  <si>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</si>
  <si>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</si>
  <si>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</si>
  <si>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</si>
  <si>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</si>
  <si>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</si>
  <si>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</si>
  <si>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</si>
  <si>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</si>
  <si>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</si>
  <si>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</si>
  <si>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</si>
  <si>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</si>
  <si>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</si>
  <si>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</si>
  <si>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</si>
  <si>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</si>
  <si>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</si>
  <si>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</si>
  <si>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</si>
  <si>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</si>
  <si>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</si>
  <si>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</si>
  <si>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</si>
  <si>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</si>
  <si>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</si>
  <si>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</si>
  <si>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</si>
  <si>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</si>
  <si>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</si>
  <si>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</si>
  <si>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</si>
  <si>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</si>
  <si>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</si>
  <si>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</si>
  <si>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</si>
  <si>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</si>
  <si>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</si>
  <si>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</si>
  <si>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</si>
  <si>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</si>
  <si>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</si>
  <si>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</si>
  <si>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</si>
  <si>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</si>
  <si>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</si>
  <si>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</si>
  <si>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</si>
  <si>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</si>
  <si>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</si>
  <si>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</si>
  <si>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</si>
  <si>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</si>
  <si>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</si>
  <si>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</si>
  <si>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</si>
  <si>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</si>
  <si>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</si>
  <si>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</si>
  <si>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</si>
  <si>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</si>
  <si>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</si>
  <si>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</si>
  <si>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</si>
  <si>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</si>
  <si>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</si>
  <si>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</si>
  <si>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</si>
  <si>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</si>
  <si>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</si>
  <si>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</si>
  <si>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</si>
  <si>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</si>
  <si>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</si>
  <si>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</si>
  <si>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</si>
  <si>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</si>
  <si>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</si>
  <si>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</si>
  <si>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</si>
  <si>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</si>
  <si>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</si>
  <si>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</si>
  <si>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</si>
  <si>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</si>
  <si>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</si>
  <si>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</si>
  <si>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</si>
  <si>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</si>
  <si>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</si>
  <si>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</si>
  <si>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</si>
  <si>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</si>
  <si>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</si>
  <si>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</si>
  <si>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</si>
  <si>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</si>
  <si>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</si>
  <si>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</si>
  <si>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</si>
  <si>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</si>
  <si>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</si>
  <si>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</si>
  <si>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</si>
  <si>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</si>
  <si>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</si>
  <si>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</si>
  <si>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</si>
  <si>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</si>
  <si>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</si>
  <si>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</si>
  <si>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</si>
  <si>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</si>
  <si>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</si>
  <si>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</si>
  <si>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</si>
  <si>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</si>
  <si>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</si>
  <si>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</si>
  <si>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</si>
  <si>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</si>
  <si>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</si>
  <si>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</si>
  <si>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</si>
  <si>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</si>
  <si>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</si>
  <si>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</si>
  <si>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</si>
  <si>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</si>
  <si>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</si>
  <si>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</si>
  <si>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</si>
  <si>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</si>
  <si>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</si>
  <si>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</si>
  <si>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</si>
  <si>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</si>
  <si>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</si>
  <si>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</si>
  <si>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</si>
  <si>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</si>
  <si>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</si>
  <si>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</si>
  <si>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</si>
  <si>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</si>
  <si>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</si>
  <si>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</si>
  <si>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</si>
  <si>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</si>
  <si>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</si>
  <si>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</si>
  <si>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</si>
  <si>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</si>
  <si>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</si>
  <si>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</si>
  <si>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</si>
  <si>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</si>
  <si>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</si>
  <si>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</si>
  <si>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</si>
  <si>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</si>
  <si>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</si>
  <si>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</si>
  <si>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</si>
  <si>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</si>
  <si>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</si>
  <si>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</si>
  <si>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</si>
  <si>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</si>
  <si>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</si>
  <si>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</si>
  <si>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</si>
  <si>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</si>
  <si>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</si>
  <si>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</si>
  <si>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</si>
  <si>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</si>
  <si>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</si>
  <si>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</si>
  <si>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</si>
  <si>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</si>
  <si>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</si>
  <si>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</si>
  <si>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</si>
  <si>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</si>
  <si>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</si>
  <si>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</si>
  <si>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</si>
  <si>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</si>
  <si>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</si>
  <si>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</si>
  <si>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</si>
  <si>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</si>
  <si>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</si>
  <si>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</si>
  <si>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</si>
  <si>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</si>
  <si>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</si>
  <si>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</si>
  <si>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</si>
  <si>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</si>
  <si>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</si>
  <si>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</si>
  <si>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</si>
  <si>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</si>
  <si>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</si>
  <si>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</si>
  <si>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</si>
  <si>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</si>
  <si>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</si>
  <si>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</si>
  <si>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</si>
  <si>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</si>
  <si>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</si>
  <si>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</si>
  <si>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</si>
  <si>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</si>
  <si>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</si>
  <si>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</si>
  <si>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</si>
  <si>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</si>
  <si>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</si>
  <si>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</si>
  <si>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</si>
  <si>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</si>
  <si>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</si>
  <si>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</si>
  <si>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</si>
  <si>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</si>
  <si>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</si>
  <si>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</si>
  <si>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</si>
  <si>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</si>
  <si>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</si>
  <si>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</si>
  <si>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</si>
  <si>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</si>
  <si>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</si>
  <si>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</si>
  <si>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</si>
  <si>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</si>
  <si>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</si>
  <si>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</si>
  <si>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</si>
  <si>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</si>
  <si>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</si>
  <si>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</si>
  <si>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</si>
  <si>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</si>
  <si>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</si>
  <si>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</si>
  <si>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</si>
  <si>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</si>
  <si>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</si>
  <si>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</si>
  <si>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</si>
  <si>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</si>
  <si>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</si>
  <si>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</si>
  <si>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</si>
  <si>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</si>
  <si>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</si>
  <si>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</si>
  <si>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</si>
  <si>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</si>
  <si>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</si>
  <si>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</si>
  <si>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</si>
  <si>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</si>
  <si>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</si>
  <si>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</si>
  <si>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</si>
  <si>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</si>
  <si>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</si>
  <si>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</si>
  <si>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</si>
  <si>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</si>
  <si>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</si>
  <si>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</si>
  <si>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</si>
  <si>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</si>
  <si>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</si>
  <si>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</si>
  <si>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</si>
  <si>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</si>
  <si>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</si>
  <si>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</si>
  <si>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</si>
  <si>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</si>
  <si>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</si>
  <si>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</si>
  <si>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</si>
  <si>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</si>
  <si>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</si>
  <si>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</si>
  <si>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</si>
  <si>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</si>
  <si>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</si>
  <si>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</si>
  <si>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</si>
  <si>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</si>
  <si>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</si>
  <si>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</si>
  <si>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</si>
  <si>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</si>
  <si>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</si>
  <si>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</si>
  <si>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</si>
  <si>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</si>
  <si>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</si>
  <si>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</si>
  <si>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</si>
  <si>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</si>
  <si>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</si>
  <si>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</si>
  <si>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</si>
  <si>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</si>
  <si>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</si>
  <si>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</si>
  <si>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</si>
  <si>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</si>
  <si>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</si>
  <si>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</si>
  <si>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</si>
  <si>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</si>
  <si>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</si>
  <si>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</si>
  <si>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</si>
  <si>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</si>
  <si>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</si>
  <si>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</si>
  <si>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</si>
  <si>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</si>
  <si>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</si>
  <si>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</si>
  <si>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</si>
  <si>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</si>
  <si>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</si>
  <si>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</si>
  <si>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</si>
  <si>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</si>
  <si>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</si>
  <si>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</si>
  <si>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</si>
  <si>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</si>
  <si>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</si>
  <si>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</si>
  <si>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</si>
  <si>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</si>
  <si>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</si>
  <si>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</si>
  <si>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</si>
  <si>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</si>
  <si>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</si>
  <si>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</si>
  <si>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</si>
  <si>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</si>
  <si>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</si>
  <si>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</si>
  <si>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</si>
  <si>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</si>
  <si>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</si>
  <si>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</si>
  <si>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</si>
  <si>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</si>
  <si>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</si>
  <si>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</si>
  <si>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</si>
  <si>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</si>
  <si>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</si>
  <si>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</si>
  <si>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</si>
  <si>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</si>
  <si>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</si>
  <si>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</si>
  <si>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</si>
  <si>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</si>
  <si>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</si>
  <si>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</si>
  <si>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</si>
  <si>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</si>
  <si>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</si>
  <si>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</si>
  <si>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</si>
  <si>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</si>
  <si>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</si>
  <si>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</si>
  <si>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</si>
  <si>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</si>
  <si>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</si>
  <si>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</si>
  <si>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</si>
  <si>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</si>
  <si>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</si>
  <si>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</si>
  <si>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</si>
  <si>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</si>
  <si>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</si>
  <si>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</si>
  <si>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</si>
  <si>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</si>
  <si>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</si>
  <si>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</si>
  <si>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</si>
  <si>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</si>
  <si>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</si>
  <si>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</si>
  <si>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</si>
  <si>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</si>
  <si>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</si>
  <si>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</si>
  <si>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</si>
  <si>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</si>
  <si>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</si>
  <si>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</si>
  <si>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</si>
  <si>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</si>
  <si>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</si>
  <si>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</si>
  <si>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</si>
  <si>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</si>
  <si>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</si>
  <si>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</si>
  <si>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</si>
  <si>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</si>
  <si>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</si>
  <si>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</si>
  <si>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</si>
  <si>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</si>
  <si>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</si>
  <si>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</si>
  <si>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</si>
  <si>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</si>
  <si>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</si>
  <si>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</si>
  <si>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</si>
  <si>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</si>
  <si>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</si>
  <si>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</si>
  <si>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</si>
  <si>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</si>
  <si>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</si>
  <si>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</si>
  <si>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</si>
  <si>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</si>
  <si>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</si>
  <si>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</si>
  <si>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</si>
  <si>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</si>
  <si>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</si>
  <si>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</si>
  <si>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</si>
  <si>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</si>
  <si>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</si>
  <si>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</si>
  <si>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</si>
  <si>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</si>
  <si>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</si>
  <si>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</si>
  <si>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</si>
  <si>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</si>
  <si>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</si>
  <si>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</si>
  <si>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</si>
  <si>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</si>
  <si>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</si>
  <si>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</si>
  <si>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</si>
  <si>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</si>
  <si>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</si>
  <si>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</si>
  <si>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</si>
  <si>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</si>
  <si>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</si>
  <si>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</si>
  <si>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</si>
  <si>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</si>
  <si>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</si>
  <si>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</si>
  <si>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</si>
  <si>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</si>
  <si>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</si>
  <si>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</si>
  <si>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</si>
  <si>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</si>
  <si>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</si>
  <si>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</si>
  <si>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</si>
  <si>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</si>
  <si>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</si>
  <si>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</si>
  <si>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</si>
  <si>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</si>
  <si>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</si>
  <si>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</si>
  <si>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</si>
  <si>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</si>
  <si>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</si>
  <si>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</si>
  <si>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</si>
  <si>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</si>
  <si>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</si>
  <si>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</si>
  <si>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</si>
  <si>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</si>
  <si>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</si>
  <si>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</si>
  <si>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</si>
  <si>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</si>
  <si>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</si>
  <si>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</si>
  <si>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</si>
  <si>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</si>
  <si>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</si>
  <si>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</si>
  <si>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</si>
  <si>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</si>
  <si>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</si>
  <si>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</si>
  <si>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</si>
  <si>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</si>
  <si>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</si>
  <si>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</si>
  <si>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</si>
  <si>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</si>
  <si>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</si>
  <si>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</si>
  <si>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</si>
  <si>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</si>
  <si>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</si>
  <si>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</si>
  <si>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</si>
  <si>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</si>
  <si>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</si>
  <si>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</si>
  <si>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</si>
  <si>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</si>
  <si>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</si>
  <si>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</si>
  <si>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</si>
  <si>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</si>
  <si>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</si>
  <si>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</si>
  <si>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</si>
  <si>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</si>
  <si>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</si>
  <si>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</si>
  <si>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</si>
  <si>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</si>
  <si>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</si>
  <si>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</si>
  <si>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</si>
  <si>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</si>
  <si>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</si>
  <si>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</si>
  <si>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</si>
  <si>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</si>
  <si>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</si>
  <si>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</si>
  <si>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</si>
  <si>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</si>
  <si>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</si>
  <si>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</si>
  <si>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</si>
  <si>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</si>
  <si>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</si>
  <si>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</si>
  <si>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</si>
  <si>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</si>
  <si>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</si>
  <si>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</si>
  <si>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</si>
  <si>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</si>
  <si>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</si>
  <si>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</si>
  <si>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</si>
  <si>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</si>
  <si>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</si>
  <si>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</si>
  <si>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</si>
  <si>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</si>
  <si>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</si>
  <si>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</si>
  <si>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</si>
  <si>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</si>
  <si>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</si>
  <si>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</si>
  <si>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</si>
  <si>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</si>
  <si>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</si>
  <si>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</si>
  <si>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</si>
  <si>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</si>
  <si>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</si>
  <si>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</si>
  <si>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</si>
  <si>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</si>
  <si>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</si>
  <si>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</si>
  <si>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</si>
  <si>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</si>
  <si>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</si>
  <si>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</si>
  <si>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</si>
  <si>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</si>
  <si>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</si>
  <si>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</si>
  <si>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</si>
  <si>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</si>
  <si>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</si>
  <si>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</si>
  <si>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</si>
  <si>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</si>
  <si>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</si>
  <si>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</si>
  <si>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</si>
  <si>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</si>
  <si>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</si>
  <si>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</si>
  <si>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</si>
  <si>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</si>
  <si>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</si>
  <si>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</si>
  <si>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</si>
  <si>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</si>
  <si>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</si>
  <si>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</si>
  <si>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</si>
  <si>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</si>
  <si>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</si>
  <si>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</si>
  <si>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</si>
  <si>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</si>
  <si>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</si>
  <si>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</si>
  <si>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</si>
  <si>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</si>
  <si>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</si>
  <si>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</si>
  <si>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</si>
  <si>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</si>
  <si>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</si>
  <si>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</si>
  <si>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</si>
  <si>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</si>
  <si>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</si>
  <si>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</si>
  <si>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</si>
  <si>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</si>
  <si>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</si>
  <si>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</si>
  <si>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</si>
  <si>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</si>
  <si>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</si>
  <si>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</si>
  <si>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</si>
  <si>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</si>
  <si>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</si>
  <si>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</si>
  <si>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</si>
  <si>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</si>
  <si>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</si>
  <si>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</si>
  <si>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</si>
  <si>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</si>
  <si>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</si>
  <si>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</si>
  <si>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</si>
  <si>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</si>
  <si>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</si>
  <si>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</si>
  <si>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</si>
  <si>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</si>
  <si>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</si>
  <si>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</si>
  <si>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</si>
  <si>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</si>
  <si>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</si>
  <si>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</si>
  <si>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</si>
  <si>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</si>
  <si>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</si>
  <si>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</si>
  <si>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</si>
  <si>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</si>
  <si>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</si>
  <si>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</si>
  <si>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</si>
  <si>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</si>
  <si>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</si>
  <si>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</si>
  <si>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</si>
  <si>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</si>
  <si>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</si>
  <si>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</si>
  <si>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</si>
  <si>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</si>
  <si>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</si>
  <si>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</si>
  <si>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</si>
  <si>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</si>
  <si>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</si>
  <si>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</si>
  <si>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</si>
  <si>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</si>
  <si>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</si>
  <si>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</si>
  <si>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</si>
  <si>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</si>
  <si>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</si>
  <si>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</si>
  <si>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</si>
  <si>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</si>
  <si>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</si>
  <si>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</si>
  <si>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</si>
  <si>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</si>
  <si>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</si>
  <si>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</si>
  <si>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</si>
  <si>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</si>
  <si>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</si>
  <si>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</si>
  <si>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</si>
  <si>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</si>
  <si>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</si>
  <si>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</si>
  <si>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</si>
  <si>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</si>
  <si>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</si>
  <si>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</si>
  <si>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</si>
  <si>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</si>
  <si>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</si>
  <si>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</si>
  <si>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</si>
  <si>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</si>
  <si>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</si>
  <si>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</si>
  <si>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</si>
  <si>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</si>
  <si>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</si>
  <si>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</si>
  <si>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</si>
  <si>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</si>
  <si>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</si>
  <si>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</si>
  <si>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</si>
  <si>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</si>
  <si>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</si>
  <si>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</si>
  <si>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</si>
  <si>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</si>
  <si>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</si>
  <si>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</si>
  <si>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</si>
  <si>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</si>
  <si>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</si>
  <si>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</si>
  <si>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</si>
  <si>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</si>
  <si>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</si>
  <si>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</si>
  <si>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</si>
  <si>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</si>
  <si>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</si>
  <si>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</si>
  <si>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</si>
  <si>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</si>
  <si>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</si>
  <si>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</si>
  <si>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</si>
  <si>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</si>
  <si>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</si>
  <si>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</si>
  <si>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</si>
  <si>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</si>
  <si>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</si>
  <si>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</si>
  <si>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</si>
  <si>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</si>
  <si>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</si>
  <si>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</si>
  <si>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</si>
  <si>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</si>
  <si>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</si>
  <si>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</si>
  <si>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</si>
  <si>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</si>
  <si>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</si>
  <si>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</si>
  <si>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</si>
  <si>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</si>
  <si>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</si>
  <si>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</si>
  <si>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</si>
  <si>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</si>
  <si>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</si>
  <si>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</si>
  <si>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</si>
  <si>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</si>
  <si>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</si>
  <si>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</si>
  <si>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</si>
  <si>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</si>
  <si>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</si>
  <si>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</si>
  <si>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</si>
  <si>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</si>
  <si>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</si>
  <si>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</si>
  <si>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</si>
  <si>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</si>
  <si>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</si>
  <si>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</si>
  <si>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</si>
  <si>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</si>
  <si>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</si>
  <si>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</si>
  <si>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</si>
  <si>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</si>
  <si>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</si>
  <si>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</si>
  <si>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</si>
  <si>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</si>
  <si>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</si>
  <si>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</si>
  <si>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</si>
  <si>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</si>
  <si>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</si>
  <si>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</si>
  <si>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</si>
  <si>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</si>
  <si>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</si>
  <si>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</si>
  <si>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</si>
  <si>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</si>
  <si>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</si>
  <si>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</si>
  <si>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</si>
  <si>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</si>
  <si>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</si>
  <si>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</si>
  <si>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</si>
  <si>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</si>
  <si>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</si>
  <si>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</si>
  <si>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</si>
  <si>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</si>
  <si>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</si>
  <si>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</si>
  <si>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</si>
  <si>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</si>
  <si>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</si>
  <si>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</si>
  <si>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</si>
  <si>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</si>
  <si>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</si>
  <si>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</si>
  <si>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</si>
  <si>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</si>
  <si>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</si>
  <si>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</si>
  <si>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</si>
  <si>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</si>
  <si>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</si>
  <si>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</si>
  <si>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</si>
  <si>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</si>
  <si>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</si>
  <si>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</si>
  <si>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</si>
  <si>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</si>
  <si>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</si>
  <si>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</si>
  <si>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</si>
  <si>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</si>
  <si>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</si>
  <si>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</si>
  <si>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</si>
  <si>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</si>
  <si>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</si>
  <si>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</si>
  <si>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</si>
  <si>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</si>
  <si>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</si>
  <si>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</si>
  <si>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</si>
  <si>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</si>
  <si>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</si>
  <si>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</si>
  <si>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</si>
  <si>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</si>
  <si>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</si>
  <si>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</si>
  <si>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</si>
  <si>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</si>
  <si>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</si>
  <si>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</si>
  <si>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</si>
  <si>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</si>
  <si>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</si>
  <si>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</si>
  <si>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</si>
  <si>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</si>
  <si>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</si>
  <si>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</si>
  <si>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</si>
  <si>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</si>
  <si>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</si>
  <si>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</si>
  <si>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</si>
  <si>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</si>
  <si>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</si>
  <si>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</si>
  <si>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</si>
  <si>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</si>
  <si>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</si>
  <si>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</si>
  <si>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</si>
  <si>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</si>
  <si>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</si>
  <si>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</si>
  <si>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</si>
  <si>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</si>
  <si>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</si>
  <si>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</si>
  <si>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</si>
  <si>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</si>
  <si>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</si>
  <si>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</si>
  <si>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</si>
  <si>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</si>
  <si>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</si>
  <si>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</si>
  <si>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</si>
  <si>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</si>
  <si>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</si>
  <si>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</si>
  <si>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</si>
  <si>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</si>
  <si>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</si>
  <si>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</si>
  <si>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</si>
  <si>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</si>
  <si>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</si>
  <si>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</si>
  <si>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</si>
  <si>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</si>
  <si>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</si>
  <si>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</si>
  <si>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</si>
  <si>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</si>
  <si>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</si>
  <si>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</si>
  <si>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</si>
  <si>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</si>
  <si>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</si>
  <si>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</si>
  <si>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</si>
  <si>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</si>
  <si>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</si>
  <si>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</si>
  <si>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</si>
  <si>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</si>
  <si>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</si>
  <si>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</si>
  <si>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</si>
  <si>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</si>
  <si>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</si>
  <si>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</si>
  <si>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</si>
  <si>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</si>
  <si>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</si>
  <si>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</si>
  <si>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</si>
  <si>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</si>
  <si>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</si>
  <si>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</si>
  <si>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</si>
  <si>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</si>
  <si>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</si>
  <si>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</si>
  <si>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</si>
  <si>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</si>
  <si>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</si>
  <si>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</si>
  <si>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</si>
  <si>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</si>
  <si>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</si>
  <si>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</si>
  <si>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</si>
  <si>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</si>
  <si>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</si>
  <si>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</si>
  <si>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</si>
  <si>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</si>
  <si>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</si>
  <si>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</si>
  <si>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</si>
  <si>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</si>
  <si>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</si>
  <si>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</si>
  <si>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</si>
  <si>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</si>
  <si>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</si>
  <si>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</si>
  <si>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</si>
  <si>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</si>
  <si>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</si>
  <si>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</si>
  <si>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</si>
  <si>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</si>
  <si>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</si>
  <si>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</si>
  <si>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</si>
  <si>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</si>
  <si>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</si>
  <si>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</si>
  <si>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</si>
  <si>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</si>
  <si>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</si>
  <si>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</si>
  <si>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</si>
  <si>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</si>
  <si>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</si>
  <si>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</si>
  <si>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</si>
  <si>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</si>
  <si>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</si>
  <si>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</si>
  <si>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</si>
  <si>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</si>
  <si>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</si>
  <si>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</si>
  <si>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</si>
  <si>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</si>
  <si>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</si>
  <si>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</si>
  <si>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</si>
  <si>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</si>
  <si>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</si>
  <si>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</si>
  <si>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</si>
  <si>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</si>
  <si>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</si>
  <si>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</si>
  <si>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</si>
  <si>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</si>
  <si>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</si>
  <si>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</si>
  <si>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</si>
  <si>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</si>
  <si>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</si>
  <si>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</si>
  <si>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</si>
  <si>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</si>
  <si>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</si>
  <si>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</si>
  <si>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</si>
  <si>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</si>
  <si>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</si>
  <si>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</si>
  <si>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</si>
  <si>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</si>
  <si>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</si>
  <si>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</si>
  <si>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</si>
  <si>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</si>
  <si>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</si>
  <si>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</si>
  <si>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</si>
  <si>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</si>
  <si>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</si>
  <si>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</si>
  <si>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</si>
  <si>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</si>
  <si>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</si>
  <si>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</si>
  <si>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</si>
  <si>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</si>
  <si>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</si>
  <si>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</si>
  <si>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</si>
  <si>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</si>
  <si>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</si>
  <si>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</si>
  <si>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</si>
  <si>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</si>
  <si>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</si>
  <si>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</si>
  <si>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</si>
  <si>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</si>
  <si>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</si>
  <si>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</si>
  <si>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</si>
  <si>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</si>
  <si>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</si>
  <si>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</si>
  <si>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</si>
  <si>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</si>
  <si>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</si>
  <si>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</si>
  <si>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</si>
  <si>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</si>
  <si>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</si>
  <si>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</si>
  <si>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</si>
  <si>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</si>
  <si>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</si>
  <si>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</si>
  <si>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</si>
  <si>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</si>
  <si>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</si>
  <si>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</si>
  <si>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</si>
  <si>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</si>
  <si>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</si>
  <si>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</si>
  <si>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</si>
  <si>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</si>
  <si>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</si>
  <si>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</si>
  <si>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</si>
  <si>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</si>
  <si>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</si>
  <si>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</si>
  <si>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</si>
  <si>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</si>
  <si>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</si>
  <si>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</si>
  <si>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</si>
  <si>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</si>
  <si>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</si>
  <si>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</si>
  <si>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</si>
  <si>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</si>
  <si>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</si>
  <si>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</si>
  <si>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</si>
  <si>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</si>
  <si>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</si>
  <si>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</si>
  <si>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</si>
  <si>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</si>
  <si>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</si>
  <si>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</si>
  <si>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</si>
  <si>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</si>
  <si>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</si>
  <si>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</si>
  <si>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</si>
  <si>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</si>
  <si>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</si>
  <si>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</si>
  <si>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</si>
  <si>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</si>
  <si>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</si>
  <si>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</si>
  <si>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</si>
  <si>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</si>
  <si>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</si>
  <si>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</si>
  <si>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</si>
  <si>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</si>
  <si>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</si>
  <si>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</si>
  <si>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</si>
  <si>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</si>
  <si>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</si>
  <si>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</si>
  <si>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</si>
  <si>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</si>
  <si>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</si>
  <si>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</si>
  <si>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</si>
  <si>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</si>
  <si>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</si>
  <si>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</si>
  <si>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</si>
  <si>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</si>
  <si>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</si>
  <si>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</si>
  <si>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</si>
  <si>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</si>
  <si>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</si>
  <si>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</si>
  <si>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</si>
  <si>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</si>
  <si>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</si>
  <si>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</si>
  <si>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</si>
  <si>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</si>
  <si>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</si>
  <si>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</si>
  <si>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</si>
  <si>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</si>
  <si>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</si>
  <si>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</si>
  <si>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</si>
  <si>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</si>
  <si>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</si>
  <si>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</si>
  <si>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</si>
  <si>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</si>
  <si>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</si>
  <si>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</si>
  <si>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</si>
  <si>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</si>
  <si>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</si>
  <si>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</si>
  <si>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</si>
  <si>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</si>
  <si>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</si>
  <si>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</si>
  <si>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</si>
  <si>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</si>
  <si>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</si>
  <si>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</si>
  <si>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</si>
  <si>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</si>
  <si>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</si>
  <si>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</si>
  <si>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</si>
  <si>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</si>
  <si>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</si>
  <si>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</si>
  <si>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</si>
  <si>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</si>
  <si>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</si>
  <si>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</si>
  <si>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</si>
  <si>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</si>
  <si>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</si>
  <si>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</si>
  <si>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</si>
  <si>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</si>
  <si>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</si>
  <si>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</si>
  <si>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</si>
  <si>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</si>
  <si>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</si>
  <si>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</si>
  <si>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</si>
  <si>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</si>
  <si>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</si>
  <si>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</si>
  <si>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</si>
  <si>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</si>
  <si>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</si>
  <si>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</si>
  <si>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</si>
  <si>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</si>
  <si>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</si>
  <si>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</si>
  <si>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</si>
  <si>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</si>
  <si>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</si>
  <si>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</si>
  <si>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</si>
  <si>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</si>
  <si>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</si>
  <si>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</si>
  <si>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</si>
  <si>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</si>
  <si>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</si>
  <si>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</si>
  <si>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</si>
  <si>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</si>
  <si>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</si>
  <si>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</si>
  <si>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</si>
  <si>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</si>
  <si>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</si>
  <si>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</si>
  <si>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</si>
  <si>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</si>
  <si>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</si>
  <si>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</si>
  <si>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</si>
  <si>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</si>
  <si>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</si>
  <si>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</si>
  <si>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</si>
  <si>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</si>
  <si>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</si>
  <si>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</si>
  <si>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</si>
  <si>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</si>
  <si>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</si>
  <si>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</si>
  <si>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</si>
  <si>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</si>
  <si>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</si>
  <si>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</si>
  <si>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</si>
  <si>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</si>
  <si>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</si>
  <si>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</si>
  <si>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</si>
  <si>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</si>
  <si>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</si>
  <si>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</si>
  <si>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</si>
  <si>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</si>
  <si>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</si>
  <si>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</si>
  <si>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</si>
  <si>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</si>
  <si>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</si>
  <si>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</si>
  <si>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</si>
  <si>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</si>
  <si>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</si>
  <si>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</si>
  <si>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</si>
  <si>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</si>
  <si>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</si>
  <si>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</si>
  <si>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</si>
  <si>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</si>
  <si>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</si>
  <si>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</si>
  <si>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</si>
  <si>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</si>
  <si>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</si>
  <si>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</si>
  <si>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</si>
  <si>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</si>
  <si>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</si>
  <si>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</si>
  <si>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</si>
  <si>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</si>
  <si>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</si>
  <si>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</si>
  <si>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</si>
  <si>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</si>
  <si>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</si>
  <si>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</si>
  <si>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</si>
  <si>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</si>
  <si>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</si>
  <si>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</si>
  <si>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</si>
  <si>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</si>
  <si>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</si>
  <si>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</si>
  <si>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</si>
  <si>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</si>
  <si>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</si>
  <si>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</si>
  <si>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</si>
  <si>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</si>
  <si>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</si>
  <si>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</si>
  <si>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</si>
  <si>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</si>
  <si>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</si>
  <si>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</si>
  <si>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</si>
  <si>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</si>
  <si>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</si>
  <si>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</si>
  <si>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</si>
  <si>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</si>
  <si>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</si>
  <si>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</si>
  <si>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</si>
  <si>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</si>
  <si>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</si>
  <si>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</si>
  <si>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</si>
  <si>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</si>
  <si>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</si>
  <si>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</si>
  <si>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</si>
  <si>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</si>
  <si>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</si>
  <si>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</si>
  <si>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</si>
  <si>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</si>
  <si>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</si>
  <si>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</si>
  <si>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</si>
  <si>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</si>
  <si>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</si>
  <si>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</si>
  <si>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</si>
  <si>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</si>
  <si>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</si>
  <si>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</si>
  <si>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</si>
  <si>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</si>
  <si>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</si>
  <si>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</si>
  <si>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</si>
  <si>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</si>
  <si>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</si>
  <si>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</si>
  <si>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</si>
  <si>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</si>
  <si>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</si>
  <si>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</si>
  <si>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</si>
  <si>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</si>
  <si>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</si>
  <si>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</si>
  <si>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</si>
  <si>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</si>
  <si>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</si>
  <si>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</si>
  <si>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</si>
  <si>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</si>
  <si>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</si>
  <si>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</si>
  <si>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</si>
  <si>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</si>
  <si>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</si>
  <si>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</si>
  <si>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</si>
  <si>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</si>
  <si>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</si>
  <si>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</si>
  <si>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</si>
  <si>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</si>
  <si>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</si>
  <si>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</si>
  <si>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</si>
  <si>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</si>
  <si>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</si>
  <si>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</si>
  <si>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</si>
  <si>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</si>
  <si>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</si>
  <si>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</si>
  <si>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</si>
  <si>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</si>
  <si>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</si>
  <si>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</si>
  <si>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</si>
  <si>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</si>
  <si>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</si>
  <si>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</si>
  <si>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</si>
  <si>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</si>
  <si>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</si>
  <si>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</si>
  <si>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</si>
  <si>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</si>
  <si>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</si>
  <si>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</si>
  <si>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</si>
  <si>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</si>
  <si>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</si>
  <si>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</si>
  <si>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</si>
  <si>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</si>
  <si>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</si>
  <si>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</si>
  <si>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</si>
  <si>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</si>
  <si>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</si>
  <si>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</si>
  <si>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</si>
  <si>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</si>
  <si>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</si>
  <si>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</si>
  <si>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</si>
  <si>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</si>
  <si>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</si>
  <si>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</si>
  <si>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</si>
  <si>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</si>
  <si>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</si>
  <si>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</si>
  <si>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</si>
  <si>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</si>
  <si>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</si>
  <si>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</si>
  <si>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</si>
  <si>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</si>
  <si>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</si>
  <si>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</si>
  <si>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</si>
  <si>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</si>
  <si>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</si>
  <si>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</si>
  <si>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</si>
  <si>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</si>
  <si>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</si>
  <si>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</si>
  <si>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</si>
  <si>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</si>
  <si>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</si>
  <si>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</si>
  <si>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</si>
  <si>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</si>
  <si>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</si>
  <si>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</si>
  <si>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</si>
  <si>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</si>
  <si>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</si>
  <si>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</si>
  <si>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</si>
  <si>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</si>
  <si>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</si>
  <si>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</si>
  <si>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</si>
  <si>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</si>
  <si>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</si>
  <si>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</si>
  <si>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</si>
  <si>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</si>
  <si>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</si>
  <si>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</si>
  <si>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</si>
  <si>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</si>
  <si>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</si>
  <si>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</si>
  <si>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</si>
  <si>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</si>
  <si>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</si>
  <si>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</si>
  <si>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</si>
  <si>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</si>
  <si>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</si>
  <si>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</si>
  <si>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</si>
  <si>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</si>
  <si>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</si>
  <si>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</si>
  <si>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</si>
  <si>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</si>
  <si>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</si>
  <si>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</si>
  <si>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</si>
  <si>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</si>
  <si>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</si>
  <si>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</si>
  <si>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</si>
  <si>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</si>
  <si>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</si>
  <si>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</si>
  <si>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</si>
  <si>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</si>
  <si>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</si>
  <si>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</si>
  <si>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</si>
  <si>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</si>
  <si>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</si>
  <si>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</si>
  <si>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</si>
  <si>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</si>
  <si>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</si>
  <si>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</si>
  <si>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</si>
  <si>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</si>
  <si>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</si>
  <si>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</si>
  <si>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</si>
  <si>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</si>
  <si>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</si>
  <si>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</si>
  <si>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</si>
  <si>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</si>
  <si>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</si>
  <si>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</si>
  <si>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</si>
  <si>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</si>
  <si>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</si>
  <si>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</si>
  <si>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</si>
  <si>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</si>
  <si>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</si>
  <si>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</si>
  <si>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</si>
  <si>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</si>
  <si>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</si>
  <si>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</si>
  <si>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</si>
  <si>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</si>
  <si>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</si>
  <si>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</si>
  <si>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</si>
  <si>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</si>
  <si>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</si>
  <si>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</si>
  <si>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</si>
  <si>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</si>
  <si>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</si>
  <si>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</si>
  <si>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</si>
  <si>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</si>
  <si>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</si>
  <si>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</si>
  <si>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</si>
  <si>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</si>
  <si>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</si>
  <si>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</si>
  <si>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</si>
  <si>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</si>
  <si>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</si>
  <si>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</si>
  <si>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</si>
  <si>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</si>
  <si>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</si>
  <si>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</si>
  <si>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</si>
  <si>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</si>
  <si>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</si>
  <si>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</si>
  <si>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</si>
  <si>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</si>
  <si>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</si>
  <si>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</si>
  <si>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</si>
  <si>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</si>
  <si>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</si>
  <si>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</si>
  <si>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</si>
  <si>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</si>
  <si>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</si>
  <si>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</si>
  <si>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</si>
  <si>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</si>
  <si>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</si>
  <si>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</si>
  <si>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</si>
  <si>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</si>
  <si>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</si>
  <si>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</si>
  <si>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</si>
  <si>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</si>
  <si>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</si>
  <si>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</si>
  <si>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</si>
  <si>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</si>
  <si>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</si>
  <si>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</si>
  <si>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</si>
  <si>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</si>
  <si>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</si>
  <si>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</si>
  <si>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</si>
  <si>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</si>
  <si>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</si>
  <si>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</si>
  <si>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</si>
  <si>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</si>
  <si>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</si>
  <si>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</si>
  <si>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</si>
  <si>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</si>
  <si>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</si>
  <si>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</si>
  <si>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</si>
  <si>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</si>
  <si>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</si>
  <si>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</si>
  <si>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</si>
  <si>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</si>
  <si>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</si>
  <si>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</si>
  <si>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</si>
  <si>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</si>
  <si>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</si>
  <si>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</si>
  <si>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</si>
  <si>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</si>
  <si>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</si>
  <si>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</si>
  <si>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</si>
  <si>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</si>
  <si>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</si>
  <si>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</si>
  <si>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</si>
  <si>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</si>
  <si>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</si>
  <si>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</si>
  <si>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</si>
  <si>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</si>
  <si>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</si>
  <si>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</si>
  <si>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</si>
  <si>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</si>
  <si>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</si>
  <si>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</si>
  <si>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</si>
  <si>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</si>
  <si>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</si>
  <si>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</si>
  <si>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</si>
  <si>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</si>
  <si>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</si>
  <si>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</si>
  <si>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</si>
  <si>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</si>
  <si>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</si>
  <si>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</si>
  <si>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</si>
  <si>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</si>
  <si>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</si>
  <si>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</si>
  <si>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</si>
  <si>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</si>
  <si>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</si>
  <si>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</si>
  <si>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</si>
  <si>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</si>
  <si>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</si>
  <si>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</si>
  <si>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</si>
  <si>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</si>
  <si>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</si>
  <si>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</si>
  <si>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</si>
  <si>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</si>
  <si>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</si>
  <si>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</si>
  <si>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</si>
  <si>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</si>
  <si>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</si>
  <si>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</si>
  <si>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</si>
  <si>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</si>
  <si>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</si>
  <si>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</si>
  <si>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</si>
  <si>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</si>
  <si>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</si>
  <si>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</si>
  <si>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</si>
  <si>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</si>
  <si>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</si>
  <si>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</si>
  <si>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</si>
  <si>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</si>
  <si>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</si>
  <si>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</si>
  <si>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</si>
  <si>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</si>
  <si>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</si>
  <si>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</si>
  <si>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</si>
  <si>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</si>
  <si>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</si>
  <si>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</si>
  <si>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</si>
  <si>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</si>
  <si>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</si>
  <si>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</si>
  <si>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</si>
  <si>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</si>
  <si>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</si>
  <si>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</si>
  <si>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</si>
  <si>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</si>
  <si>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</si>
  <si>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</si>
  <si>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</si>
  <si>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</si>
  <si>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</si>
  <si>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</si>
  <si>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</si>
  <si>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</si>
  <si>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</si>
  <si>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</si>
  <si>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</si>
  <si>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</si>
  <si>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</si>
  <si>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</si>
  <si>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</si>
  <si>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</si>
  <si>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</si>
  <si>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</si>
  <si>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</si>
  <si>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</si>
  <si>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</si>
  <si>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</si>
  <si>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</si>
  <si>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</si>
  <si>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</si>
  <si>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</si>
  <si>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</si>
  <si>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</si>
  <si>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</si>
  <si>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</si>
  <si>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</si>
  <si>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</si>
  <si>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</si>
  <si>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</si>
  <si>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</si>
  <si>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</si>
  <si>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</si>
  <si>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</si>
  <si>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</si>
  <si>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</si>
  <si>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</si>
  <si>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</si>
  <si>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</si>
  <si>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</si>
  <si>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</si>
  <si>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</si>
  <si>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</si>
  <si>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</si>
  <si>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</si>
  <si>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</si>
  <si>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</si>
  <si>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</si>
  <si>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</si>
  <si>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</si>
  <si>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</si>
  <si>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</si>
  <si>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</si>
  <si>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</si>
  <si>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</si>
  <si>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</si>
  <si>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</si>
  <si>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</si>
  <si>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</si>
  <si>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</si>
  <si>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</si>
  <si>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</si>
  <si>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</si>
  <si>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</si>
  <si>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</si>
  <si>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</si>
  <si>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</si>
  <si>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</si>
  <si>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</si>
  <si>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</si>
  <si>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</si>
  <si>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</si>
  <si>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</si>
  <si>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</si>
  <si>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</si>
  <si>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</si>
  <si>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</si>
  <si>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</si>
  <si>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</si>
  <si>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</si>
  <si>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</si>
  <si>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</si>
  <si>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</si>
  <si>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</si>
  <si>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</si>
  <si>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</si>
  <si>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</si>
  <si>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</si>
  <si>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</si>
  <si>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</si>
  <si>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</si>
  <si>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</si>
  <si>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</si>
  <si>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</si>
  <si>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</si>
  <si>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</si>
  <si>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</si>
  <si>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</si>
  <si>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</si>
  <si>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</si>
  <si>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</si>
  <si>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</si>
  <si>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</si>
  <si>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</si>
  <si>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</si>
  <si>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</si>
  <si>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</si>
  <si>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</si>
  <si>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</si>
  <si>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</si>
  <si>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</si>
  <si>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</si>
  <si>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</si>
  <si>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</si>
  <si>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</si>
  <si>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</si>
  <si>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</si>
  <si>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</si>
  <si>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</si>
  <si>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</si>
  <si>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</si>
  <si>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</si>
  <si>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</si>
  <si>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</si>
  <si>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</si>
  <si>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</si>
  <si>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</si>
  <si>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</si>
  <si>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</si>
  <si>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</si>
  <si>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</si>
  <si>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</si>
  <si>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</si>
  <si>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</si>
  <si>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</si>
  <si>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</si>
  <si>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</si>
  <si>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</si>
  <si>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</si>
  <si>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</si>
  <si>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</si>
  <si>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</si>
  <si>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</si>
  <si>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</si>
  <si>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</si>
  <si>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</si>
  <si>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</si>
  <si>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</si>
  <si>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</si>
  <si>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</si>
  <si>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</si>
  <si>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</si>
  <si>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</si>
  <si>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</si>
  <si>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</si>
  <si>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</si>
  <si>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</si>
  <si>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</si>
  <si>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</si>
  <si>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</si>
  <si>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</si>
  <si>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</si>
  <si>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</si>
  <si>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</si>
  <si>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</si>
  <si>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</si>
  <si>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</si>
  <si>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</si>
  <si>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</si>
  <si>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</si>
  <si>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</si>
  <si>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</si>
  <si>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</si>
  <si>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</si>
  <si>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</si>
  <si>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</si>
  <si>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</si>
  <si>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</si>
  <si>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</si>
  <si>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</si>
  <si>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</si>
  <si>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</si>
  <si>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</si>
  <si>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</si>
  <si>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</si>
  <si>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</si>
  <si>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</si>
  <si>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</si>
  <si>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</si>
  <si>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</si>
  <si>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</si>
  <si>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</si>
  <si>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</si>
  <si>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</si>
  <si>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</si>
  <si>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</si>
  <si>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</si>
  <si>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</si>
  <si>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</si>
  <si>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</si>
  <si>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</si>
  <si>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</si>
  <si>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</si>
  <si>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</si>
  <si>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</si>
  <si>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</si>
  <si>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</si>
  <si>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</si>
  <si>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</si>
  <si>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</si>
  <si>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</si>
  <si>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</si>
  <si>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</si>
  <si>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</si>
  <si>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</si>
  <si>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</si>
  <si>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</si>
  <si>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</si>
  <si>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</si>
  <si>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</si>
  <si>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</si>
  <si>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</si>
  <si>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</si>
  <si>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</si>
  <si>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</si>
  <si>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</si>
  <si>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</si>
  <si>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</si>
  <si>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</si>
  <si>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</si>
  <si>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</si>
  <si>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</si>
  <si>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</si>
  <si>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</si>
  <si>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</si>
  <si>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</si>
  <si>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</si>
  <si>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</si>
  <si>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</si>
  <si>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</si>
  <si>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</si>
  <si>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</si>
  <si>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</si>
  <si>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</si>
  <si>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</si>
  <si>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</si>
  <si>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</si>
  <si>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</si>
  <si>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</si>
  <si>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</si>
  <si>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</si>
  <si>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</si>
  <si>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</si>
  <si>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</si>
  <si>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</si>
  <si>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</si>
  <si>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</si>
  <si>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</si>
  <si>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</si>
  <si>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</si>
  <si>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</si>
  <si>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</si>
  <si>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</si>
  <si>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</si>
  <si>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</si>
  <si>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</si>
  <si>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</si>
  <si>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</si>
  <si>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</si>
  <si>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</si>
  <si>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</si>
  <si>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</si>
  <si>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</si>
  <si>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</si>
  <si>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</si>
  <si>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</si>
  <si>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</si>
  <si>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</si>
  <si>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</si>
  <si>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</si>
  <si>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</si>
  <si>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</si>
  <si>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</si>
  <si>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</si>
  <si>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</si>
  <si>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</si>
  <si>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</si>
  <si>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</si>
  <si>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</si>
  <si>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</si>
  <si>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</si>
  <si>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</si>
  <si>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</si>
  <si>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</si>
  <si>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</si>
  <si>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</si>
  <si>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</si>
  <si>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</si>
  <si>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</si>
  <si>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</si>
  <si>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</si>
  <si>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</si>
  <si>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</si>
  <si>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</si>
  <si>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</si>
  <si>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</si>
  <si>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</si>
  <si>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</si>
  <si>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</si>
  <si>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</si>
  <si>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</si>
  <si>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</si>
  <si>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</si>
  <si>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</si>
  <si>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</si>
  <si>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</si>
  <si>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</si>
  <si>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</si>
  <si>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</si>
  <si>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</si>
  <si>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</si>
  <si>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</si>
  <si>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</si>
  <si>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</si>
  <si>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</si>
  <si>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</si>
  <si>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</si>
  <si>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</si>
  <si>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</si>
  <si>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</si>
  <si>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</si>
  <si>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</si>
  <si>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</si>
  <si>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</si>
  <si>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</si>
  <si>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</si>
  <si>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</si>
  <si>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</si>
  <si>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</si>
  <si>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</si>
  <si>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</si>
  <si>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</si>
  <si>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</si>
  <si>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</si>
  <si>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</si>
  <si>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</si>
  <si>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</si>
  <si>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</si>
  <si>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</si>
  <si>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</si>
  <si>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</si>
  <si>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</si>
  <si>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</si>
  <si>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</si>
  <si>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</si>
  <si>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</si>
  <si>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</si>
  <si>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</si>
  <si>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</si>
  <si>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</si>
  <si>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</si>
  <si>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</si>
  <si>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</si>
  <si>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</si>
  <si>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</si>
  <si>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</si>
  <si>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</si>
  <si>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</si>
  <si>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</si>
  <si>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</si>
  <si>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</si>
  <si>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</si>
  <si>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</si>
  <si>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</si>
  <si>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</si>
  <si>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</si>
  <si>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</si>
  <si>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</si>
  <si>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</si>
  <si>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</si>
  <si>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</si>
  <si>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</si>
  <si>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</si>
  <si>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</si>
  <si>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</si>
  <si>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</si>
  <si>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</si>
  <si>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</si>
  <si>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</si>
  <si>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</si>
  <si>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</si>
  <si>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</si>
  <si>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</si>
  <si>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</si>
  <si>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</si>
  <si>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</si>
  <si>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</si>
  <si>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</si>
  <si>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</si>
  <si>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</si>
  <si>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</si>
  <si>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</si>
  <si>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</si>
  <si>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</si>
  <si>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</si>
  <si>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</si>
  <si>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</si>
  <si>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</si>
  <si>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</si>
  <si>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</si>
  <si>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</si>
  <si>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</si>
  <si>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</si>
  <si>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</si>
  <si>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</si>
  <si>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</si>
  <si>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</si>
  <si>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</si>
  <si>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</si>
  <si>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</si>
  <si>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</si>
  <si>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</si>
  <si>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</si>
  <si>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</si>
  <si>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</si>
  <si>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</si>
  <si>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</si>
  <si>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</si>
  <si>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</si>
  <si>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</si>
  <si>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</si>
  <si>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</si>
  <si>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</si>
  <si>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</si>
  <si>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</si>
  <si>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</si>
  <si>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</si>
  <si>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</si>
  <si>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</si>
  <si>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</si>
  <si>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</si>
  <si>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</si>
  <si>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</si>
  <si>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</si>
  <si>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</si>
  <si>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</si>
  <si>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</si>
  <si>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</si>
  <si>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</si>
  <si>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</si>
  <si>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</si>
  <si>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</si>
  <si>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</si>
  <si>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</si>
  <si>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</si>
  <si>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</si>
  <si>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</si>
  <si>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</si>
  <si>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</si>
  <si>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</si>
  <si>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</si>
  <si>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</si>
  <si>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</si>
  <si>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</si>
  <si>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</si>
  <si>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</si>
  <si>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</si>
  <si>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</si>
  <si>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</si>
  <si>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</si>
  <si>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</si>
  <si>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</si>
  <si>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</si>
  <si>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</si>
  <si>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</si>
  <si>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</si>
  <si>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</si>
  <si>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</si>
  <si>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</si>
  <si>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</si>
  <si>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</si>
  <si>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</si>
  <si>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</si>
  <si>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</si>
  <si>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</si>
  <si>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</si>
  <si>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</si>
  <si>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</si>
  <si>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</si>
  <si>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</si>
  <si>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</si>
  <si>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</si>
  <si>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</si>
  <si>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</si>
  <si>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</si>
  <si>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</si>
  <si>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</si>
  <si>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</si>
  <si>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</si>
  <si>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</si>
  <si>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</si>
  <si>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</si>
  <si>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</si>
  <si>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</si>
  <si>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</si>
  <si>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</si>
  <si>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</si>
  <si>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</si>
  <si>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</si>
  <si>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</si>
  <si>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</si>
  <si>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</si>
  <si>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</si>
  <si>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</si>
  <si>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</si>
  <si>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</si>
  <si>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</si>
  <si>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</si>
  <si>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</si>
  <si>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</si>
  <si>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</si>
  <si>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</si>
  <si>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</si>
  <si>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</si>
  <si>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</si>
  <si>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</si>
  <si>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</si>
  <si>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</si>
  <si>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</si>
  <si>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</si>
  <si>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</si>
  <si>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</si>
  <si>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</si>
  <si>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</si>
  <si>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</si>
  <si>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</si>
  <si>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</si>
  <si>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</si>
  <si>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</si>
  <si>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</si>
  <si>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</si>
  <si>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</si>
  <si>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</si>
  <si>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</si>
  <si>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</si>
  <si>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</si>
  <si>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</si>
  <si>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</si>
  <si>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</si>
  <si>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</si>
  <si>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</si>
  <si>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</si>
  <si>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</si>
  <si>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</si>
  <si>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</si>
  <si>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</si>
  <si>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</si>
  <si>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</si>
  <si>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</si>
  <si>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</si>
  <si>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</si>
  <si>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</si>
  <si>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</si>
  <si>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</si>
  <si>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</si>
  <si>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</si>
  <si>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</si>
  <si>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</si>
  <si>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</si>
  <si>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</si>
  <si>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</si>
  <si>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</si>
  <si>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</si>
  <si>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</si>
  <si>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</si>
  <si>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</si>
  <si>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</si>
  <si>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</si>
  <si>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</si>
  <si>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</si>
  <si>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</si>
  <si>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</si>
  <si>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</si>
  <si>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</si>
  <si>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</si>
  <si>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</si>
  <si>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</si>
  <si>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</si>
  <si>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</si>
  <si>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</si>
  <si>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</si>
  <si>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</si>
  <si>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</si>
  <si>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</si>
  <si>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</si>
  <si>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</si>
  <si>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</si>
  <si>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</si>
  <si>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</si>
  <si>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</si>
  <si>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</si>
  <si>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</si>
  <si>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</si>
  <si>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</si>
  <si>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</si>
  <si>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</si>
  <si>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</si>
  <si>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</si>
  <si>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</si>
  <si>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</si>
  <si>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</si>
  <si>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</si>
  <si>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</si>
  <si>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</si>
  <si>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</si>
  <si>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</si>
  <si>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</si>
  <si>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</si>
  <si>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</si>
  <si>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</si>
  <si>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</si>
  <si>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</si>
  <si>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</si>
  <si>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</si>
  <si>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</si>
  <si>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</si>
  <si>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</si>
  <si>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</si>
  <si>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</si>
  <si>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</si>
  <si>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</si>
  <si>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</si>
  <si>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</si>
  <si>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</si>
  <si>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</si>
  <si>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</si>
  <si>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</si>
  <si>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</si>
  <si>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</si>
  <si>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</si>
  <si>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</si>
  <si>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</si>
  <si>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</si>
  <si>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</si>
  <si>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</si>
  <si>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</si>
  <si>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</si>
  <si>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</si>
  <si>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</si>
  <si>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</si>
  <si>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</si>
  <si>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</si>
  <si>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</si>
  <si>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</si>
  <si>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</si>
  <si>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</si>
  <si>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</si>
  <si>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</si>
  <si>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</si>
  <si>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</si>
  <si>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</si>
  <si>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</si>
  <si>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</si>
  <si>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</si>
  <si>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</si>
  <si>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</si>
  <si>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</si>
  <si>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</si>
  <si>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</si>
  <si>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</si>
  <si>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</si>
  <si>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</si>
  <si>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</si>
  <si>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</si>
  <si>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</si>
  <si>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</si>
  <si>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</si>
  <si>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</si>
  <si>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</si>
  <si>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</si>
  <si>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</si>
  <si>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</si>
  <si>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</si>
  <si>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</si>
  <si>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</si>
  <si>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</si>
  <si>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</si>
  <si>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</si>
  <si>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</si>
  <si>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</si>
  <si>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</si>
  <si>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</si>
  <si>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</si>
  <si>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</si>
  <si>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</si>
  <si>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</si>
  <si>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</si>
  <si>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</si>
  <si>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</si>
  <si>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</si>
  <si>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</si>
  <si>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</si>
  <si>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</si>
  <si>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</si>
  <si>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</si>
  <si>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</si>
  <si>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</si>
  <si>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</si>
  <si>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</si>
  <si>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</si>
  <si>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</si>
  <si>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</si>
  <si>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</si>
  <si>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</si>
  <si>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</si>
  <si>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</si>
  <si>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</si>
  <si>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</si>
  <si>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</si>
  <si>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</si>
  <si>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</si>
  <si>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</si>
  <si>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</si>
  <si>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</si>
  <si>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</si>
  <si>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</si>
  <si>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</si>
  <si>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</si>
  <si>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</si>
  <si>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</si>
  <si>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</si>
  <si>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</si>
  <si>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</si>
  <si>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</si>
  <si>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</si>
  <si>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</si>
  <si>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</si>
  <si>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</si>
  <si>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</si>
  <si>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</si>
  <si>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</si>
  <si>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</si>
  <si>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</si>
  <si>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</si>
  <si>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</si>
  <si>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</si>
  <si>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</si>
  <si>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</si>
  <si>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</si>
  <si>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</si>
  <si>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</si>
  <si>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</si>
  <si>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</si>
  <si>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</si>
  <si>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</si>
  <si>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</si>
  <si>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</si>
  <si>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</si>
  <si>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</si>
  <si>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</si>
  <si>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</si>
  <si>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</si>
  <si>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</si>
  <si>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</si>
  <si>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</si>
  <si>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</si>
  <si>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</si>
  <si>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</si>
  <si>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</si>
  <si>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</si>
  <si>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</si>
  <si>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</si>
  <si>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</si>
  <si>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</si>
  <si>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</si>
  <si>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</si>
  <si>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</si>
  <si>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</si>
  <si>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</si>
  <si>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</si>
  <si>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</si>
  <si>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</si>
  <si>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</si>
  <si>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</si>
  <si>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</si>
  <si>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</si>
  <si>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</si>
  <si>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</si>
  <si>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</si>
  <si>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</si>
  <si>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</si>
  <si>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</si>
  <si>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</si>
  <si>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</si>
  <si>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</si>
  <si>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</si>
  <si>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</si>
  <si>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</si>
  <si>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</si>
  <si>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</si>
  <si>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</si>
  <si>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</si>
  <si>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</si>
  <si>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</si>
  <si>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</si>
  <si>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</si>
  <si>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</si>
  <si>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</si>
  <si>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</si>
  <si>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</si>
  <si>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</si>
  <si>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</si>
  <si>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</si>
  <si>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</si>
  <si>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</si>
  <si>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</si>
  <si>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</si>
  <si>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</si>
  <si>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</si>
  <si>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</si>
  <si>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</si>
  <si>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</si>
  <si>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</si>
  <si>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</si>
  <si>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</si>
  <si>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</si>
  <si>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</si>
  <si>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</si>
  <si>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</si>
  <si>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</si>
  <si>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</si>
  <si>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</si>
  <si>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</si>
  <si>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</si>
  <si>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</si>
  <si>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</si>
  <si>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</si>
  <si>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</si>
  <si>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</si>
  <si>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</si>
  <si>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</si>
  <si>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</si>
  <si>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</si>
  <si>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</si>
  <si>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</si>
  <si>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</si>
  <si>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</si>
  <si>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</si>
  <si>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</si>
  <si>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</si>
  <si>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</si>
  <si>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</si>
  <si>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</si>
  <si>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</si>
  <si>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</si>
  <si>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</si>
  <si>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</si>
  <si>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</si>
  <si>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</si>
  <si>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</si>
  <si>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</si>
  <si>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</si>
  <si>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</si>
  <si>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</si>
  <si>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</si>
  <si>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</si>
  <si>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</si>
  <si>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</si>
  <si>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</si>
  <si>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</si>
  <si>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</si>
  <si>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</si>
  <si>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</si>
  <si>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</si>
  <si>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</si>
  <si>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</si>
  <si>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</si>
  <si>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</si>
  <si>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</si>
  <si>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</si>
  <si>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</si>
  <si>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</si>
  <si>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</si>
  <si>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</si>
  <si>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</si>
  <si>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</si>
  <si>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</si>
  <si>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</si>
  <si>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</si>
  <si>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</si>
  <si>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</si>
  <si>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</si>
  <si>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</si>
  <si>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</si>
  <si>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</si>
  <si>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</si>
  <si>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</si>
  <si>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</si>
  <si>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</si>
  <si>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</si>
  <si>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</si>
  <si>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</si>
  <si>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</si>
  <si>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</si>
  <si>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</si>
  <si>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</si>
  <si>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</si>
  <si>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</si>
  <si>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</si>
  <si>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</si>
  <si>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</si>
  <si>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</si>
  <si>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</si>
  <si>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</si>
  <si>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</si>
  <si>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</si>
  <si>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</si>
  <si>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</si>
  <si>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</si>
  <si>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</si>
  <si>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</si>
  <si>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</si>
  <si>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</si>
  <si>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</si>
  <si>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</si>
  <si>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</si>
  <si>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</si>
  <si>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</si>
  <si>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</si>
  <si>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</si>
  <si>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</si>
  <si>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</si>
  <si>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</si>
  <si>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</si>
  <si>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</si>
  <si>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</si>
  <si>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</si>
  <si>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</si>
  <si>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</si>
  <si>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</si>
  <si>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</si>
  <si>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</si>
  <si>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</si>
  <si>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</si>
  <si>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</si>
  <si>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</si>
  <si>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</si>
  <si>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</si>
  <si>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</si>
  <si>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</si>
  <si>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</si>
  <si>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</si>
  <si>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</si>
  <si>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</si>
  <si>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</si>
  <si>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</si>
  <si>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</si>
  <si>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</si>
  <si>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</si>
  <si>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</si>
  <si>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</si>
  <si>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</si>
  <si>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</si>
  <si>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</si>
  <si>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</si>
  <si>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</si>
  <si>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</si>
  <si>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</si>
  <si>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</si>
  <si>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</si>
  <si>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</si>
  <si>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</si>
  <si>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</si>
  <si>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</si>
  <si>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</si>
  <si>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</si>
  <si>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</si>
  <si>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</si>
  <si>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</si>
  <si>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</si>
  <si>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</si>
  <si>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</si>
  <si>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</si>
  <si>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</si>
  <si>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</si>
  <si>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</si>
  <si>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</si>
  <si>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</si>
  <si>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</si>
  <si>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</si>
  <si>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</si>
  <si>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</si>
  <si>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</si>
  <si>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</si>
  <si>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</si>
  <si>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</si>
  <si>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</si>
  <si>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</si>
  <si>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</si>
  <si>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</si>
  <si>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</si>
  <si>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</si>
  <si>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</si>
  <si>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</si>
  <si>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</si>
  <si>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</si>
  <si>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</si>
  <si>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</si>
  <si>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</si>
  <si>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</si>
  <si>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</si>
  <si>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</si>
  <si>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</si>
  <si>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</si>
  <si>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</si>
  <si>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</si>
  <si>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</si>
  <si>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</si>
  <si>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</si>
  <si>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</si>
  <si>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</si>
  <si>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</si>
  <si>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</si>
  <si>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</si>
  <si>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</si>
  <si>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</si>
  <si>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</si>
  <si>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</si>
  <si>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</si>
  <si>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</si>
  <si>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</si>
  <si>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</si>
  <si>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</si>
  <si>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</si>
  <si>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</si>
  <si>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</si>
  <si>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</si>
  <si>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</si>
  <si>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</si>
  <si>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</si>
  <si>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</si>
  <si>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</si>
  <si>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</si>
  <si>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</si>
  <si>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</si>
  <si>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</si>
  <si>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</si>
  <si>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</si>
  <si>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</si>
  <si>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</si>
  <si>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</si>
  <si>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</si>
  <si>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</si>
  <si>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</si>
  <si>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</si>
  <si>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</si>
  <si>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</si>
  <si>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</si>
  <si>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</si>
  <si>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</si>
  <si>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</si>
  <si>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</si>
  <si>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</si>
  <si>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</si>
  <si>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</si>
  <si>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</si>
  <si>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</si>
  <si>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</si>
  <si>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</si>
  <si>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</si>
  <si>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</si>
  <si>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</si>
  <si>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</si>
  <si>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</si>
  <si>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</si>
  <si>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</si>
  <si>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</si>
  <si>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</si>
  <si>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</si>
  <si>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</si>
  <si>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</si>
  <si>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</si>
  <si>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</si>
  <si>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</si>
  <si>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</si>
  <si>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</si>
  <si>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</si>
  <si>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</si>
  <si>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</si>
  <si>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</si>
  <si>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</si>
  <si>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</si>
  <si>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</si>
  <si>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</si>
  <si>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</si>
  <si>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</si>
  <si>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</si>
  <si>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</si>
  <si>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</si>
  <si>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</si>
  <si>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</si>
  <si>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</si>
  <si>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</si>
  <si>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</si>
  <si>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</si>
  <si>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</si>
  <si>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</si>
  <si>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</si>
  <si>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</si>
  <si>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</si>
  <si>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</si>
  <si>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</si>
  <si>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</si>
  <si>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</si>
  <si>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</si>
  <si>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</si>
  <si>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</si>
  <si>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</si>
  <si>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</si>
  <si>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</si>
  <si>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</si>
  <si>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</si>
  <si>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</si>
  <si>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</si>
  <si>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</si>
  <si>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</si>
  <si>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</si>
  <si>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</si>
  <si>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</si>
  <si>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</si>
  <si>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</si>
  <si>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</si>
  <si>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</si>
  <si>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</si>
  <si>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</si>
  <si>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</si>
  <si>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</si>
  <si>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</si>
  <si>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</si>
  <si>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</si>
  <si>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</si>
  <si>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</si>
  <si>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</si>
  <si>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</si>
  <si>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</si>
  <si>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</si>
  <si>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</si>
  <si>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</si>
  <si>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</si>
  <si>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</si>
  <si>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</si>
  <si>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</si>
  <si>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</si>
  <si>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</si>
  <si>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</si>
  <si>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</si>
  <si>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</si>
  <si>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</si>
  <si>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</si>
  <si>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</si>
  <si>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</si>
  <si>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</si>
  <si>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</si>
  <si>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</si>
  <si>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</si>
  <si>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</si>
  <si>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</si>
  <si>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</si>
  <si>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</si>
  <si>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</si>
  <si>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</si>
  <si>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</si>
  <si>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</si>
  <si>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</si>
  <si>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</si>
  <si>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</si>
  <si>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</si>
  <si>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</si>
  <si>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</si>
  <si>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</si>
  <si>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</si>
  <si>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</si>
  <si>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</si>
  <si>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</si>
  <si>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</si>
  <si>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</si>
  <si>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</si>
  <si>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</si>
  <si>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</si>
  <si>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</si>
  <si>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</si>
  <si>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</si>
  <si>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</si>
  <si>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</si>
  <si>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</si>
  <si>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</si>
  <si>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</si>
  <si>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</si>
  <si>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</si>
  <si>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</si>
  <si>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</si>
  <si>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</si>
  <si>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</si>
  <si>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</si>
  <si>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</si>
  <si>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</si>
  <si>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</si>
  <si>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</si>
  <si>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</si>
  <si>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</si>
  <si>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</si>
  <si>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</si>
  <si>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</si>
  <si>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</si>
  <si>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</si>
  <si>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</si>
  <si>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</si>
  <si>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</si>
  <si>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</si>
  <si>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</si>
  <si>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</si>
  <si>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</si>
  <si>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</si>
  <si>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</si>
  <si>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</si>
  <si>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</si>
  <si>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</si>
  <si>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</si>
  <si>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</si>
  <si>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</si>
  <si>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</si>
  <si>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</si>
  <si>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</si>
  <si>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</si>
  <si>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</si>
  <si>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</si>
  <si>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</si>
  <si>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</si>
  <si>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</si>
  <si>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</si>
  <si>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</si>
  <si>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</si>
  <si>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</si>
  <si>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</si>
  <si>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</si>
  <si>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</si>
  <si>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</si>
  <si>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</si>
  <si>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</si>
  <si>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</si>
  <si>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</si>
  <si>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</si>
  <si>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</si>
  <si>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</si>
  <si>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</si>
  <si>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</si>
  <si>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</si>
  <si>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</si>
  <si>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</si>
  <si>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</si>
  <si>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</si>
  <si>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</si>
  <si>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</si>
  <si>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</si>
  <si>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</si>
  <si>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</si>
  <si>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</si>
  <si>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</si>
  <si>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</si>
  <si>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</si>
  <si>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</si>
  <si>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</si>
  <si>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</si>
  <si>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</si>
  <si>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</si>
  <si>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</si>
  <si>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</si>
  <si>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</si>
  <si>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</si>
  <si>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</si>
  <si>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</si>
  <si>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</si>
  <si>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</si>
  <si>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</si>
  <si>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</si>
  <si>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</si>
  <si>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</si>
  <si>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</si>
  <si>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</si>
  <si>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</si>
  <si>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</si>
  <si>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</si>
  <si>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</si>
  <si>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</si>
  <si>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</si>
  <si>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</si>
  <si>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</si>
  <si>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</si>
  <si>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</si>
  <si>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</si>
  <si>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</si>
  <si>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</si>
  <si>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</si>
  <si>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</si>
  <si>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</si>
  <si>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</si>
  <si>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</si>
  <si>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</si>
  <si>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</si>
  <si>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</si>
  <si>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</si>
  <si>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</si>
  <si>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</si>
  <si>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</si>
  <si>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</si>
  <si>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</si>
  <si>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</si>
  <si>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</si>
  <si>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</si>
  <si>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</si>
  <si>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</si>
  <si>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</si>
  <si>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</si>
  <si>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</si>
  <si>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</si>
  <si>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</si>
  <si>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</si>
  <si>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</si>
  <si>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</si>
  <si>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</si>
  <si>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</si>
  <si>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</si>
  <si>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</si>
  <si>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</si>
  <si>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</si>
  <si>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</si>
  <si>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</si>
  <si>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</si>
  <si>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</si>
  <si>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</si>
  <si>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</si>
  <si>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</si>
  <si>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</si>
  <si>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</si>
  <si>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</si>
  <si>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</si>
  <si>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</si>
  <si>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</si>
  <si>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</si>
  <si>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</si>
  <si>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</si>
  <si>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</si>
  <si>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</si>
  <si>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</si>
  <si>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</si>
  <si>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</si>
  <si>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</si>
  <si>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</si>
  <si>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</si>
  <si>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</si>
  <si>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</si>
  <si>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</si>
  <si>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</si>
  <si>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</si>
  <si>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</si>
  <si>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</si>
  <si>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</si>
  <si>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</si>
  <si>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</si>
  <si>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</si>
  <si>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</si>
  <si>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</si>
  <si>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</si>
  <si>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</si>
  <si>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</si>
  <si>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</si>
  <si>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</si>
  <si>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</si>
  <si>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</si>
  <si>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</si>
  <si>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</si>
  <si>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</si>
  <si>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</si>
  <si>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</si>
  <si>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</si>
  <si>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</si>
  <si>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</si>
  <si>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</si>
  <si>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</si>
  <si>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</si>
  <si>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</si>
  <si>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</si>
  <si>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</si>
  <si>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</si>
  <si>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</si>
  <si>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</si>
  <si>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</si>
  <si>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</si>
  <si>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</si>
  <si>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</si>
  <si>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</si>
  <si>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</si>
  <si>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</si>
  <si>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</si>
  <si>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</si>
  <si>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</si>
  <si>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</si>
  <si>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</si>
  <si>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</si>
  <si>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</si>
  <si>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</si>
  <si>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</si>
  <si>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</si>
  <si>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</si>
  <si>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</si>
  <si>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</si>
  <si>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</si>
  <si>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</si>
  <si>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</si>
  <si>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</si>
  <si>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</si>
  <si>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</si>
  <si>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</si>
  <si>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</si>
  <si>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</si>
  <si>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</si>
  <si>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</si>
  <si>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</si>
  <si>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</si>
  <si>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</si>
  <si>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</si>
  <si>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</si>
  <si>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</si>
  <si>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</si>
  <si>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</si>
  <si>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</si>
  <si>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</si>
  <si>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</si>
  <si>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</si>
  <si>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</si>
  <si>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</si>
  <si>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</si>
  <si>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</si>
  <si>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</si>
  <si>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</si>
  <si>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</si>
  <si>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</si>
  <si>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</si>
  <si>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</si>
  <si>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</si>
  <si>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</si>
  <si>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</si>
  <si>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</si>
  <si>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</si>
  <si>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</si>
  <si>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</si>
  <si>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</si>
  <si>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</si>
  <si>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</si>
  <si>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</si>
  <si>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</si>
  <si>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</si>
  <si>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</si>
  <si>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</si>
  <si>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</si>
  <si>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</si>
  <si>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</si>
  <si>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</si>
  <si>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</si>
  <si>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</si>
  <si>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</si>
  <si>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</si>
  <si>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</si>
  <si>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</si>
  <si>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</si>
  <si>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</si>
  <si>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</si>
  <si>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</si>
  <si>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</si>
  <si>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</si>
  <si>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</si>
  <si>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</si>
  <si>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</si>
  <si>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</si>
  <si>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</si>
  <si>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</si>
  <si>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</si>
  <si>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</si>
  <si>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</si>
  <si>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</si>
  <si>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</si>
  <si>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</si>
  <si>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</si>
  <si>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</si>
  <si>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</si>
  <si>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</si>
  <si>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</si>
  <si>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</si>
  <si>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</si>
  <si>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</si>
  <si>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</si>
  <si>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</si>
  <si>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</si>
  <si>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</si>
  <si>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</si>
  <si>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</si>
  <si>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</si>
  <si>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</si>
  <si>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</si>
  <si>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</si>
  <si>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</si>
  <si>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</si>
  <si>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</si>
  <si>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</si>
  <si>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</si>
  <si>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</si>
  <si>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</si>
  <si>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</si>
  <si>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</si>
  <si>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</si>
  <si>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</si>
  <si>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</si>
  <si>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</si>
  <si>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</si>
  <si>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</si>
  <si>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</si>
  <si>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</si>
  <si>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</si>
  <si>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</si>
  <si>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</si>
  <si>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</si>
  <si>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</si>
  <si>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</si>
  <si>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</si>
  <si>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</si>
  <si>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</si>
  <si>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</si>
  <si>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</si>
  <si>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</si>
  <si>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</si>
  <si>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</si>
  <si>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</si>
  <si>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</si>
  <si>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</si>
  <si>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</si>
  <si>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</si>
  <si>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</si>
  <si>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</si>
  <si>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</si>
  <si>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</si>
  <si>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</si>
  <si>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</si>
  <si>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</si>
  <si>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</si>
  <si>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</si>
  <si>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</si>
  <si>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</si>
  <si>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</si>
  <si>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</si>
  <si>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</si>
  <si>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</si>
  <si>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</si>
  <si>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</si>
  <si>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</si>
  <si>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</si>
  <si>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</si>
  <si>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</si>
  <si>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</si>
  <si>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</si>
  <si>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</si>
  <si>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</si>
  <si>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</si>
  <si>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</si>
  <si>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</si>
  <si>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</si>
  <si>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</si>
  <si>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</si>
  <si>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</si>
  <si>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</si>
  <si>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</si>
  <si>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</si>
  <si>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</si>
  <si>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</si>
  <si>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</si>
  <si>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</si>
  <si>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</si>
  <si>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</si>
  <si>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</si>
  <si>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</si>
  <si>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</si>
  <si>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</si>
  <si>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</si>
  <si>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</si>
  <si>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</si>
  <si>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</si>
  <si>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</si>
  <si>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</si>
  <si>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</si>
  <si>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</si>
  <si>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</si>
  <si>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</si>
  <si>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</si>
  <si>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</si>
  <si>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</si>
  <si>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</si>
  <si>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</si>
  <si>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</si>
  <si>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</si>
  <si>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</si>
  <si>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</si>
  <si>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</si>
  <si>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</si>
  <si>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</si>
  <si>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</si>
  <si>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</si>
  <si>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</si>
  <si>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</si>
  <si>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</si>
  <si>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</si>
  <si>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</si>
  <si>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</si>
  <si>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</si>
  <si>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</si>
  <si>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</si>
  <si>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</si>
  <si>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</si>
  <si>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</si>
  <si>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</si>
  <si>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</si>
  <si>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</si>
  <si>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</si>
  <si>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</si>
  <si>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</si>
  <si>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</si>
  <si>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</si>
  <si>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</si>
  <si>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</si>
  <si>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</si>
  <si>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</si>
  <si>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</si>
  <si>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</si>
  <si>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</si>
  <si>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</si>
  <si>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</si>
  <si>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</si>
  <si>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</si>
  <si>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</si>
  <si>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</si>
  <si>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</si>
  <si>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</si>
  <si>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</si>
  <si>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</si>
  <si>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</si>
  <si>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</si>
  <si>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</si>
  <si>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</si>
  <si>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</si>
  <si>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</si>
  <si>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</si>
  <si>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</si>
  <si>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</si>
  <si>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</si>
  <si>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</si>
  <si>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</si>
  <si>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</si>
  <si>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</si>
  <si>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</si>
  <si>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</si>
  <si>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</si>
  <si>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</si>
  <si>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</si>
  <si>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</si>
  <si>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</si>
  <si>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</si>
  <si>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</si>
  <si>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</si>
  <si>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</si>
  <si>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</si>
  <si>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</si>
  <si>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</si>
  <si>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</si>
  <si>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</si>
  <si>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</si>
  <si>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</si>
  <si>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</si>
  <si>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</si>
  <si>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</si>
  <si>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</si>
  <si>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</si>
  <si>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</si>
  <si>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</si>
  <si>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</si>
  <si>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</si>
  <si>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</si>
  <si>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</si>
  <si>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</si>
  <si>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</si>
  <si>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</si>
  <si>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</si>
  <si>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</si>
  <si>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</si>
  <si>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</si>
  <si>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</si>
  <si>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</si>
  <si>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</si>
  <si>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</si>
  <si>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</si>
  <si>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</si>
  <si>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</si>
  <si>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</si>
  <si>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</si>
  <si>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</si>
  <si>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</si>
  <si>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</si>
  <si>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</si>
  <si>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</si>
  <si>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</si>
  <si>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</si>
  <si>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</si>
  <si>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</si>
  <si>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</si>
  <si>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</si>
  <si>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</si>
  <si>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</si>
  <si>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</si>
  <si>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</si>
  <si>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</si>
  <si>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</si>
  <si>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</si>
  <si>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</si>
  <si>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</si>
  <si>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</si>
  <si>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</si>
  <si>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</si>
  <si>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</si>
  <si>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</si>
  <si>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</si>
  <si>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</si>
  <si>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</si>
  <si>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</si>
  <si>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</si>
  <si>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</si>
  <si>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</si>
  <si>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</si>
  <si>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</si>
  <si>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</si>
  <si>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</si>
  <si>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</si>
  <si>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</si>
  <si>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</si>
  <si>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</si>
  <si>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</si>
  <si>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</si>
  <si>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</si>
  <si>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</si>
  <si>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</si>
  <si>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</si>
  <si>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</si>
  <si>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</si>
  <si>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</si>
  <si>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</si>
  <si>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</si>
  <si>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</si>
  <si>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</si>
  <si>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</si>
  <si>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</si>
  <si>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</si>
  <si>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</si>
  <si>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</si>
  <si>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</si>
  <si>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</si>
  <si>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</si>
  <si>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</si>
  <si>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</si>
  <si>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</si>
  <si>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</si>
  <si>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</si>
  <si>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</si>
  <si>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</si>
  <si>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</si>
  <si>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</si>
  <si>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</si>
  <si>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</si>
  <si>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</si>
  <si>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</si>
  <si>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</si>
  <si>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</si>
  <si>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</si>
  <si>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</si>
  <si>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</si>
  <si>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</si>
  <si>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</si>
  <si>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</si>
  <si>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</si>
  <si>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</si>
  <si>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</si>
  <si>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</si>
  <si>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</si>
  <si>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</si>
  <si>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</si>
  <si>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</si>
  <si>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</si>
  <si>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</si>
  <si>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</si>
  <si>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</si>
  <si>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</si>
  <si>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</si>
  <si>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</si>
  <si>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</si>
  <si>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</si>
  <si>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</si>
  <si>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</si>
  <si>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</si>
  <si>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</si>
  <si>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</si>
  <si>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</si>
  <si>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</si>
  <si>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</si>
  <si>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</si>
  <si>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</si>
  <si>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</si>
  <si>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</si>
  <si>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</si>
  <si>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</si>
  <si>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</si>
  <si>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</si>
  <si>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</si>
  <si>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</si>
  <si>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</si>
  <si>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</si>
  <si>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</si>
  <si>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</si>
  <si>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</si>
  <si>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</si>
  <si>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</si>
  <si>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</si>
  <si>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</si>
  <si>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</si>
  <si>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</si>
  <si>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</si>
  <si>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</si>
  <si>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</si>
  <si>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</si>
  <si>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</si>
  <si>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</si>
  <si>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</si>
  <si>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</si>
  <si>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</si>
  <si>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</si>
  <si>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</si>
  <si>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</si>
  <si>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</si>
  <si>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</si>
  <si>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</si>
  <si>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</si>
  <si>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</si>
  <si>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</si>
  <si>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</si>
  <si>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</si>
  <si>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</si>
  <si>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</si>
  <si>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</si>
  <si>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</si>
  <si>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</si>
  <si>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</si>
  <si>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</si>
  <si>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</si>
  <si>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</si>
  <si>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</si>
  <si>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</si>
  <si>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</si>
  <si>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</si>
  <si>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</si>
  <si>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</si>
  <si>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</si>
  <si>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</si>
  <si>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</si>
  <si>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</si>
  <si>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</si>
  <si>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</si>
  <si>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</si>
  <si>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</si>
  <si>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</si>
  <si>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</si>
  <si>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</si>
  <si>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</si>
  <si>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</si>
  <si>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</si>
  <si>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</si>
  <si>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</si>
  <si>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</si>
  <si>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</si>
  <si>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</si>
  <si>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</si>
  <si>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</si>
  <si>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</si>
  <si>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</si>
  <si>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</si>
  <si>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</si>
  <si>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</si>
  <si>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</si>
  <si>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</si>
  <si>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</si>
  <si>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</si>
  <si>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</si>
  <si>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</si>
  <si>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</si>
  <si>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</si>
  <si>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</si>
  <si>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</si>
  <si>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</si>
  <si>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</si>
  <si>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</si>
  <si>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</si>
  <si>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</si>
  <si>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</si>
  <si>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</si>
  <si>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</si>
  <si>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</si>
  <si>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</si>
  <si>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</si>
  <si>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</si>
  <si>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</si>
  <si>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</si>
  <si>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</si>
  <si>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</si>
  <si>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</si>
  <si>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</si>
  <si>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</si>
  <si>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</si>
  <si>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</si>
  <si>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</si>
  <si>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</si>
  <si>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</si>
  <si>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</si>
  <si>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</si>
  <si>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</si>
  <si>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</si>
  <si>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</si>
  <si>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</si>
  <si>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</si>
  <si>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</si>
  <si>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</si>
  <si>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</si>
  <si>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</si>
  <si>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</si>
  <si>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</si>
  <si>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</si>
  <si>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</si>
  <si>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</si>
  <si>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</si>
  <si>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</si>
  <si>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</si>
  <si>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</si>
  <si>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</si>
  <si>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</si>
  <si>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</si>
  <si>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</si>
  <si>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</si>
  <si>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</si>
  <si>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</si>
  <si>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</si>
  <si>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</si>
  <si>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</si>
  <si>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</si>
  <si>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</si>
  <si>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</si>
  <si>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</si>
  <si>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</si>
  <si>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</si>
  <si>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</si>
  <si>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</si>
  <si>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</si>
  <si>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</si>
  <si>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</si>
  <si>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</si>
  <si>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</si>
  <si>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</si>
  <si>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</si>
  <si>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</si>
  <si>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</si>
  <si>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</si>
  <si>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</si>
  <si>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</si>
  <si>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</si>
  <si>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</si>
  <si>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</si>
  <si>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</si>
  <si>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</si>
  <si>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</si>
  <si>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</si>
  <si>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</si>
  <si>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</si>
  <si>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</si>
  <si>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</si>
  <si>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</si>
  <si>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</si>
  <si>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</si>
  <si>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</si>
  <si>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</si>
  <si>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</si>
  <si>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</si>
  <si>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</si>
  <si>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</si>
  <si>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</si>
  <si>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</si>
  <si>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</si>
  <si>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</si>
  <si>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</si>
  <si>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</si>
  <si>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</si>
  <si>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</si>
  <si>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</si>
  <si>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</si>
  <si>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</si>
  <si>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</si>
  <si>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</si>
  <si>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</si>
  <si>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</si>
  <si>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</si>
  <si>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</si>
  <si>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</si>
  <si>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</si>
  <si>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</si>
  <si>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</si>
  <si>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</si>
  <si>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</si>
  <si>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</si>
  <si>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</si>
  <si>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</si>
  <si>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</si>
  <si>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</si>
  <si>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</si>
  <si>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</si>
  <si>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</si>
  <si>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</si>
  <si>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</si>
  <si>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</si>
  <si>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</si>
  <si>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</si>
  <si>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</si>
  <si>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</si>
  <si>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</si>
  <si>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</si>
  <si>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</si>
  <si>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</si>
  <si>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</si>
  <si>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</si>
  <si>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</si>
  <si>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</si>
  <si>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</si>
  <si>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</si>
  <si>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</si>
  <si>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</si>
  <si>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</si>
  <si>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</si>
  <si>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</si>
  <si>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</si>
  <si>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</si>
  <si>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</si>
  <si>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</si>
  <si>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</si>
  <si>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</si>
  <si>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</si>
  <si>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</si>
  <si>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</si>
  <si>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</si>
  <si>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</si>
  <si>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</si>
  <si>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</si>
  <si>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</si>
  <si>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</si>
  <si>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</si>
  <si>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</si>
  <si>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</si>
  <si>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</si>
  <si>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</si>
  <si>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</si>
  <si>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</si>
  <si>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</si>
  <si>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</si>
  <si>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</si>
  <si>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</si>
  <si>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</si>
  <si>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</si>
  <si>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</si>
  <si>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</si>
  <si>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</si>
  <si>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</si>
  <si>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</si>
  <si>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</si>
  <si>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</si>
  <si>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</si>
  <si>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</si>
  <si>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</si>
  <si>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</si>
  <si>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</si>
  <si>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</si>
  <si>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</si>
  <si>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</si>
  <si>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</si>
  <si>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</si>
  <si>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</si>
  <si>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</si>
  <si>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</si>
  <si>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</si>
  <si>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</si>
  <si>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</si>
  <si>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</si>
  <si>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</si>
  <si>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</si>
  <si>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</si>
  <si>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</si>
  <si>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</si>
  <si>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</si>
  <si>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</si>
  <si>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</si>
  <si>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</si>
  <si>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</si>
  <si>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</si>
  <si>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</si>
  <si>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</si>
  <si>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</si>
  <si>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</si>
  <si>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</si>
  <si>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</si>
  <si>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</si>
  <si>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</si>
  <si>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</si>
  <si>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</si>
  <si>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</si>
  <si>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</si>
  <si>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</si>
  <si>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</si>
  <si>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</si>
  <si>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</si>
  <si>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</si>
  <si>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</si>
  <si>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</si>
  <si>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</si>
  <si>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</si>
  <si>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</si>
  <si>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</si>
  <si>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</si>
  <si>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</si>
  <si>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</si>
  <si>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</si>
  <si>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</si>
  <si>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</si>
  <si>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</si>
  <si>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</si>
  <si>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</si>
  <si>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</si>
  <si>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</si>
  <si>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</si>
  <si>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</si>
  <si>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</si>
  <si>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</si>
  <si>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</si>
  <si>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</si>
  <si>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</si>
  <si>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</si>
  <si>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</si>
  <si>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</si>
  <si>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</si>
  <si>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</si>
  <si>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</si>
  <si>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</si>
  <si>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</si>
  <si>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</si>
  <si>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</si>
  <si>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</si>
  <si>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</si>
  <si>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</si>
  <si>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</si>
  <si>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</si>
  <si>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</si>
  <si>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</si>
  <si>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</si>
  <si>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</si>
  <si>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</si>
  <si>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</si>
  <si>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</si>
  <si>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</si>
  <si>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</si>
  <si>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</si>
  <si>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</si>
  <si>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</si>
  <si>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</si>
  <si>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</si>
  <si>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</si>
  <si>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</si>
  <si>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</si>
  <si>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</si>
  <si>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</si>
  <si>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</si>
  <si>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</si>
  <si>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</si>
  <si>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</si>
  <si>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</si>
  <si>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</si>
  <si>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</si>
  <si>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</si>
  <si>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</si>
  <si>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</si>
  <si>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</si>
  <si>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</si>
  <si>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</si>
  <si>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</si>
  <si>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</si>
  <si>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</si>
  <si>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</si>
  <si>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</si>
  <si>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</si>
  <si>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</si>
  <si>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</si>
  <si>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</si>
  <si>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</si>
  <si>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</si>
  <si>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</si>
  <si>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</si>
  <si>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</si>
  <si>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</si>
  <si>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</si>
  <si>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</si>
  <si>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</si>
  <si>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</si>
  <si>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</si>
  <si>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</si>
  <si>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</si>
  <si>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</si>
  <si>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</si>
  <si>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</si>
  <si>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</si>
  <si>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</si>
  <si>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</si>
  <si>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</si>
  <si>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</si>
  <si>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</si>
  <si>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</si>
  <si>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</si>
  <si>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</si>
  <si>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</si>
  <si>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</si>
  <si>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</si>
  <si>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</si>
  <si>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</si>
  <si>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</si>
  <si>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</si>
  <si>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</si>
  <si>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</si>
  <si>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</si>
  <si>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</si>
  <si>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</si>
  <si>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</si>
  <si>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</si>
  <si>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</si>
  <si>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</si>
  <si>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</si>
  <si>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</si>
  <si>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</si>
  <si>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</si>
  <si>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</si>
  <si>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</si>
  <si>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</si>
  <si>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</si>
  <si>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</si>
  <si>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</si>
  <si>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</si>
  <si>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</si>
  <si>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</si>
  <si>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</si>
  <si>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</si>
  <si>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</si>
  <si>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</si>
  <si>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</si>
  <si>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</si>
  <si>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</si>
  <si>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</si>
  <si>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</si>
  <si>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</si>
  <si>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</si>
  <si>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</si>
  <si>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</si>
  <si>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</si>
  <si>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</si>
  <si>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</si>
  <si>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</si>
  <si>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</si>
  <si>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</si>
  <si>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</si>
  <si>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</si>
  <si>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</si>
  <si>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</si>
  <si>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</si>
  <si>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</si>
  <si>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</si>
  <si>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</si>
  <si>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</si>
  <si>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</si>
  <si>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</si>
  <si>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</si>
  <si>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</si>
  <si>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</si>
  <si>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</si>
  <si>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</si>
  <si>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</si>
  <si>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</si>
  <si>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</si>
  <si>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</si>
  <si>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</si>
  <si>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</si>
  <si>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</si>
  <si>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</si>
  <si>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</si>
  <si>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</si>
  <si>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</si>
  <si>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</si>
  <si>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</si>
  <si>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</si>
  <si>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</si>
  <si>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</si>
  <si>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</si>
  <si>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</si>
  <si>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</si>
  <si>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</si>
  <si>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</si>
  <si>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</si>
  <si>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</si>
  <si>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</si>
  <si>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</si>
  <si>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</si>
  <si>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</si>
  <si>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</si>
  <si>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</si>
  <si>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</si>
  <si>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</si>
  <si>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</si>
  <si>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</si>
  <si>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</si>
  <si>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</si>
  <si>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</si>
  <si>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</si>
  <si>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</si>
  <si>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</si>
  <si>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</si>
  <si>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</si>
  <si>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</si>
  <si>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</si>
  <si>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</si>
  <si>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</si>
  <si>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</si>
  <si>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</si>
  <si>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</si>
  <si>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</si>
  <si>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</si>
  <si>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</si>
  <si>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</si>
  <si>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</si>
  <si>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</si>
  <si>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</si>
  <si>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</si>
  <si>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</si>
  <si>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</si>
  <si>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</si>
  <si>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</si>
  <si>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</si>
  <si>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</si>
  <si>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</si>
  <si>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</si>
  <si>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</si>
  <si>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</si>
  <si>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</si>
  <si>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</si>
  <si>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</si>
  <si>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</si>
  <si>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</si>
  <si>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</si>
  <si>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</si>
  <si>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</si>
  <si>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</si>
  <si>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</si>
  <si>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</si>
  <si>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</si>
  <si>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</si>
  <si>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</si>
  <si>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</si>
  <si>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</si>
  <si>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</si>
  <si>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</si>
  <si>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</si>
  <si>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</si>
  <si>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</si>
  <si>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</si>
  <si>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</si>
  <si>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</si>
  <si>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</si>
  <si>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</si>
  <si>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</si>
  <si>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</si>
  <si>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</si>
  <si>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</si>
  <si>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</si>
  <si>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</si>
  <si>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</si>
  <si>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</si>
  <si>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</si>
  <si>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</si>
  <si>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</si>
  <si>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</si>
  <si>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</si>
  <si>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</si>
  <si>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</si>
  <si>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</si>
  <si>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</si>
  <si>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</si>
  <si>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</si>
  <si>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</si>
  <si>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</si>
  <si>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</si>
  <si>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</si>
  <si>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</si>
  <si>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</si>
  <si>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</si>
  <si>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</si>
  <si>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</si>
  <si>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</si>
  <si>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</si>
  <si>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</si>
  <si>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</si>
  <si>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</si>
  <si>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</si>
  <si>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</si>
  <si>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</si>
  <si>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</si>
  <si>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</si>
  <si>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</si>
  <si>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</si>
  <si>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</si>
  <si>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</si>
  <si>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</si>
  <si>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</si>
  <si>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</si>
  <si>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</si>
  <si>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</si>
  <si>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</si>
  <si>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</si>
  <si>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</si>
  <si>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</si>
  <si>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</si>
  <si>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</si>
  <si>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</si>
  <si>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</si>
  <si>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</si>
  <si>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</si>
  <si>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</si>
  <si>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</si>
  <si>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</si>
  <si>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</si>
  <si>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</si>
  <si>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</si>
  <si>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</si>
  <si>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</si>
  <si>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</si>
  <si>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</si>
  <si>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</si>
  <si>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</si>
  <si>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</si>
  <si>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</si>
  <si>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</si>
  <si>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</si>
  <si>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</si>
  <si>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</si>
  <si>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</si>
  <si>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</si>
  <si>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</si>
  <si>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</si>
  <si>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</si>
  <si>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</si>
  <si>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</si>
  <si>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</si>
  <si>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</si>
  <si>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</si>
  <si>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</si>
  <si>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</si>
  <si>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</si>
  <si>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</si>
  <si>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</si>
  <si>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</si>
  <si>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</si>
  <si>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</si>
  <si>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</si>
  <si>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</si>
  <si>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</si>
  <si>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</si>
  <si>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</si>
  <si>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</si>
  <si>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</si>
  <si>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</si>
  <si>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</si>
  <si>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</si>
  <si>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</si>
  <si>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</si>
  <si>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</si>
  <si>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</si>
  <si>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</si>
  <si>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</si>
  <si>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</si>
  <si>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</si>
  <si>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</si>
  <si>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</si>
  <si>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</si>
  <si>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</si>
  <si>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</si>
  <si>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</si>
  <si>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</si>
  <si>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</si>
  <si>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</si>
  <si>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</si>
  <si>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</si>
  <si>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</si>
  <si>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</si>
  <si>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</si>
  <si>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</si>
  <si>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</si>
  <si>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</si>
  <si>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</si>
  <si>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</si>
  <si>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</si>
  <si>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</si>
  <si>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</si>
  <si>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</si>
  <si>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</si>
  <si>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</si>
  <si>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</si>
  <si>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</si>
  <si>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</si>
  <si>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</si>
  <si>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</si>
  <si>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</si>
  <si>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</si>
  <si>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</si>
  <si>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</si>
  <si>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</si>
  <si>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</si>
  <si>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</si>
  <si>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</si>
  <si>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</si>
  <si>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</si>
  <si>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</si>
  <si>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</si>
  <si>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</si>
  <si>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</si>
  <si>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</si>
  <si>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</si>
  <si>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</si>
  <si>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</si>
  <si>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</si>
  <si>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</si>
  <si>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</si>
  <si>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</si>
  <si>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</si>
  <si>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</si>
  <si>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</si>
  <si>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</si>
  <si>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</si>
  <si>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</si>
  <si>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</si>
  <si>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</si>
  <si>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</si>
  <si>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</si>
  <si>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</si>
  <si>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</si>
  <si>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</si>
  <si>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</si>
  <si>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</si>
  <si>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</si>
  <si>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</si>
  <si>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</si>
  <si>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</si>
  <si>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</si>
  <si>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</si>
  <si>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</si>
  <si>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</si>
  <si>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</si>
  <si>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</si>
  <si>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</si>
  <si>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</si>
  <si>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</si>
  <si>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</si>
  <si>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</si>
  <si>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</si>
  <si>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</si>
  <si>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</si>
  <si>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</si>
  <si>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</si>
  <si>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</si>
  <si>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</si>
  <si>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</si>
  <si>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</si>
  <si>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</si>
  <si>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</si>
  <si>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</si>
  <si>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</si>
  <si>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</si>
  <si>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</si>
  <si>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</si>
  <si>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</si>
  <si>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</si>
  <si>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</si>
  <si>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</si>
  <si>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</si>
  <si>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</si>
  <si>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</si>
  <si>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</si>
  <si>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</si>
  <si>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</si>
  <si>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</si>
  <si>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</si>
  <si>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</si>
  <si>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</si>
  <si>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</si>
  <si>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</si>
  <si>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</si>
  <si>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</si>
  <si>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</si>
  <si>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</si>
  <si>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</si>
  <si>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</si>
  <si>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</si>
  <si>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</si>
  <si>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</si>
  <si>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</si>
  <si>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</si>
  <si>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</si>
  <si>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</si>
  <si>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</si>
  <si>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</si>
  <si>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</si>
  <si>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</si>
  <si>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</si>
  <si>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</si>
  <si>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</si>
  <si>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</si>
  <si>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</si>
  <si>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</si>
  <si>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</si>
  <si>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</si>
  <si>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</si>
  <si>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</si>
  <si>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</si>
  <si>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</si>
  <si>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</si>
  <si>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</si>
  <si>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</si>
  <si>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</si>
  <si>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</si>
  <si>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</si>
  <si>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</si>
  <si>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</si>
  <si>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</si>
  <si>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</si>
  <si>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</si>
  <si>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</si>
  <si>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</si>
  <si>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</si>
  <si>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</si>
  <si>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</si>
  <si>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</si>
  <si>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</si>
  <si>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</si>
  <si>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</si>
  <si>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</si>
  <si>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</si>
  <si>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</si>
  <si>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</si>
  <si>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</si>
  <si>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</si>
  <si>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</si>
  <si>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</si>
  <si>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</si>
  <si>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</si>
  <si>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</si>
  <si>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</si>
  <si>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</si>
  <si>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</si>
  <si>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</si>
  <si>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</si>
  <si>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</si>
  <si>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</si>
  <si>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</si>
  <si>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</si>
  <si>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</si>
  <si>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</si>
  <si>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</si>
  <si>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</si>
  <si>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</si>
  <si>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</si>
  <si>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</si>
  <si>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</si>
  <si>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</si>
  <si>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</si>
  <si>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</si>
  <si>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</si>
  <si>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</si>
  <si>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</si>
  <si>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</si>
  <si>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</si>
  <si>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</si>
  <si>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</si>
  <si>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</si>
  <si>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</si>
  <si>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</si>
  <si>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</si>
  <si>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</si>
  <si>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</si>
  <si>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</si>
  <si>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</si>
  <si>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</si>
  <si>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</si>
  <si>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</si>
  <si>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</si>
  <si>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</si>
  <si>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</si>
  <si>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</si>
  <si>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</si>
  <si>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</si>
  <si>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</si>
  <si>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</si>
  <si>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</si>
  <si>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</si>
  <si>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</si>
  <si>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</si>
  <si>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</si>
  <si>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</si>
  <si>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</si>
  <si>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</si>
  <si>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</si>
  <si>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</si>
  <si>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</si>
  <si>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</si>
  <si>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</si>
  <si>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</si>
  <si>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</si>
  <si>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</si>
  <si>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</si>
  <si>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</si>
  <si>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</si>
  <si>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</si>
  <si>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</si>
  <si>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</si>
  <si>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</si>
  <si>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</si>
  <si>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</si>
  <si>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</si>
  <si>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</si>
  <si>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</si>
  <si>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</si>
  <si>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</si>
  <si>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</si>
  <si>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</si>
  <si>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</si>
  <si>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</si>
  <si>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</si>
  <si>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</si>
  <si>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</si>
  <si>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</si>
  <si>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</si>
  <si>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</si>
  <si>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</si>
  <si>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</si>
  <si>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</si>
  <si>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</si>
  <si>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</si>
  <si>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</si>
  <si>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</si>
  <si>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</si>
  <si>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</si>
  <si>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</si>
  <si>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</si>
  <si>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</si>
  <si>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</si>
  <si>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</si>
  <si>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</si>
  <si>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</si>
  <si>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</si>
  <si>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</si>
  <si>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</si>
  <si>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</si>
  <si>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</si>
  <si>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</si>
  <si>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</si>
  <si>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</si>
  <si>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</si>
  <si>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</si>
  <si>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</si>
  <si>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</si>
  <si>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</si>
  <si>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</si>
  <si>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</si>
  <si>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</si>
  <si>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</si>
  <si>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</si>
  <si>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</si>
  <si>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</si>
  <si>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</si>
  <si>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</si>
  <si>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</si>
  <si>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</si>
  <si>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</si>
  <si>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</si>
  <si>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</si>
  <si>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</si>
  <si>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</si>
  <si>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</si>
  <si>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</si>
  <si>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</si>
  <si>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</si>
  <si>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</si>
  <si>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</si>
  <si>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</si>
  <si>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</si>
  <si>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</si>
  <si>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</si>
  <si>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</si>
  <si>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</si>
  <si>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</si>
  <si>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</si>
  <si>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</si>
  <si>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</si>
  <si>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</si>
  <si>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</si>
  <si>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</si>
  <si>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</si>
  <si>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</si>
  <si>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</si>
  <si>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</si>
  <si>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</si>
  <si>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</si>
  <si>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</si>
  <si>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</si>
  <si>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</si>
  <si>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</si>
  <si>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</si>
  <si>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</si>
  <si>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</si>
  <si>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</si>
  <si>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</si>
  <si>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</si>
  <si>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</si>
  <si>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</si>
  <si>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</si>
  <si>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</si>
  <si>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</si>
  <si>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</si>
  <si>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</si>
  <si>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</si>
  <si>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</si>
  <si>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</si>
  <si>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</si>
  <si>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</si>
  <si>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</si>
  <si>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</si>
  <si>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</si>
  <si>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</si>
  <si>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</si>
  <si>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</si>
  <si>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</si>
  <si>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</si>
  <si>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</si>
  <si>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</si>
  <si>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</si>
  <si>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</si>
  <si>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</si>
  <si>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</si>
  <si>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</si>
  <si>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</si>
  <si>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</si>
  <si>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</si>
  <si>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</si>
  <si>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</si>
  <si>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</si>
  <si>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</si>
  <si>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</si>
  <si>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</si>
  <si>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</si>
  <si>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</si>
  <si>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</si>
  <si>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</si>
  <si>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</si>
  <si>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</si>
  <si>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</si>
  <si>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</si>
  <si>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</si>
  <si>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</si>
  <si>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</si>
  <si>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</si>
  <si>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</si>
  <si>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</si>
  <si>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</si>
  <si>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</si>
  <si>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</si>
  <si>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</si>
  <si>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</si>
  <si>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</si>
  <si>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</si>
  <si>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</si>
  <si>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</si>
  <si>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</si>
  <si>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</si>
  <si>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</si>
  <si>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</si>
  <si>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</si>
  <si>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</si>
  <si>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</si>
  <si>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</si>
  <si>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</si>
  <si>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</si>
  <si>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</si>
  <si>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</si>
  <si>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</si>
  <si>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</si>
  <si>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</si>
  <si>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</si>
  <si>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</si>
  <si>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</si>
  <si>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</si>
  <si>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</si>
  <si>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</si>
  <si>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</si>
  <si>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</si>
  <si>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</si>
  <si>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</si>
  <si>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</si>
  <si>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</si>
  <si>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</si>
  <si>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</si>
  <si>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</si>
  <si>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</si>
  <si>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</si>
  <si>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</si>
  <si>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</si>
  <si>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</si>
  <si>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</si>
  <si>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</si>
  <si>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</si>
  <si>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</si>
  <si>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</si>
  <si>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</si>
  <si>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</si>
  <si>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</si>
  <si>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</si>
  <si>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</si>
  <si>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</si>
  <si>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</si>
  <si>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</si>
  <si>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</si>
  <si>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</si>
  <si>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</si>
  <si>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</si>
  <si>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</si>
  <si>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</si>
  <si>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</si>
  <si>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</si>
  <si>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</si>
  <si>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</si>
  <si>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</si>
  <si>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</si>
  <si>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</si>
  <si>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</si>
  <si>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</si>
  <si>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</si>
  <si>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</si>
  <si>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</si>
  <si>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</si>
  <si>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</si>
  <si>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</si>
  <si>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</si>
  <si>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</si>
  <si>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</si>
  <si>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</si>
  <si>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</si>
  <si>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</si>
  <si>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</si>
  <si>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</si>
  <si>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</si>
  <si>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</si>
  <si>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</si>
  <si>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</si>
  <si>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</si>
  <si>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</si>
  <si>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</si>
  <si>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</si>
  <si>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</si>
  <si>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</si>
  <si>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</si>
  <si>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</si>
  <si>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</si>
  <si>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</si>
  <si>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</si>
  <si>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</si>
  <si>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</si>
  <si>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</si>
  <si>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</si>
  <si>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</si>
  <si>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</si>
  <si>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</si>
  <si>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</si>
  <si>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</si>
  <si>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</si>
  <si>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</si>
  <si>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</si>
  <si>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</si>
  <si>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</si>
  <si>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</si>
  <si>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</si>
  <si>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</si>
  <si>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</si>
  <si>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</si>
  <si>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</si>
  <si>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</si>
  <si>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</si>
  <si>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</si>
  <si>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</si>
  <si>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</si>
  <si>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</si>
  <si>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</si>
  <si>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</si>
  <si>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</si>
  <si>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</si>
  <si>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</si>
  <si>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</si>
  <si>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</si>
  <si>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</si>
  <si>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</si>
  <si>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</si>
  <si>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</si>
  <si>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</si>
  <si>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</si>
  <si>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</si>
  <si>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</si>
  <si>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</si>
  <si>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</si>
  <si>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</si>
  <si>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</si>
  <si>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</si>
  <si>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</si>
  <si>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</si>
  <si>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</si>
  <si>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</si>
  <si>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</si>
  <si>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</si>
  <si>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</si>
  <si>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</si>
  <si>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</si>
  <si>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</si>
  <si>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</si>
  <si>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</si>
  <si>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</si>
  <si>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</si>
  <si>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</si>
  <si>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</si>
  <si>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</si>
  <si>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</si>
  <si>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</si>
  <si>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</si>
  <si>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</si>
  <si>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</si>
  <si>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</si>
  <si>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</si>
  <si>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</si>
  <si>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</si>
  <si>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</si>
  <si>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</si>
  <si>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</si>
  <si>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</si>
  <si>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</si>
  <si>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</si>
  <si>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</si>
  <si>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</si>
  <si>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</si>
  <si>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</si>
  <si>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</si>
  <si>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</si>
  <si>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</si>
  <si>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</si>
  <si>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</si>
  <si>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</si>
  <si>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</si>
  <si>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</si>
  <si>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</si>
  <si>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</si>
  <si>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</si>
  <si>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</si>
  <si>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</si>
  <si>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</si>
  <si>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</si>
  <si>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</si>
  <si>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</si>
  <si>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</si>
  <si>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</si>
  <si>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</si>
  <si>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</si>
  <si>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</si>
  <si>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</si>
  <si>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</si>
  <si>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</si>
  <si>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</si>
  <si>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</si>
  <si>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</si>
  <si>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</si>
  <si>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</si>
  <si>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</si>
  <si>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</si>
  <si>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</si>
  <si>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</si>
  <si>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</si>
  <si>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</si>
  <si>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</si>
  <si>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</si>
  <si>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</si>
  <si>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</si>
  <si>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</si>
  <si>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</si>
  <si>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</si>
  <si>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</si>
  <si>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</si>
  <si>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</si>
  <si>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</si>
  <si>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</si>
  <si>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</si>
  <si>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</si>
  <si>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</si>
  <si>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</si>
  <si>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</si>
  <si>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</si>
  <si>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</si>
  <si>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</si>
  <si>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</si>
  <si>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</si>
  <si>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</si>
  <si>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</si>
  <si>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</si>
  <si>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</si>
  <si>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</si>
  <si>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</si>
  <si>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</si>
  <si>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</si>
  <si>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</si>
  <si>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</si>
  <si>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</si>
  <si>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</si>
  <si>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</si>
  <si>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</si>
  <si>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</si>
  <si>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</si>
  <si>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</si>
  <si>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</si>
  <si>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</si>
  <si>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</si>
  <si>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</si>
  <si>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</si>
  <si>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</si>
  <si>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</si>
  <si>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</si>
  <si>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</si>
  <si>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</si>
  <si>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</si>
  <si>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</si>
  <si>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</si>
  <si>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</si>
  <si>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</si>
  <si>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</si>
  <si>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</si>
  <si>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</si>
  <si>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</si>
  <si>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</si>
  <si>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</si>
  <si>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</si>
  <si>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</si>
  <si>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</si>
  <si>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</si>
  <si>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</si>
  <si>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</si>
  <si>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</si>
  <si>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</si>
  <si>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</si>
  <si>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</si>
  <si>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</si>
  <si>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</si>
  <si>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</si>
  <si>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</si>
  <si>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</si>
  <si>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</si>
  <si>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</si>
  <si>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</si>
  <si>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</si>
  <si>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</si>
  <si>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</si>
  <si>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</si>
  <si>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</si>
  <si>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</si>
  <si>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</si>
  <si>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</si>
  <si>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</si>
  <si>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</si>
  <si>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</si>
  <si>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</si>
  <si>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</si>
  <si>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</si>
  <si>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</si>
  <si>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</si>
  <si>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</si>
  <si>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</si>
  <si>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</si>
  <si>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</si>
  <si>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</si>
  <si>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</si>
  <si>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</si>
  <si>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</si>
  <si>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</si>
  <si>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</si>
  <si>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</si>
  <si>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</si>
  <si>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</si>
  <si>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</si>
  <si>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</si>
  <si>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</si>
  <si>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</si>
  <si>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</si>
  <si>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</si>
  <si>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</si>
  <si>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</si>
  <si>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</si>
  <si>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</si>
  <si>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</si>
  <si>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</si>
  <si>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</si>
  <si>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</si>
  <si>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</si>
  <si>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</si>
  <si>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</si>
  <si>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</si>
  <si>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</si>
  <si>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</si>
  <si>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</si>
  <si>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</si>
  <si>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</si>
  <si>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</si>
  <si>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</si>
  <si>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</si>
  <si>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</si>
  <si>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</si>
  <si>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</si>
  <si>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</si>
  <si>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</si>
  <si>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</si>
  <si>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</si>
  <si>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</si>
  <si>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</si>
  <si>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</si>
  <si>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</si>
  <si>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</si>
  <si>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</si>
  <si>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</si>
  <si>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</si>
  <si>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</si>
  <si>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</si>
  <si>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</si>
  <si>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</si>
  <si>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</si>
  <si>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</si>
  <si>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</si>
  <si>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</si>
  <si>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</si>
  <si>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</si>
  <si>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</si>
  <si>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</si>
  <si>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</si>
  <si>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</si>
  <si>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</si>
  <si>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</si>
  <si>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</si>
  <si>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</si>
  <si>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</si>
  <si>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</si>
  <si>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</si>
  <si>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</si>
  <si>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</si>
  <si>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</si>
  <si>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</si>
  <si>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</si>
  <si>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</si>
  <si>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</si>
  <si>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</si>
  <si>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</si>
  <si>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H001</t>
  </si>
  <si>
    <t>TR - BU Rare Diseases</t>
  </si>
  <si>
    <t>H000003462 TR - Commercial BU</t>
  </si>
  <si>
    <t>H002</t>
  </si>
  <si>
    <t>TR - Field Force Rare Diseases</t>
  </si>
  <si>
    <t>H003</t>
  </si>
  <si>
    <t>TR - Marketing Rare Diseases</t>
  </si>
  <si>
    <t>H004</t>
  </si>
  <si>
    <t>TR - Sales Promotion Rare Diseases</t>
  </si>
  <si>
    <t>H005</t>
  </si>
  <si>
    <t>TR - Medical Rare Diseases</t>
  </si>
  <si>
    <t>H000003490 TR - Medical - Local R&amp;D</t>
  </si>
  <si>
    <t>H006</t>
  </si>
  <si>
    <t>TR - Medical Team</t>
  </si>
  <si>
    <t>H007</t>
  </si>
  <si>
    <t>TR - Medical Activities Non R&amp;D RD</t>
  </si>
  <si>
    <t>Global Clinical Development</t>
  </si>
  <si>
    <t>H000000955</t>
  </si>
  <si>
    <t>Program Strategy and Leadership</t>
  </si>
  <si>
    <t>H000000827</t>
  </si>
  <si>
    <t>H000004918 SCALA_1248 A351</t>
  </si>
  <si>
    <t>FR8305921</t>
  </si>
  <si>
    <t>H0000049xx</t>
  </si>
  <si>
    <t>120.12 Mirda+BGB-3245</t>
  </si>
  <si>
    <t>130.00 BGB-3245-No Program</t>
  </si>
  <si>
    <t xml:space="preserve">H000004935 </t>
  </si>
  <si>
    <t>510.10 TEAD-No Program</t>
  </si>
  <si>
    <t>510.11 TEAD SW-1656, AST</t>
  </si>
  <si>
    <t>550 VRK1</t>
  </si>
  <si>
    <t>550.00 VRK1 |No Program</t>
  </si>
  <si>
    <t>VRK1</t>
  </si>
  <si>
    <t>900 Capital Projects</t>
  </si>
  <si>
    <t>910  IT Projects</t>
  </si>
  <si>
    <t>920 Other Opex Projects</t>
  </si>
  <si>
    <t xml:space="preserve"> General allocation SW</t>
  </si>
  <si>
    <t>H00000xxxx</t>
  </si>
  <si>
    <t>SW Integration - exeptionals</t>
  </si>
  <si>
    <t>H000000974</t>
  </si>
  <si>
    <t>FR8314237</t>
  </si>
  <si>
    <t>Tina Kempe</t>
  </si>
  <si>
    <t>FR8318496</t>
  </si>
  <si>
    <t>H000004396 Rare Diseases</t>
  </si>
  <si>
    <t>H000004956 Global Commercial Strategy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</si>
  <si>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</si>
  <si>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</si>
  <si>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</si>
  <si>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</si>
  <si>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</si>
  <si>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</si>
  <si>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</si>
  <si>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Under Research &amp; Development node (row 6)</t>
  </si>
  <si>
    <t>Under Local Medical (row 7)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</si>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</sst>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1.202323611113" createdVersion="7" refreshedVersion="7" minRefreshableVersion="3" recordCount="1456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56"/>
    </cacheField>
    <cacheField name="Forecast?" numFmtId="0">
      <sharedItems/>
    </cacheField>
    <cacheField name="Ticket" numFmtId="0">
      <sharedItems containsBlank="1" count="141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 containsBlank="1"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6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  <r>
    <n v="1425"/>
    <s v="F2"/>
    <x v="44"/>
    <s v="G000000850"/>
    <s v="MRE closed cost center"/>
    <m/>
    <s v="Rename"/>
    <x v="1"/>
    <x v="2"/>
    <s v="MGF"/>
    <m/>
    <m/>
    <s v="Heiko Wagner"/>
  </r>
  <r>
    <n v="1426"/>
    <s v="F2"/>
    <x v="45"/>
    <s v="H000000912"/>
    <m/>
    <s v="H000004954"/>
    <s v="Move"/>
    <x v="1"/>
    <x v="0"/>
    <s v="HC"/>
    <m/>
    <m/>
    <s v="Henry Jr Ifurung"/>
  </r>
  <r>
    <n v="1427"/>
    <s v="F2"/>
    <x v="46"/>
    <s v="G000001462"/>
    <s v="GEB ST - BD &amp; Strategy Innovation China"/>
    <m/>
    <s v="Rename"/>
    <x v="1"/>
    <x v="2"/>
    <s v="MGF"/>
    <m/>
    <m/>
    <s v="Jojeff Tagnong"/>
  </r>
  <r>
    <n v="1428"/>
    <s v="F2"/>
    <x v="47"/>
    <s v="H000002738"/>
    <s v="MX - BU Endo &amp; Fert"/>
    <m/>
    <s v="Move"/>
    <x v="1"/>
    <x v="2"/>
    <s v="HC"/>
    <m/>
    <m/>
    <s v="Eduardo Morillo"/>
  </r>
  <r>
    <n v="1429"/>
    <s v="F2"/>
    <x v="47"/>
    <s v="H000002739"/>
    <s v="MX - BU Endo &amp; Fert"/>
    <m/>
    <s v="Move"/>
    <x v="1"/>
    <x v="2"/>
    <s v="HC"/>
    <m/>
    <m/>
    <s v="Eduardo Morillo"/>
  </r>
  <r>
    <n v="1430"/>
    <s v="F2"/>
    <x v="47"/>
    <s v="H000002753"/>
    <s v="MX - BU N&amp;I &amp; Onco"/>
    <m/>
    <s v="Move"/>
    <x v="1"/>
    <x v="2"/>
    <s v="HC"/>
    <m/>
    <m/>
    <s v="Eduardo Morillo"/>
  </r>
  <r>
    <n v="1431"/>
    <s v="F2"/>
    <x v="47"/>
    <s v="H000002753"/>
    <s v="MX - BU N&amp;I &amp; Onco"/>
    <m/>
    <s v="Move"/>
    <x v="1"/>
    <x v="2"/>
    <s v="HC"/>
    <m/>
    <m/>
    <s v="Eduardo Morillo"/>
  </r>
  <r>
    <n v="1432"/>
    <s v="F2"/>
    <x v="47"/>
    <s v="H000002762"/>
    <m/>
    <s v="H000002738"/>
    <s v="Move"/>
    <x v="1"/>
    <x v="2"/>
    <s v="HC"/>
    <m/>
    <m/>
    <s v="Eduardo Morillo"/>
  </r>
  <r>
    <n v="1433"/>
    <s v="F2"/>
    <x v="47"/>
    <s v="H000002740"/>
    <m/>
    <s v="H000002753"/>
    <s v="Move"/>
    <x v="1"/>
    <x v="2"/>
    <s v="HC"/>
    <m/>
    <m/>
    <s v="Eduardo Morillo"/>
  </r>
  <r>
    <n v="1434"/>
    <s v="F2"/>
    <x v="48"/>
    <m/>
    <s v="1401CA - Calais (Before CCH)"/>
    <s v="H000000580"/>
    <s v="New"/>
    <x v="1"/>
    <x v="2"/>
    <m/>
    <m/>
    <m/>
    <s v="Dale Ian Castaneda"/>
  </r>
  <r>
    <n v="1435"/>
    <s v="F2"/>
    <x v="48"/>
    <m/>
    <s v="1401ME - Meyzieu (Before CCH)"/>
    <s v="H000000589"/>
    <s v="New"/>
    <x v="1"/>
    <x v="2"/>
    <m/>
    <m/>
    <m/>
    <s v="Dale Ian Castaneda"/>
  </r>
  <r>
    <n v="1436"/>
    <s v="F2"/>
    <x v="48"/>
    <s v="H000000581"/>
    <m/>
    <s v="1401CA - Calais (Before CCH)"/>
    <s v="Move"/>
    <x v="1"/>
    <x v="2"/>
    <m/>
    <m/>
    <m/>
    <s v="Dale Ian Castaneda"/>
  </r>
  <r>
    <n v="1437"/>
    <s v="F2"/>
    <x v="48"/>
    <s v="H000000582"/>
    <m/>
    <s v="1401CA - Calais (Before CCH)"/>
    <s v="Move"/>
    <x v="1"/>
    <x v="2"/>
    <m/>
    <m/>
    <m/>
    <s v="Dale Ian Castaneda"/>
  </r>
  <r>
    <n v="1438"/>
    <s v="F2"/>
    <x v="48"/>
    <s v="H000000583"/>
    <m/>
    <s v="1401CA - Calais (Before CCH)"/>
    <s v="Move"/>
    <x v="1"/>
    <x v="2"/>
    <m/>
    <m/>
    <m/>
    <s v="Dale Ian Castaneda"/>
  </r>
  <r>
    <n v="1439"/>
    <s v="F2"/>
    <x v="48"/>
    <s v="H000000584"/>
    <m/>
    <s v="1401CA - Calais (Before CCH)"/>
    <s v="Move"/>
    <x v="1"/>
    <x v="2"/>
    <m/>
    <m/>
    <m/>
    <s v="Dale Ian Castaneda"/>
  </r>
  <r>
    <n v="1440"/>
    <s v="F2"/>
    <x v="48"/>
    <s v="H000000585"/>
    <m/>
    <s v="1401CA - Calais (Before CCH)"/>
    <s v="Move"/>
    <x v="1"/>
    <x v="2"/>
    <m/>
    <m/>
    <m/>
    <s v="Dale Ian Castaneda"/>
  </r>
  <r>
    <n v="1441"/>
    <s v="F2"/>
    <x v="48"/>
    <s v="H000000586"/>
    <m/>
    <s v="1401CA - Calais (Before CCH)"/>
    <s v="Move"/>
    <x v="1"/>
    <x v="2"/>
    <m/>
    <m/>
    <m/>
    <s v="Dale Ian Castaneda"/>
  </r>
  <r>
    <n v="1442"/>
    <s v="F2"/>
    <x v="48"/>
    <s v="H000000587"/>
    <m/>
    <s v="1401CA - Calais (Before CCH)"/>
    <s v="Move"/>
    <x v="1"/>
    <x v="2"/>
    <m/>
    <m/>
    <m/>
    <s v="Dale Ian Castaneda"/>
  </r>
  <r>
    <n v="1443"/>
    <s v="F2"/>
    <x v="48"/>
    <s v="H000000588"/>
    <m/>
    <s v="1401CA - Calais (Before CCH)"/>
    <s v="Move"/>
    <x v="1"/>
    <x v="2"/>
    <m/>
    <m/>
    <m/>
    <s v="Dale Ian Castaneda"/>
  </r>
  <r>
    <n v="1444"/>
    <s v="F2"/>
    <x v="48"/>
    <s v="H000000666"/>
    <m/>
    <s v="1401CA - Calais (Before CCH)"/>
    <s v="Move"/>
    <x v="1"/>
    <x v="2"/>
    <m/>
    <m/>
    <m/>
    <s v="Dale Ian Castaneda"/>
  </r>
  <r>
    <n v="1445"/>
    <s v="F2"/>
    <x v="48"/>
    <s v="PL_E5_FR40"/>
    <m/>
    <s v="1401CA - Calais (Before CCH)"/>
    <s v="Move"/>
    <x v="1"/>
    <x v="2"/>
    <m/>
    <m/>
    <m/>
    <s v="Dale Ian Castaneda"/>
  </r>
  <r>
    <n v="1446"/>
    <s v="F2"/>
    <x v="48"/>
    <s v="H000000590"/>
    <m/>
    <s v="1401ME - Meyzieu (Before CCH)"/>
    <s v="Move"/>
    <x v="1"/>
    <x v="2"/>
    <m/>
    <m/>
    <m/>
    <s v="Dale Ian Castaneda"/>
  </r>
  <r>
    <n v="1447"/>
    <s v="F2"/>
    <x v="48"/>
    <s v="H000000591"/>
    <m/>
    <s v="1401ME - Meyzieu (Before CCH)"/>
    <s v="Move"/>
    <x v="1"/>
    <x v="2"/>
    <m/>
    <m/>
    <m/>
    <s v="Dale Ian Castaneda"/>
  </r>
  <r>
    <n v="1448"/>
    <s v="F2"/>
    <x v="48"/>
    <s v="H000000592"/>
    <m/>
    <s v="1401ME - Meyzieu (Before CCH)"/>
    <s v="Move"/>
    <x v="1"/>
    <x v="2"/>
    <m/>
    <m/>
    <m/>
    <s v="Dale Ian Castaneda"/>
  </r>
  <r>
    <n v="1449"/>
    <s v="F2"/>
    <x v="48"/>
    <s v="H000000593"/>
    <m/>
    <s v="1401ME - Meyzieu (Before CCH)"/>
    <s v="Move"/>
    <x v="1"/>
    <x v="2"/>
    <m/>
    <m/>
    <m/>
    <s v="Dale Ian Castaneda"/>
  </r>
  <r>
    <n v="1450"/>
    <s v="F2"/>
    <x v="48"/>
    <s v="H000000594"/>
    <m/>
    <s v="1401ME - Meyzieu (Before CCH)"/>
    <s v="Move"/>
    <x v="1"/>
    <x v="2"/>
    <m/>
    <m/>
    <m/>
    <s v="Dale Ian Castaneda"/>
  </r>
  <r>
    <n v="1451"/>
    <s v="F2"/>
    <x v="48"/>
    <s v="H000000595"/>
    <m/>
    <s v="1401ME - Meyzieu (Before CCH)"/>
    <s v="Move"/>
    <x v="1"/>
    <x v="2"/>
    <m/>
    <m/>
    <m/>
    <s v="Dale Ian Castaneda"/>
  </r>
  <r>
    <n v="1452"/>
    <s v="F2"/>
    <x v="48"/>
    <s v="H000000596"/>
    <m/>
    <s v="1401ME - Meyzieu (Before CCH)"/>
    <s v="Move"/>
    <x v="1"/>
    <x v="2"/>
    <m/>
    <m/>
    <m/>
    <s v="Dale Ian Castaneda"/>
  </r>
  <r>
    <n v="1453"/>
    <s v="F2"/>
    <x v="48"/>
    <s v="H000000597"/>
    <m/>
    <s v="1401ME - Meyzieu (Before CCH)"/>
    <s v="Move"/>
    <x v="1"/>
    <x v="2"/>
    <m/>
    <m/>
    <m/>
    <s v="Dale Ian Castaneda"/>
  </r>
  <r>
    <n v="1454"/>
    <s v="F2"/>
    <x v="48"/>
    <s v="H000000667"/>
    <m/>
    <s v="1401ME - Meyzieu (Before CCH)"/>
    <s v="Move"/>
    <x v="1"/>
    <x v="2"/>
    <m/>
    <m/>
    <m/>
    <s v="Dale Ian Castaneda"/>
  </r>
  <r>
    <n v="1455"/>
    <s v="F2"/>
    <x v="48"/>
    <s v="PL_E5_FR42"/>
    <m/>
    <s v="1401ME - Meyzieu (Before CCH)"/>
    <s v="Move"/>
    <x v="1"/>
    <x v="2"/>
    <m/>
    <m/>
    <m/>
    <s v="Dale Ian Castaneda"/>
  </r>
  <r>
    <n v="1456"/>
    <s v="F2"/>
    <x v="49"/>
    <s v="G000000951"/>
    <m/>
    <s v="G000000873"/>
    <s v="Move"/>
    <x v="1"/>
    <x v="2"/>
    <m/>
    <m/>
    <m/>
    <s v="Analyn Ays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5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0" firstHeaderRow="1" firstDataRow="1" firstDataCol="1" rowPageCount="1" colPageCount="1"/>
  <pivotFields count="13">
    <pivotField showAll="0"/>
    <pivotField showAll="0"/>
    <pivotField axis="axisRow" showAll="0">
      <items count="142">
        <item m="1" x="77"/>
        <item m="1" x="119"/>
        <item m="1" x="136"/>
        <item m="1" x="130"/>
        <item m="1" x="115"/>
        <item m="1" x="73"/>
        <item m="1" x="81"/>
        <item m="1" x="106"/>
        <item m="1" x="103"/>
        <item m="1" x="53"/>
        <item m="1" x="137"/>
        <item m="1" x="95"/>
        <item m="1" x="76"/>
        <item m="1" x="84"/>
        <item m="1" x="88"/>
        <item m="1" x="58"/>
        <item m="1" x="90"/>
        <item m="1" x="59"/>
        <item m="1" x="125"/>
        <item m="1" x="71"/>
        <item m="1" x="120"/>
        <item m="1" x="134"/>
        <item m="1" x="62"/>
        <item m="1" x="128"/>
        <item m="1" x="99"/>
        <item m="1" x="86"/>
        <item m="1" x="74"/>
        <item m="1" x="82"/>
        <item m="1" x="121"/>
        <item m="1" x="113"/>
        <item m="1" x="69"/>
        <item m="1" x="97"/>
        <item m="1" x="104"/>
        <item m="1" x="117"/>
        <item m="1" x="55"/>
        <item m="1" x="114"/>
        <item m="1" x="102"/>
        <item m="1" x="61"/>
        <item m="1" x="132"/>
        <item m="1" x="75"/>
        <item m="1" x="135"/>
        <item m="1" x="126"/>
        <item m="1" x="72"/>
        <item m="1" x="54"/>
        <item m="1" x="52"/>
        <item m="1" x="124"/>
        <item m="1" x="98"/>
        <item m="1" x="85"/>
        <item m="1" x="123"/>
        <item m="1" x="94"/>
        <item m="1" x="57"/>
        <item m="1" x="131"/>
        <item m="1" x="96"/>
        <item m="1" x="56"/>
        <item m="1" x="107"/>
        <item m="1" x="91"/>
        <item m="1" x="66"/>
        <item m="1" x="92"/>
        <item m="1" x="116"/>
        <item m="1" x="67"/>
        <item m="1" x="140"/>
        <item m="1" x="87"/>
        <item m="1" x="63"/>
        <item m="1" x="68"/>
        <item m="1" x="65"/>
        <item m="1" x="112"/>
        <item m="1" x="93"/>
        <item m="1" x="105"/>
        <item m="1" x="78"/>
        <item m="1" x="111"/>
        <item m="1" x="101"/>
        <item m="1" x="83"/>
        <item m="1" x="79"/>
        <item m="1" x="122"/>
        <item m="1" x="127"/>
        <item m="1" x="108"/>
        <item m="1" x="100"/>
        <item m="1" x="64"/>
        <item m="1" x="51"/>
        <item m="1" x="139"/>
        <item m="1" x="118"/>
        <item m="1" x="60"/>
        <item m="1" x="138"/>
        <item m="1" x="110"/>
        <item m="1" x="133"/>
        <item m="1" x="129"/>
        <item m="1" x="89"/>
        <item m="1" x="70"/>
        <item m="1" x="80"/>
        <item m="1" x="10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5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7">
    <i>
      <x v="132"/>
    </i>
    <i r="1">
      <x v="3"/>
    </i>
    <i>
      <x v="134"/>
    </i>
    <i r="1">
      <x v="3"/>
    </i>
    <i>
      <x v="135"/>
    </i>
    <i r="1">
      <x v="3"/>
    </i>
    <i>
      <x v="136"/>
    </i>
    <i r="1">
      <x v="1"/>
    </i>
    <i>
      <x v="137"/>
    </i>
    <i r="1">
      <x v="3"/>
    </i>
    <i>
      <x v="138"/>
    </i>
    <i r="1">
      <x v="3"/>
    </i>
    <i>
      <x v="139"/>
    </i>
    <i r="1">
      <x v="3"/>
    </i>
    <i>
      <x v="140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89" totalsRowShown="0">
  <tableColumns count="13">
    <tableColumn id="1" xr3:uid="{00000000-0010-0000-0000-000001000000}" name="No." dataDxfId="2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20">
      <calculatedColumnFormula>IFERROR(VLOOKUP(Table2[[#This Row], [Ticket]],Okey!A:B,2,0),"")</calculatedColumnFormula>
    </tableColumn>
    <tableColumn id="9" xr3:uid="{00000000-0010-0000-0000-000009000000}" name="STATUS Check" dataDxfId="19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18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20"/>
  <sheetViews>
    <sheetView workbookViewId="0">
      <selection activeCell="A10" sqref="A10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9477</v>
      </c>
      <c r="B5" s="44">
        <v>38</v>
      </c>
    </row>
    <row r="6" spans="1:2">
      <c r="A6" s="32" t="s">
        <v>9519</v>
      </c>
      <c r="B6" s="44">
        <v>10</v>
      </c>
    </row>
    <row r="7" spans="1:2">
      <c r="A7" s="67" t="s">
        <v>9477</v>
      </c>
      <c r="B7" s="44">
        <v>10</v>
      </c>
    </row>
    <row r="8" spans="1:2">
      <c r="A8" s="32" t="s">
        <v>9542</v>
      </c>
      <c r="B8" s="44">
        <v>1</v>
      </c>
    </row>
    <row r="9" spans="1:2">
      <c r="A9" s="67" t="s">
        <v>9477</v>
      </c>
      <c r="B9" s="44">
        <v>1</v>
      </c>
    </row>
    <row r="10" spans="1:2">
      <c r="A10" s="32" t="s">
        <v>9545</v>
      </c>
      <c r="B10" s="44">
        <v>1</v>
      </c>
    </row>
    <row r="11" spans="1:2">
      <c r="A11" s="67" t="s">
        <v>8546</v>
      </c>
      <c r="B11" s="44">
        <v>1</v>
      </c>
    </row>
    <row r="12" spans="1:2">
      <c r="A12" s="32" t="s">
        <v>9547</v>
      </c>
      <c r="B12" s="44">
        <v>1</v>
      </c>
    </row>
    <row r="13" spans="1:2">
      <c r="A13" s="67" t="s">
        <v>9477</v>
      </c>
      <c r="B13" s="44">
        <v>1</v>
      </c>
    </row>
    <row r="14" spans="1:2">
      <c r="A14" s="32" t="s">
        <v>9555</v>
      </c>
      <c r="B14" s="44">
        <v>6</v>
      </c>
    </row>
    <row r="15" spans="1:2">
      <c r="A15" s="67" t="s">
        <v>9477</v>
      </c>
      <c r="B15" s="44">
        <v>6</v>
      </c>
    </row>
    <row r="16" spans="1:2">
      <c r="A16" s="32" t="s">
        <v>9557</v>
      </c>
      <c r="B16" s="44">
        <v>20</v>
      </c>
    </row>
    <row r="17" spans="1:2">
      <c r="A17" s="67" t="s">
        <v>9477</v>
      </c>
      <c r="B17" s="44">
        <v>20</v>
      </c>
    </row>
    <row r="18" spans="1:2">
      <c r="A18" s="32" t="s">
        <v>9578</v>
      </c>
      <c r="B18" s="44">
        <v>1</v>
      </c>
    </row>
    <row r="19" spans="1:2">
      <c r="A19" s="67" t="s">
        <v>9477</v>
      </c>
      <c r="B19" s="44">
        <v>1</v>
      </c>
    </row>
    <row r="20" spans="1:2">
      <c r="A20" s="32" t="s">
        <v>10</v>
      </c>
      <c r="B20" s="44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9"/>
  <sheetViews>
    <sheetView topLeftCell="A293" workbookViewId="0">
      <selection activeCell="B329" sqref="B329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9518</v>
      </c>
      <c r="B328" s="36" t="s">
        <v>86</v>
      </c>
    </row>
    <row r="329" spans="1:2">
      <c r="A329" s="46" t="s">
        <v>9545</v>
      </c>
      <c r="B329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89"/>
  <sheetViews>
    <sheetView tabSelected="1" topLeftCell="A1446" zoomScale="85" zoomScaleNormal="85" workbookViewId="0">
      <selection activeCell="C1480" sqref="A1480:C1489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9478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9516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9479</v>
      </c>
      <c r="E1378" s="9" t="s">
        <v>9439</v>
      </c>
      <c r="F1378" s="36" t="s">
        <v>9478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9516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9480</v>
      </c>
      <c r="E1379" s="9" t="s">
        <v>9440</v>
      </c>
      <c r="F1379" s="36" t="s">
        <v>9479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9516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9481</v>
      </c>
      <c r="E1380" s="9" t="s">
        <v>9441</v>
      </c>
      <c r="F1380" s="36" t="s">
        <v>9480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9516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9482</v>
      </c>
      <c r="E1381" s="9" t="s">
        <v>9442</v>
      </c>
      <c r="F1381" s="36" t="s">
        <v>9481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9516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9483</v>
      </c>
      <c r="E1382" s="9" t="s">
        <v>9443</v>
      </c>
      <c r="F1382" s="36" t="s">
        <v>9481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9516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9484</v>
      </c>
      <c r="E1383" s="9" t="s">
        <v>9444</v>
      </c>
      <c r="F1383" s="36" t="s">
        <v>9481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9516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9485</v>
      </c>
      <c r="E1384" s="9" t="s">
        <v>9445</v>
      </c>
      <c r="F1384" s="36" t="s">
        <v>9481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9516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9486</v>
      </c>
      <c r="E1385" s="9" t="s">
        <v>9446</v>
      </c>
      <c r="F1385" s="36" t="s">
        <v>9478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9516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9487</v>
      </c>
      <c r="E1386" s="9" t="s">
        <v>9447</v>
      </c>
      <c r="F1386" s="36" t="s">
        <v>9486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9516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9488</v>
      </c>
      <c r="E1387" s="9" t="s">
        <v>9448</v>
      </c>
      <c r="F1387" s="36" t="s">
        <v>9486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9516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9489</v>
      </c>
      <c r="E1388" s="9" t="s">
        <v>9449</v>
      </c>
      <c r="F1388" s="36" t="s">
        <v>9486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9516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9490</v>
      </c>
      <c r="E1389" s="9" t="s">
        <v>9450</v>
      </c>
      <c r="F1389" s="36" t="s">
        <v>9478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9516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9491</v>
      </c>
      <c r="E1390" s="9" t="s">
        <v>9451</v>
      </c>
      <c r="F1390" s="36" t="s">
        <v>9490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9516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9492</v>
      </c>
      <c r="E1391" s="9" t="s">
        <v>9452</v>
      </c>
      <c r="F1391" s="36" t="s">
        <v>9478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9516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9493</v>
      </c>
      <c r="E1392" s="9" t="s">
        <v>9453</v>
      </c>
      <c r="F1392" s="36" t="s">
        <v>9478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9516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9494</v>
      </c>
      <c r="E1393" s="9" t="s">
        <v>9454</v>
      </c>
      <c r="F1393" s="36" t="s">
        <v>9493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9516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9495</v>
      </c>
      <c r="E1394" s="9" t="s">
        <v>9455</v>
      </c>
      <c r="F1394" s="36" t="s">
        <v>9493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9516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9496</v>
      </c>
      <c r="E1395" s="9" t="s">
        <v>9456</v>
      </c>
      <c r="F1395" s="36" t="s">
        <v>9493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9516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9497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9516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9498</v>
      </c>
      <c r="E1397" s="9" t="s">
        <v>9458</v>
      </c>
      <c r="F1397" s="36" t="s">
        <v>9497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9516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9499</v>
      </c>
      <c r="E1398" s="9" t="s">
        <v>9459</v>
      </c>
      <c r="F1398" s="36" t="s">
        <v>9498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9516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9500</v>
      </c>
      <c r="E1399" s="9" t="s">
        <v>9460</v>
      </c>
      <c r="F1399" s="36" t="s">
        <v>9499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9516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9501</v>
      </c>
      <c r="E1400" s="9" t="s">
        <v>9461</v>
      </c>
      <c r="F1400" s="36" t="s">
        <v>9500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9516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9502</v>
      </c>
      <c r="E1401" s="9" t="s">
        <v>9462</v>
      </c>
      <c r="F1401" s="36" t="s">
        <v>9500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9516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9503</v>
      </c>
      <c r="E1402" s="9" t="s">
        <v>9463</v>
      </c>
      <c r="F1402" s="36" t="s">
        <v>9500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9516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9504</v>
      </c>
      <c r="E1403" s="9" t="s">
        <v>9464</v>
      </c>
      <c r="F1403" s="36" t="s">
        <v>9500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9516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9505</v>
      </c>
      <c r="E1404" s="9" t="s">
        <v>9465</v>
      </c>
      <c r="F1404" s="36" t="s">
        <v>9497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9516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9506</v>
      </c>
      <c r="E1405" s="9" t="s">
        <v>9466</v>
      </c>
      <c r="F1405" s="36" t="s">
        <v>9505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9516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9507</v>
      </c>
      <c r="E1406" s="9" t="s">
        <v>9467</v>
      </c>
      <c r="F1406" s="36" t="s">
        <v>9505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9516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9508</v>
      </c>
      <c r="E1407" s="9" t="s">
        <v>9468</v>
      </c>
      <c r="F1407" s="36" t="s">
        <v>9505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9516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9509</v>
      </c>
      <c r="E1408" s="9" t="s">
        <v>9469</v>
      </c>
      <c r="F1408" s="36" t="s">
        <v>9497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9516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9510</v>
      </c>
      <c r="E1409" s="9" t="s">
        <v>9470</v>
      </c>
      <c r="F1409" s="36" t="s">
        <v>9509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9516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9511</v>
      </c>
      <c r="E1410" s="9" t="s">
        <v>9471</v>
      </c>
      <c r="F1410" s="36" t="s">
        <v>9497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9516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9512</v>
      </c>
      <c r="E1411" s="9" t="s">
        <v>9472</v>
      </c>
      <c r="F1411" s="36" t="s">
        <v>9497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9516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9513</v>
      </c>
      <c r="E1412" s="9" t="s">
        <v>9473</v>
      </c>
      <c r="F1412" s="36" t="s">
        <v>9493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9516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9514</v>
      </c>
      <c r="E1413" s="9" t="s">
        <v>9474</v>
      </c>
      <c r="F1413" s="36" t="s">
        <v>9493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9516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9515</v>
      </c>
      <c r="E1414" s="9" t="s">
        <v>9475</v>
      </c>
      <c r="F1414" s="36" t="s">
        <v>9493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9516</v>
      </c>
    </row>
    <row r="1415" spans="1:13">
      <c r="A1415" s="42">
        <f t="shared" si="22"/>
        <v>1414</v>
      </c>
      <c r="B1415" s="36" t="s">
        <v>8</v>
      </c>
      <c r="C1415" s="9" t="s">
        <v>9518</v>
      </c>
      <c r="D1415" s="90" t="s">
        <v>9517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9519</v>
      </c>
      <c r="D1416" s="36" t="s">
        <v>9521</v>
      </c>
      <c r="E1416" t="s">
        <v>9520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9519</v>
      </c>
      <c r="D1417" s="36" t="s">
        <v>9533</v>
      </c>
      <c r="E1417" s="9" t="s">
        <v>9524</v>
      </c>
      <c r="F1417" s="9" t="s">
        <v>9522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9516</v>
      </c>
    </row>
    <row r="1418" spans="1:13">
      <c r="A1418" s="42">
        <f t="shared" si="22"/>
        <v>1417</v>
      </c>
      <c r="B1418" s="36" t="s">
        <v>8</v>
      </c>
      <c r="C1418" s="36" t="s">
        <v>9519</v>
      </c>
      <c r="D1418" s="36" t="s">
        <v>9534</v>
      </c>
      <c r="E1418" s="9" t="s">
        <v>9525</v>
      </c>
      <c r="F1418" s="9" t="s">
        <v>9522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9516</v>
      </c>
    </row>
    <row r="1419" spans="1:13">
      <c r="A1419" s="42">
        <f t="shared" si="22"/>
        <v>1418</v>
      </c>
      <c r="B1419" s="36" t="s">
        <v>8</v>
      </c>
      <c r="C1419" s="36" t="s">
        <v>9519</v>
      </c>
      <c r="D1419" s="36" t="s">
        <v>9535</v>
      </c>
      <c r="E1419" s="9" t="s">
        <v>9526</v>
      </c>
      <c r="F1419" s="9" t="s">
        <v>9522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9516</v>
      </c>
    </row>
    <row r="1420" spans="1:13">
      <c r="A1420" s="42">
        <f t="shared" si="22"/>
        <v>1419</v>
      </c>
      <c r="B1420" s="36" t="s">
        <v>8</v>
      </c>
      <c r="C1420" s="36" t="s">
        <v>9519</v>
      </c>
      <c r="D1420" s="36" t="s">
        <v>9536</v>
      </c>
      <c r="E1420" s="9" t="s">
        <v>9527</v>
      </c>
      <c r="F1420" s="9" t="s">
        <v>9522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9516</v>
      </c>
    </row>
    <row r="1421" spans="1:13">
      <c r="A1421" s="42">
        <f t="shared" si="22"/>
        <v>1420</v>
      </c>
      <c r="B1421" s="36" t="s">
        <v>8</v>
      </c>
      <c r="C1421" s="36" t="s">
        <v>9519</v>
      </c>
      <c r="D1421" s="36" t="s">
        <v>9537</v>
      </c>
      <c r="E1421" s="9" t="s">
        <v>9528</v>
      </c>
      <c r="F1421" s="9" t="s">
        <v>9522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9516</v>
      </c>
    </row>
    <row r="1422" spans="1:13">
      <c r="A1422" s="42">
        <f t="shared" si="22"/>
        <v>1421</v>
      </c>
      <c r="B1422" s="36" t="s">
        <v>8</v>
      </c>
      <c r="C1422" s="36" t="s">
        <v>9519</v>
      </c>
      <c r="D1422" s="36" t="s">
        <v>9538</v>
      </c>
      <c r="E1422" s="9" t="s">
        <v>9529</v>
      </c>
      <c r="F1422" s="9" t="s">
        <v>9522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9516</v>
      </c>
    </row>
    <row r="1423" spans="1:13">
      <c r="A1423" s="42">
        <f t="shared" si="22"/>
        <v>1422</v>
      </c>
      <c r="B1423" s="36" t="s">
        <v>8</v>
      </c>
      <c r="C1423" s="36" t="s">
        <v>9519</v>
      </c>
      <c r="D1423" s="36" t="s">
        <v>9539</v>
      </c>
      <c r="E1423" s="9" t="s">
        <v>9530</v>
      </c>
      <c r="F1423" s="9" t="s">
        <v>9522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9516</v>
      </c>
    </row>
    <row r="1424" spans="1:13">
      <c r="A1424" s="42">
        <f t="shared" si="22"/>
        <v>1423</v>
      </c>
      <c r="B1424" s="36" t="s">
        <v>8</v>
      </c>
      <c r="C1424" s="36" t="s">
        <v>9519</v>
      </c>
      <c r="D1424" s="36" t="s">
        <v>9540</v>
      </c>
      <c r="E1424" s="9" t="s">
        <v>9531</v>
      </c>
      <c r="F1424" s="9" t="s">
        <v>9523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9516</v>
      </c>
    </row>
    <row r="1425" spans="1:13">
      <c r="A1425" s="42">
        <f t="shared" si="22"/>
        <v>1424</v>
      </c>
      <c r="B1425" s="36" t="s">
        <v>8</v>
      </c>
      <c r="C1425" s="36" t="s">
        <v>9519</v>
      </c>
      <c r="D1425" s="36" t="s">
        <v>9541</v>
      </c>
      <c r="E1425" s="9" t="s">
        <v>9532</v>
      </c>
      <c r="F1425" s="9" t="s">
        <v>9523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9516</v>
      </c>
    </row>
    <row r="1426" spans="1:13">
      <c r="A1426" s="42">
        <f t="shared" si="22"/>
        <v>1425</v>
      </c>
      <c r="B1426" s="36" t="s">
        <v>8</v>
      </c>
      <c r="C1426" s="9" t="s">
        <v>9542</v>
      </c>
      <c r="D1426" s="92" t="s">
        <v>7862</v>
      </c>
      <c r="E1426" s="93" t="s">
        <v>9543</v>
      </c>
      <c r="G1426" s="9" t="s">
        <v>15</v>
      </c>
      <c r="H1426" s="36" t="str">
        <f>IFERROR(VLOOKUP(Table2[[#This Row], [Ticket]],Okey!A:B,2,0),"")</f>
        <v/>
      </c>
      <c r="I1426" s="36"/>
      <c r="J1426" s="9" t="s">
        <v>17</v>
      </c>
      <c r="L1426" s="36"/>
      <c r="M1426" s="9" t="s">
        <v>9544</v>
      </c>
    </row>
    <row r="1427" spans="1:13">
      <c r="A1427" s="42">
        <f t="shared" si="22"/>
        <v>1426</v>
      </c>
      <c r="B1427" s="36" t="s">
        <v>8</v>
      </c>
      <c r="C1427" s="9" t="s">
        <v>9545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9547</v>
      </c>
      <c r="D1428" s="96" t="s">
        <v>8857</v>
      </c>
      <c r="E1428" s="97" t="s">
        <v>9546</v>
      </c>
      <c r="G1428" s="36" t="s">
        <v>15</v>
      </c>
      <c r="H1428" s="36" t="str">
        <f>IFERROR(VLOOKUP(Table2[[#This Row], [Ticket]],Okey!A:B,2,0),"")</f>
        <v/>
      </c>
      <c r="I1428" s="36"/>
      <c r="J1428" s="36" t="s">
        <v>17</v>
      </c>
      <c r="L1428" s="36"/>
      <c r="M1428" s="9" t="s">
        <v>4778</v>
      </c>
    </row>
    <row r="1429" spans="1:13">
      <c r="A1429" s="42">
        <f t="shared" si="22"/>
        <v>1428</v>
      </c>
      <c r="B1429" s="36" t="s">
        <v>8</v>
      </c>
      <c r="C1429" s="9" t="s">
        <v>9555</v>
      </c>
      <c r="D1429" s="9" t="s">
        <v>9548</v>
      </c>
      <c r="E1429" s="9" t="s">
        <v>9551</v>
      </c>
      <c r="G1429" s="36" t="s">
        <v>15</v>
      </c>
      <c r="H1429" s="36" t="str">
        <f>IFERROR(VLOOKUP(Table2[[#This Row], [Ticket]],Okey!A:B,2,0),"")</f>
        <v/>
      </c>
      <c r="I1429" s="36"/>
      <c r="J1429" s="36" t="s">
        <v>19</v>
      </c>
      <c r="L1429" s="36"/>
      <c r="M1429" s="9" t="s">
        <v>9556</v>
      </c>
    </row>
    <row r="1430" spans="1:13">
      <c r="A1430" s="42">
        <f t="shared" ref="A1430:A1489" si="23">1+A1429</f>
        <v>1429</v>
      </c>
      <c r="B1430" s="36" t="s">
        <v>8</v>
      </c>
      <c r="C1430" s="36" t="s">
        <v>9555</v>
      </c>
      <c r="D1430" s="9" t="s">
        <v>9549</v>
      </c>
      <c r="E1430" s="9" t="s">
        <v>9551</v>
      </c>
      <c r="G1430" s="36" t="s">
        <v>15</v>
      </c>
      <c r="H1430" s="36" t="str">
        <f>IFERROR(VLOOKUP(Table2[[#This Row], [Ticket]],Okey!A:B,2,0),"")</f>
        <v/>
      </c>
      <c r="I1430" s="36"/>
      <c r="J1430" s="36" t="s">
        <v>19</v>
      </c>
      <c r="L1430" s="36"/>
      <c r="M1430" s="36" t="s">
        <v>9556</v>
      </c>
    </row>
    <row r="1431" spans="1:13">
      <c r="A1431" s="42">
        <f t="shared" si="23"/>
        <v>1430</v>
      </c>
      <c r="B1431" s="36" t="s">
        <v>8</v>
      </c>
      <c r="C1431" s="36" t="s">
        <v>9555</v>
      </c>
      <c r="D1431" s="9" t="s">
        <v>9550</v>
      </c>
      <c r="E1431" s="9" t="s">
        <v>9552</v>
      </c>
      <c r="G1431" s="36" t="s">
        <v>15</v>
      </c>
      <c r="H1431" s="36" t="str">
        <f>IFERROR(VLOOKUP(Table2[[#This Row], [Ticket]],Okey!A:B,2,0),"")</f>
        <v/>
      </c>
      <c r="I1431" s="36"/>
      <c r="J1431" s="36" t="s">
        <v>19</v>
      </c>
      <c r="L1431" s="36"/>
      <c r="M1431" s="36" t="s">
        <v>9556</v>
      </c>
    </row>
    <row r="1432" spans="1:13">
      <c r="A1432" s="42">
        <f t="shared" si="23"/>
        <v>1431</v>
      </c>
      <c r="B1432" s="36" t="s">
        <v>8</v>
      </c>
      <c r="C1432" s="36" t="s">
        <v>9555</v>
      </c>
      <c r="D1432" s="9" t="s">
        <v>9550</v>
      </c>
      <c r="E1432" s="9" t="s">
        <v>9552</v>
      </c>
      <c r="G1432" s="36" t="s">
        <v>15</v>
      </c>
      <c r="H1432" s="36" t="str">
        <f>IFERROR(VLOOKUP(Table2[[#This Row], [Ticket]],Okey!A:B,2,0),"")</f>
        <v/>
      </c>
      <c r="I1432" s="36"/>
      <c r="J1432" s="36" t="s">
        <v>19</v>
      </c>
      <c r="L1432" s="36"/>
      <c r="M1432" s="36" t="s">
        <v>9556</v>
      </c>
    </row>
    <row r="1433" spans="1:13">
      <c r="A1433" s="42">
        <f t="shared" si="23"/>
        <v>1432</v>
      </c>
      <c r="B1433" s="36" t="s">
        <v>8</v>
      </c>
      <c r="C1433" s="36" t="s">
        <v>9555</v>
      </c>
      <c r="D1433" s="9" t="s">
        <v>9553</v>
      </c>
      <c r="F1433" s="9" t="s">
        <v>9548</v>
      </c>
      <c r="G1433" s="36" t="s">
        <v>13</v>
      </c>
      <c r="H1433" s="36" t="str">
        <f>IFERROR(VLOOKUP(Table2[[#This Row], [Ticket]],Okey!A:B,2,0),"")</f>
        <v/>
      </c>
      <c r="I1433" s="36"/>
      <c r="J1433" s="36" t="s">
        <v>19</v>
      </c>
      <c r="L1433" s="36"/>
      <c r="M1433" s="36" t="s">
        <v>9556</v>
      </c>
    </row>
    <row r="1434" spans="1:13">
      <c r="A1434" s="42">
        <f t="shared" si="23"/>
        <v>1433</v>
      </c>
      <c r="B1434" s="36" t="s">
        <v>8</v>
      </c>
      <c r="C1434" s="36" t="s">
        <v>9555</v>
      </c>
      <c r="D1434" s="9" t="s">
        <v>9554</v>
      </c>
      <c r="F1434" s="9" t="s">
        <v>9550</v>
      </c>
      <c r="G1434" s="36" t="s">
        <v>13</v>
      </c>
      <c r="H1434" s="36" t="str">
        <f>IFERROR(VLOOKUP(Table2[[#This Row], [Ticket]],Okey!A:B,2,0),"")</f>
        <v/>
      </c>
      <c r="I1434" s="36"/>
      <c r="J1434" s="36" t="s">
        <v>19</v>
      </c>
      <c r="L1434" s="36"/>
      <c r="M1434" s="36" t="s">
        <v>9556</v>
      </c>
    </row>
    <row r="1435" spans="1:13">
      <c r="A1435" s="42">
        <f t="shared" si="23"/>
        <v>1434</v>
      </c>
      <c r="B1435" s="36" t="s">
        <v>8</v>
      </c>
      <c r="C1435" s="9" t="s">
        <v>9557</v>
      </c>
      <c r="D1435" s="36" t="s">
        <v>9579</v>
      </c>
      <c r="E1435" s="36" t="s">
        <v>9558</v>
      </c>
      <c r="F1435" s="36" t="s">
        <v>1139</v>
      </c>
      <c r="G1435" s="9" t="s">
        <v>14</v>
      </c>
      <c r="H1435" s="36" t="str">
        <f>IFERROR(VLOOKUP(Table2[[#This Row], [Ticket]],Okey!A:B,2,0),"")</f>
        <v/>
      </c>
      <c r="I1435" s="36"/>
      <c r="J1435" s="36" t="s">
        <v>19</v>
      </c>
      <c r="L1435" s="36"/>
      <c r="M1435" s="36" t="s">
        <v>9516</v>
      </c>
    </row>
    <row r="1436" spans="1:13">
      <c r="A1436" s="42">
        <f t="shared" si="23"/>
        <v>1435</v>
      </c>
      <c r="B1436" s="36" t="s">
        <v>8</v>
      </c>
      <c r="C1436" s="36" t="s">
        <v>9557</v>
      </c>
      <c r="D1436" s="36" t="s">
        <v>9580</v>
      </c>
      <c r="E1436" s="36" t="s">
        <v>9559</v>
      </c>
      <c r="F1436" s="36" t="s">
        <v>1141</v>
      </c>
      <c r="G1436" s="36" t="s">
        <v>14</v>
      </c>
      <c r="H1436" s="36" t="str">
        <f>IFERROR(VLOOKUP(Table2[[#This Row], [Ticket]],Okey!A:B,2,0),"")</f>
        <v/>
      </c>
      <c r="I1436" s="36"/>
      <c r="J1436" s="36" t="s">
        <v>19</v>
      </c>
      <c r="L1436" s="36"/>
      <c r="M1436" s="36" t="s">
        <v>9516</v>
      </c>
    </row>
    <row r="1437" spans="1:13">
      <c r="A1437" s="42">
        <f t="shared" si="23"/>
        <v>1436</v>
      </c>
      <c r="B1437" s="36" t="s">
        <v>8</v>
      </c>
      <c r="C1437" s="36" t="s">
        <v>9557</v>
      </c>
      <c r="D1437" s="9" t="s">
        <v>9560</v>
      </c>
      <c r="F1437" s="9" t="s">
        <v>9579</v>
      </c>
      <c r="G1437" s="9" t="s">
        <v>13</v>
      </c>
      <c r="H1437" s="36" t="str">
        <f>IFERROR(VLOOKUP(Table2[[#This Row], [Ticket]],Okey!A:B,2,0),"")</f>
        <v/>
      </c>
      <c r="I1437" s="36"/>
      <c r="J1437" s="36" t="s">
        <v>19</v>
      </c>
      <c r="L1437" s="36"/>
      <c r="M1437" s="36" t="s">
        <v>9516</v>
      </c>
    </row>
    <row r="1438" spans="1:13">
      <c r="A1438" s="42">
        <f t="shared" si="23"/>
        <v>1437</v>
      </c>
      <c r="B1438" s="36" t="s">
        <v>8</v>
      </c>
      <c r="C1438" s="36" t="s">
        <v>9557</v>
      </c>
      <c r="D1438" s="9" t="s">
        <v>9561</v>
      </c>
      <c r="F1438" s="36" t="s">
        <v>9579</v>
      </c>
      <c r="G1438" s="36" t="s">
        <v>13</v>
      </c>
      <c r="H1438" s="36" t="str">
        <f>IFERROR(VLOOKUP(Table2[[#This Row], [Ticket]],Okey!A:B,2,0),"")</f>
        <v/>
      </c>
      <c r="I1438" s="36"/>
      <c r="J1438" s="36" t="s">
        <v>19</v>
      </c>
      <c r="L1438" s="36"/>
      <c r="M1438" s="36" t="s">
        <v>9516</v>
      </c>
    </row>
    <row r="1439" spans="1:13">
      <c r="A1439" s="42">
        <f t="shared" si="23"/>
        <v>1438</v>
      </c>
      <c r="B1439" s="36" t="s">
        <v>8</v>
      </c>
      <c r="C1439" s="36" t="s">
        <v>9557</v>
      </c>
      <c r="D1439" s="9" t="s">
        <v>9562</v>
      </c>
      <c r="F1439" s="36" t="s">
        <v>9579</v>
      </c>
      <c r="G1439" s="36" t="s">
        <v>13</v>
      </c>
      <c r="H1439" s="36" t="str">
        <f>IFERROR(VLOOKUP(Table2[[#This Row], [Ticket]],Okey!A:B,2,0),"")</f>
        <v/>
      </c>
      <c r="I1439" s="36"/>
      <c r="J1439" s="36" t="s">
        <v>19</v>
      </c>
      <c r="L1439" s="36"/>
      <c r="M1439" s="36" t="s">
        <v>9516</v>
      </c>
    </row>
    <row r="1440" spans="1:13">
      <c r="A1440" s="42">
        <f t="shared" si="23"/>
        <v>1439</v>
      </c>
      <c r="B1440" s="36" t="s">
        <v>8</v>
      </c>
      <c r="C1440" s="36" t="s">
        <v>9557</v>
      </c>
      <c r="D1440" s="9" t="s">
        <v>9563</v>
      </c>
      <c r="F1440" s="36" t="s">
        <v>9579</v>
      </c>
      <c r="G1440" s="36" t="s">
        <v>13</v>
      </c>
      <c r="H1440" s="36" t="str">
        <f>IFERROR(VLOOKUP(Table2[[#This Row], [Ticket]],Okey!A:B,2,0),"")</f>
        <v/>
      </c>
      <c r="I1440" s="36"/>
      <c r="J1440" s="36" t="s">
        <v>19</v>
      </c>
      <c r="L1440" s="36"/>
      <c r="M1440" s="36" t="s">
        <v>9516</v>
      </c>
    </row>
    <row r="1441" spans="1:13">
      <c r="A1441" s="42">
        <f t="shared" si="23"/>
        <v>1440</v>
      </c>
      <c r="B1441" s="36" t="s">
        <v>8</v>
      </c>
      <c r="C1441" s="36" t="s">
        <v>9557</v>
      </c>
      <c r="D1441" s="9" t="s">
        <v>9564</v>
      </c>
      <c r="F1441" s="36" t="s">
        <v>9579</v>
      </c>
      <c r="G1441" s="36" t="s">
        <v>13</v>
      </c>
      <c r="H1441" s="36" t="str">
        <f>IFERROR(VLOOKUP(Table2[[#This Row], [Ticket]],Okey!A:B,2,0),"")</f>
        <v/>
      </c>
      <c r="I1441" s="36"/>
      <c r="J1441" s="36" t="s">
        <v>19</v>
      </c>
      <c r="L1441" s="36"/>
      <c r="M1441" s="36" t="s">
        <v>9516</v>
      </c>
    </row>
    <row r="1442" spans="1:13">
      <c r="A1442" s="42">
        <f t="shared" si="23"/>
        <v>1441</v>
      </c>
      <c r="B1442" s="36" t="s">
        <v>8</v>
      </c>
      <c r="C1442" s="36" t="s">
        <v>9557</v>
      </c>
      <c r="D1442" s="9" t="s">
        <v>9565</v>
      </c>
      <c r="F1442" s="36" t="s">
        <v>9579</v>
      </c>
      <c r="G1442" s="36" t="s">
        <v>13</v>
      </c>
      <c r="H1442" s="36" t="str">
        <f>IFERROR(VLOOKUP(Table2[[#This Row], [Ticket]],Okey!A:B,2,0),"")</f>
        <v/>
      </c>
      <c r="I1442" s="36"/>
      <c r="J1442" s="36" t="s">
        <v>19</v>
      </c>
      <c r="L1442" s="36"/>
      <c r="M1442" s="36" t="s">
        <v>9516</v>
      </c>
    </row>
    <row r="1443" spans="1:13">
      <c r="A1443" s="42">
        <f t="shared" si="23"/>
        <v>1442</v>
      </c>
      <c r="B1443" s="36" t="s">
        <v>8</v>
      </c>
      <c r="C1443" s="36" t="s">
        <v>9557</v>
      </c>
      <c r="D1443" s="9" t="s">
        <v>9566</v>
      </c>
      <c r="F1443" s="36" t="s">
        <v>9579</v>
      </c>
      <c r="G1443" s="36" t="s">
        <v>13</v>
      </c>
      <c r="H1443" s="36" t="str">
        <f>IFERROR(VLOOKUP(Table2[[#This Row], [Ticket]],Okey!A:B,2,0),"")</f>
        <v/>
      </c>
      <c r="I1443" s="36"/>
      <c r="J1443" s="36" t="s">
        <v>19</v>
      </c>
      <c r="L1443" s="36"/>
      <c r="M1443" s="36" t="s">
        <v>9516</v>
      </c>
    </row>
    <row r="1444" spans="1:13">
      <c r="A1444" s="42">
        <f t="shared" si="23"/>
        <v>1443</v>
      </c>
      <c r="B1444" s="36" t="s">
        <v>8</v>
      </c>
      <c r="C1444" s="36" t="s">
        <v>9557</v>
      </c>
      <c r="D1444" s="9" t="s">
        <v>9567</v>
      </c>
      <c r="F1444" s="36" t="s">
        <v>9579</v>
      </c>
      <c r="G1444" s="36" t="s">
        <v>13</v>
      </c>
      <c r="H1444" s="36" t="str">
        <f>IFERROR(VLOOKUP(Table2[[#This Row], [Ticket]],Okey!A:B,2,0),"")</f>
        <v/>
      </c>
      <c r="I1444" s="36"/>
      <c r="J1444" s="36" t="s">
        <v>19</v>
      </c>
      <c r="L1444" s="36"/>
      <c r="M1444" s="36" t="s">
        <v>9516</v>
      </c>
    </row>
    <row r="1445" spans="1:13">
      <c r="A1445" s="42">
        <f t="shared" si="23"/>
        <v>1444</v>
      </c>
      <c r="B1445" s="36" t="s">
        <v>8</v>
      </c>
      <c r="C1445" s="36" t="s">
        <v>9557</v>
      </c>
      <c r="D1445" s="9" t="s">
        <v>1138</v>
      </c>
      <c r="F1445" s="36" t="s">
        <v>9579</v>
      </c>
      <c r="G1445" s="36" t="s">
        <v>13</v>
      </c>
      <c r="H1445" s="36" t="str">
        <f>IFERROR(VLOOKUP(Table2[[#This Row], [Ticket]],Okey!A:B,2,0),"")</f>
        <v/>
      </c>
      <c r="I1445" s="36"/>
      <c r="J1445" s="36" t="s">
        <v>19</v>
      </c>
      <c r="L1445" s="36"/>
      <c r="M1445" s="36" t="s">
        <v>9516</v>
      </c>
    </row>
    <row r="1446" spans="1:13">
      <c r="A1446" s="42">
        <f t="shared" si="23"/>
        <v>1445</v>
      </c>
      <c r="B1446" s="36" t="s">
        <v>8</v>
      </c>
      <c r="C1446" s="36" t="s">
        <v>9557</v>
      </c>
      <c r="D1446" s="9" t="s">
        <v>9568</v>
      </c>
      <c r="F1446" s="36" t="s">
        <v>9579</v>
      </c>
      <c r="G1446" s="36" t="s">
        <v>13</v>
      </c>
      <c r="H1446" s="36" t="str">
        <f>IFERROR(VLOOKUP(Table2[[#This Row], [Ticket]],Okey!A:B,2,0),"")</f>
        <v/>
      </c>
      <c r="I1446" s="36"/>
      <c r="J1446" s="36" t="s">
        <v>19</v>
      </c>
      <c r="L1446" s="36"/>
      <c r="M1446" s="36" t="s">
        <v>9516</v>
      </c>
    </row>
    <row r="1447" spans="1:13">
      <c r="A1447" s="42">
        <f t="shared" si="23"/>
        <v>1446</v>
      </c>
      <c r="B1447" s="36" t="s">
        <v>8</v>
      </c>
      <c r="C1447" s="36" t="s">
        <v>9557</v>
      </c>
      <c r="D1447" s="9" t="s">
        <v>9569</v>
      </c>
      <c r="F1447" s="9" t="s">
        <v>9580</v>
      </c>
      <c r="G1447" s="36" t="s">
        <v>13</v>
      </c>
      <c r="H1447" s="36" t="str">
        <f>IFERROR(VLOOKUP(Table2[[#This Row], [Ticket]],Okey!A:B,2,0),"")</f>
        <v/>
      </c>
      <c r="I1447" s="36"/>
      <c r="J1447" s="36" t="s">
        <v>19</v>
      </c>
      <c r="L1447" s="36"/>
      <c r="M1447" s="36" t="s">
        <v>9516</v>
      </c>
    </row>
    <row r="1448" spans="1:13">
      <c r="A1448" s="42">
        <f t="shared" si="23"/>
        <v>1447</v>
      </c>
      <c r="B1448" s="36" t="s">
        <v>8</v>
      </c>
      <c r="C1448" s="36" t="s">
        <v>9557</v>
      </c>
      <c r="D1448" s="9" t="s">
        <v>9570</v>
      </c>
      <c r="F1448" s="36" t="s">
        <v>9580</v>
      </c>
      <c r="G1448" s="36" t="s">
        <v>13</v>
      </c>
      <c r="H1448" s="36" t="str">
        <f>IFERROR(VLOOKUP(Table2[[#This Row], [Ticket]],Okey!A:B,2,0),"")</f>
        <v/>
      </c>
      <c r="I1448" s="36"/>
      <c r="J1448" s="36" t="s">
        <v>19</v>
      </c>
      <c r="L1448" s="36"/>
      <c r="M1448" s="36" t="s">
        <v>9516</v>
      </c>
    </row>
    <row r="1449" spans="1:13">
      <c r="A1449" s="42">
        <f t="shared" si="23"/>
        <v>1448</v>
      </c>
      <c r="B1449" s="36" t="s">
        <v>8</v>
      </c>
      <c r="C1449" s="36" t="s">
        <v>9557</v>
      </c>
      <c r="D1449" s="9" t="s">
        <v>9571</v>
      </c>
      <c r="F1449" s="36" t="s">
        <v>9580</v>
      </c>
      <c r="G1449" s="36" t="s">
        <v>13</v>
      </c>
      <c r="H1449" s="36" t="str">
        <f>IFERROR(VLOOKUP(Table2[[#This Row], [Ticket]],Okey!A:B,2,0),"")</f>
        <v/>
      </c>
      <c r="I1449" s="36"/>
      <c r="J1449" s="36" t="s">
        <v>19</v>
      </c>
      <c r="L1449" s="36"/>
      <c r="M1449" s="36" t="s">
        <v>9516</v>
      </c>
    </row>
    <row r="1450" spans="1:13">
      <c r="A1450" s="42">
        <f t="shared" si="23"/>
        <v>1449</v>
      </c>
      <c r="B1450" s="36" t="s">
        <v>8</v>
      </c>
      <c r="C1450" s="36" t="s">
        <v>9557</v>
      </c>
      <c r="D1450" s="9" t="s">
        <v>9572</v>
      </c>
      <c r="F1450" s="36" t="s">
        <v>9580</v>
      </c>
      <c r="G1450" s="36" t="s">
        <v>13</v>
      </c>
      <c r="H1450" s="36" t="str">
        <f>IFERROR(VLOOKUP(Table2[[#This Row], [Ticket]],Okey!A:B,2,0),"")</f>
        <v/>
      </c>
      <c r="I1450" s="36"/>
      <c r="J1450" s="36" t="s">
        <v>19</v>
      </c>
      <c r="L1450" s="36"/>
      <c r="M1450" s="36" t="s">
        <v>9516</v>
      </c>
    </row>
    <row r="1451" spans="1:13">
      <c r="A1451" s="42">
        <f t="shared" si="23"/>
        <v>1450</v>
      </c>
      <c r="B1451" s="36" t="s">
        <v>8</v>
      </c>
      <c r="C1451" s="36" t="s">
        <v>9557</v>
      </c>
      <c r="D1451" s="9" t="s">
        <v>9573</v>
      </c>
      <c r="F1451" s="36" t="s">
        <v>9580</v>
      </c>
      <c r="G1451" s="36" t="s">
        <v>13</v>
      </c>
      <c r="H1451" s="36" t="str">
        <f>IFERROR(VLOOKUP(Table2[[#This Row], [Ticket]],Okey!A:B,2,0),"")</f>
        <v/>
      </c>
      <c r="I1451" s="36"/>
      <c r="J1451" s="36" t="s">
        <v>19</v>
      </c>
      <c r="L1451" s="36"/>
      <c r="M1451" s="36" t="s">
        <v>9516</v>
      </c>
    </row>
    <row r="1452" spans="1:13">
      <c r="A1452" s="42">
        <f t="shared" si="23"/>
        <v>1451</v>
      </c>
      <c r="B1452" s="36" t="s">
        <v>8</v>
      </c>
      <c r="C1452" s="36" t="s">
        <v>9557</v>
      </c>
      <c r="D1452" s="9" t="s">
        <v>9574</v>
      </c>
      <c r="F1452" s="36" t="s">
        <v>9580</v>
      </c>
      <c r="G1452" s="36" t="s">
        <v>13</v>
      </c>
      <c r="H1452" s="36" t="str">
        <f>IFERROR(VLOOKUP(Table2[[#This Row], [Ticket]],Okey!A:B,2,0),"")</f>
        <v/>
      </c>
      <c r="I1452" s="36"/>
      <c r="J1452" s="36" t="s">
        <v>19</v>
      </c>
      <c r="L1452" s="36"/>
      <c r="M1452" s="36" t="s">
        <v>9516</v>
      </c>
    </row>
    <row r="1453" spans="1:13">
      <c r="A1453" s="42">
        <f t="shared" si="23"/>
        <v>1452</v>
      </c>
      <c r="B1453" s="36" t="s">
        <v>8</v>
      </c>
      <c r="C1453" s="36" t="s">
        <v>9557</v>
      </c>
      <c r="D1453" s="9" t="s">
        <v>9575</v>
      </c>
      <c r="F1453" s="36" t="s">
        <v>9580</v>
      </c>
      <c r="G1453" s="36" t="s">
        <v>13</v>
      </c>
      <c r="H1453" s="36" t="str">
        <f>IFERROR(VLOOKUP(Table2[[#This Row], [Ticket]],Okey!A:B,2,0),"")</f>
        <v/>
      </c>
      <c r="I1453" s="36"/>
      <c r="J1453" s="36" t="s">
        <v>19</v>
      </c>
      <c r="L1453" s="36"/>
      <c r="M1453" s="36" t="s">
        <v>9516</v>
      </c>
    </row>
    <row r="1454" spans="1:13">
      <c r="A1454" s="42">
        <f t="shared" si="23"/>
        <v>1453</v>
      </c>
      <c r="B1454" s="36" t="s">
        <v>8</v>
      </c>
      <c r="C1454" s="36" t="s">
        <v>9557</v>
      </c>
      <c r="D1454" s="9" t="s">
        <v>9576</v>
      </c>
      <c r="F1454" s="36" t="s">
        <v>9580</v>
      </c>
      <c r="G1454" s="36" t="s">
        <v>13</v>
      </c>
      <c r="H1454" s="36" t="str">
        <f>IFERROR(VLOOKUP(Table2[[#This Row], [Ticket]],Okey!A:B,2,0),"")</f>
        <v/>
      </c>
      <c r="I1454" s="36"/>
      <c r="J1454" s="36" t="s">
        <v>19</v>
      </c>
      <c r="L1454" s="36"/>
      <c r="M1454" s="36" t="s">
        <v>9516</v>
      </c>
    </row>
    <row r="1455" spans="1:13">
      <c r="A1455" s="42">
        <f t="shared" si="23"/>
        <v>1454</v>
      </c>
      <c r="B1455" s="36" t="s">
        <v>8</v>
      </c>
      <c r="C1455" s="36" t="s">
        <v>9557</v>
      </c>
      <c r="D1455" s="9" t="s">
        <v>1140</v>
      </c>
      <c r="F1455" s="36" t="s">
        <v>9580</v>
      </c>
      <c r="G1455" s="36" t="s">
        <v>13</v>
      </c>
      <c r="H1455" s="36" t="str">
        <f>IFERROR(VLOOKUP(Table2[[#This Row], [Ticket]],Okey!A:B,2,0),"")</f>
        <v/>
      </c>
      <c r="I1455" s="36"/>
      <c r="J1455" s="36" t="s">
        <v>19</v>
      </c>
      <c r="L1455" s="36"/>
      <c r="M1455" s="36" t="s">
        <v>9516</v>
      </c>
    </row>
    <row r="1456" spans="1:13">
      <c r="A1456" s="42">
        <f t="shared" si="23"/>
        <v>1455</v>
      </c>
      <c r="B1456" s="36" t="s">
        <v>8</v>
      </c>
      <c r="C1456" s="36" t="s">
        <v>9557</v>
      </c>
      <c r="D1456" s="9" t="s">
        <v>9577</v>
      </c>
      <c r="F1456" s="36" t="s">
        <v>9580</v>
      </c>
      <c r="G1456" s="36" t="s">
        <v>13</v>
      </c>
      <c r="H1456" s="36" t="str">
        <f>IFERROR(VLOOKUP(Table2[[#This Row], [Ticket]],Okey!A:B,2,0),"")</f>
        <v/>
      </c>
      <c r="I1456" s="36"/>
      <c r="J1456" s="36" t="s">
        <v>19</v>
      </c>
      <c r="L1456" s="36"/>
      <c r="M1456" s="36" t="s">
        <v>9516</v>
      </c>
    </row>
    <row r="1457" spans="1:13">
      <c r="A1457" s="42">
        <f t="shared" si="23"/>
        <v>1456</v>
      </c>
      <c r="B1457" s="36" t="s">
        <v>8</v>
      </c>
      <c r="C1457" s="9" t="s">
        <v>9578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/>
      </c>
      <c r="I1457" s="36"/>
      <c r="J1457" s="9" t="s">
        <v>17</v>
      </c>
      <c r="L1457" s="36"/>
      <c r="M1457" s="9" t="s">
        <v>9011</v>
      </c>
    </row>
    <row r="1458" spans="1:13">
      <c r="A1458" s="42">
        <f t="shared" si="23"/>
        <v>1457</v>
      </c>
      <c r="B1458" s="36" t="s">
        <v>8</v>
      </c>
      <c r="C1458" s="9" t="s">
        <v>9581</v>
      </c>
      <c r="D1458" s="9" t="s">
        <v>9582</v>
      </c>
      <c r="E1458" s="9" t="s">
        <v>9583</v>
      </c>
      <c r="F1458" s="9" t="s">
        <v>9584</v>
      </c>
      <c r="G1458" s="36" t="s">
        <v>14</v>
      </c>
      <c r="H1458" s="36" t="str">
        <f>IFERROR(VLOOKUP(Table2[[#This Row], [Ticket]],Okey!A:B,2,0),"")</f>
        <v/>
      </c>
      <c r="I1458" s="36"/>
      <c r="J1458" s="36" t="s">
        <v>17</v>
      </c>
      <c r="L1458" s="36"/>
      <c r="M1458" s="9" t="s">
        <v>9034</v>
      </c>
    </row>
    <row r="1459" spans="1:13">
      <c r="A1459" s="42">
        <f t="shared" si="23"/>
        <v>1458</v>
      </c>
      <c r="B1459" s="36" t="s">
        <v>8</v>
      </c>
      <c r="C1459" s="36" t="s">
        <v>9581</v>
      </c>
      <c r="D1459" s="9" t="s">
        <v>9585</v>
      </c>
      <c r="E1459" s="9" t="s">
        <v>9586</v>
      </c>
      <c r="F1459" s="9" t="s">
        <v>9582</v>
      </c>
      <c r="G1459" s="36" t="s">
        <v>14</v>
      </c>
      <c r="H1459" s="36" t="str">
        <f>IFERROR(VLOOKUP(Table2[[#This Row], [Ticket]],Okey!A:B,2,0),"")</f>
        <v/>
      </c>
      <c r="I1459" s="36"/>
      <c r="J1459" s="36" t="s">
        <v>17</v>
      </c>
      <c r="L1459" s="36"/>
      <c r="M1459" s="36" t="s">
        <v>9034</v>
      </c>
    </row>
    <row r="1460" spans="1:13">
      <c r="A1460" s="42">
        <f t="shared" si="23"/>
        <v>1459</v>
      </c>
      <c r="B1460" s="36" t="s">
        <v>8</v>
      </c>
      <c r="C1460" s="36" t="s">
        <v>9581</v>
      </c>
      <c r="D1460" s="9" t="s">
        <v>9587</v>
      </c>
      <c r="E1460" s="9" t="s">
        <v>9588</v>
      </c>
      <c r="F1460" s="9" t="s">
        <v>9582</v>
      </c>
      <c r="G1460" s="36" t="s">
        <v>14</v>
      </c>
      <c r="H1460" s="36" t="str">
        <f>IFERROR(VLOOKUP(Table2[[#This Row], [Ticket]],Okey!A:B,2,0),"")</f>
        <v/>
      </c>
      <c r="I1460" s="36"/>
      <c r="J1460" s="36" t="s">
        <v>17</v>
      </c>
      <c r="L1460" s="36"/>
      <c r="M1460" s="36" t="s">
        <v>9034</v>
      </c>
    </row>
    <row r="1461" spans="1:13">
      <c r="A1461" s="42">
        <f t="shared" si="23"/>
        <v>1460</v>
      </c>
      <c r="B1461" s="36" t="s">
        <v>8</v>
      </c>
      <c r="C1461" s="36" t="s">
        <v>9581</v>
      </c>
      <c r="D1461" s="9" t="s">
        <v>9589</v>
      </c>
      <c r="E1461" s="9" t="s">
        <v>9590</v>
      </c>
      <c r="F1461" s="9" t="s">
        <v>9582</v>
      </c>
      <c r="G1461" s="36" t="s">
        <v>14</v>
      </c>
      <c r="H1461" s="36" t="str">
        <f>IFERROR(VLOOKUP(Table2[[#This Row], [Ticket]],Okey!A:B,2,0),"")</f>
        <v/>
      </c>
      <c r="I1461" s="36"/>
      <c r="J1461" s="36" t="s">
        <v>17</v>
      </c>
      <c r="L1461" s="36"/>
      <c r="M1461" s="36" t="s">
        <v>9034</v>
      </c>
    </row>
    <row r="1462" spans="1:13">
      <c r="A1462" s="42">
        <f t="shared" si="23"/>
        <v>1461</v>
      </c>
      <c r="B1462" s="36" t="s">
        <v>8</v>
      </c>
      <c r="C1462" s="36" t="s">
        <v>9581</v>
      </c>
      <c r="D1462" s="9" t="s">
        <v>9591</v>
      </c>
      <c r="E1462" s="9" t="s">
        <v>9592</v>
      </c>
      <c r="F1462" s="9" t="s">
        <v>9593</v>
      </c>
      <c r="G1462" s="36" t="s">
        <v>14</v>
      </c>
      <c r="H1462" s="36" t="str">
        <f>IFERROR(VLOOKUP(Table2[[#This Row], [Ticket]],Okey!A:B,2,0),"")</f>
        <v/>
      </c>
      <c r="I1462" s="36"/>
      <c r="J1462" s="36" t="s">
        <v>17</v>
      </c>
      <c r="L1462" s="36"/>
      <c r="M1462" s="36" t="s">
        <v>9034</v>
      </c>
    </row>
    <row r="1463" spans="1:13">
      <c r="A1463" s="42">
        <f t="shared" si="23"/>
        <v>1462</v>
      </c>
      <c r="B1463" s="36" t="s">
        <v>8</v>
      </c>
      <c r="C1463" s="36" t="s">
        <v>9581</v>
      </c>
      <c r="D1463" s="9" t="s">
        <v>9594</v>
      </c>
      <c r="E1463" s="9" t="s">
        <v>9595</v>
      </c>
      <c r="F1463" s="9" t="s">
        <v>9591</v>
      </c>
      <c r="G1463" s="36" t="s">
        <v>14</v>
      </c>
      <c r="H1463" s="36" t="str">
        <f>IFERROR(VLOOKUP(Table2[[#This Row], [Ticket]],Okey!A:B,2,0),"")</f>
        <v/>
      </c>
      <c r="I1463" s="36"/>
      <c r="J1463" s="36" t="s">
        <v>17</v>
      </c>
      <c r="L1463" s="36"/>
      <c r="M1463" s="36" t="s">
        <v>9034</v>
      </c>
    </row>
    <row r="1464" spans="1:13">
      <c r="A1464" s="42">
        <f t="shared" si="23"/>
        <v>1463</v>
      </c>
      <c r="B1464" s="36" t="s">
        <v>8</v>
      </c>
      <c r="C1464" s="36" t="s">
        <v>9581</v>
      </c>
      <c r="D1464" s="9" t="s">
        <v>9596</v>
      </c>
      <c r="E1464" s="9" t="s">
        <v>9597</v>
      </c>
      <c r="F1464" s="9" t="s">
        <v>9591</v>
      </c>
      <c r="G1464" s="9" t="s">
        <v>14</v>
      </c>
      <c r="H1464" s="36" t="str">
        <f>IFERROR(VLOOKUP(Table2[[#This Row], [Ticket]],Okey!A:B,2,0),"")</f>
        <v/>
      </c>
      <c r="I1464" s="36"/>
      <c r="J1464" s="36" t="s">
        <v>17</v>
      </c>
      <c r="L1464" s="36"/>
      <c r="M1464" s="36" t="s">
        <v>9034</v>
      </c>
    </row>
    <row r="1465" spans="1:13">
      <c r="A1465" s="42">
        <f t="shared" si="23"/>
        <v>1464</v>
      </c>
      <c r="B1465" s="36" t="s">
        <v>8</v>
      </c>
      <c r="C1465" s="9" t="s">
        <v>9603</v>
      </c>
      <c r="E1465" s="9" t="s">
        <v>9598</v>
      </c>
      <c r="F1465" s="9" t="s">
        <v>9599</v>
      </c>
      <c r="G1465" s="36" t="s">
        <v>14</v>
      </c>
      <c r="H1465" s="36" t="str">
        <f>IFERROR(VLOOKUP(Table2[[#This Row], [Ticket]],Okey!A:B,2,0),"")</f>
        <v/>
      </c>
      <c r="I1465" s="36"/>
      <c r="J1465" s="36" t="s">
        <v>17</v>
      </c>
      <c r="L1465" s="36"/>
      <c r="M1465" s="36" t="s">
        <v>4782</v>
      </c>
    </row>
    <row r="1466" spans="1:13">
      <c r="A1466" s="42">
        <f t="shared" si="23"/>
        <v>1465</v>
      </c>
      <c r="B1466" s="36" t="s">
        <v>8</v>
      </c>
      <c r="C1466" s="36" t="s">
        <v>9603</v>
      </c>
      <c r="E1466" s="9" t="s">
        <v>9600</v>
      </c>
      <c r="F1466" s="9" t="s">
        <v>9601</v>
      </c>
      <c r="G1466" s="36" t="s">
        <v>14</v>
      </c>
      <c r="H1466" s="36" t="str">
        <f>IFERROR(VLOOKUP(Table2[[#This Row], [Ticket]],Okey!A:B,2,0),"")</f>
        <v/>
      </c>
      <c r="I1466" s="36"/>
      <c r="J1466" s="36" t="s">
        <v>17</v>
      </c>
      <c r="L1466" s="36"/>
      <c r="M1466" s="36" t="s">
        <v>4782</v>
      </c>
    </row>
    <row r="1467" spans="1:13">
      <c r="A1467" s="42">
        <f t="shared" si="23"/>
        <v>1466</v>
      </c>
      <c r="B1467" s="36" t="s">
        <v>8</v>
      </c>
      <c r="C1467" s="36" t="s">
        <v>9603</v>
      </c>
      <c r="D1467" s="9" t="s">
        <v>9602</v>
      </c>
      <c r="G1467" s="9" t="s">
        <v>8544</v>
      </c>
      <c r="H1467" s="36" t="str">
        <f>IFERROR(VLOOKUP(Table2[[#This Row], [Ticket]],Okey!A:B,2,0),"")</f>
        <v/>
      </c>
      <c r="I1467" s="36"/>
      <c r="J1467" s="36" t="s">
        <v>17</v>
      </c>
      <c r="L1467" s="36"/>
      <c r="M1467" s="36" t="s">
        <v>4782</v>
      </c>
    </row>
    <row r="1468" spans="1:13">
      <c r="A1468" s="42">
        <f t="shared" si="23"/>
        <v>1467</v>
      </c>
      <c r="B1468" s="36" t="s">
        <v>8</v>
      </c>
      <c r="C1468" s="9" t="s">
        <v>9620</v>
      </c>
      <c r="D1468" s="9" t="s">
        <v>9604</v>
      </c>
      <c r="E1468" s="9" t="s">
        <v>9605</v>
      </c>
      <c r="F1468" s="9" t="s">
        <v>8967</v>
      </c>
      <c r="G1468" s="9" t="s">
        <v>14</v>
      </c>
      <c r="H1468" s="36" t="str">
        <f>IFERROR(VLOOKUP(Table2[[#This Row], [Ticket]],Okey!A:B,2,0),"")</f>
        <v/>
      </c>
      <c r="I1468" s="36"/>
      <c r="J1468" s="36" t="s">
        <v>19</v>
      </c>
      <c r="L1468" s="36"/>
      <c r="M1468" s="9" t="s">
        <v>9621</v>
      </c>
    </row>
    <row r="1469" spans="1:13">
      <c r="A1469" s="42">
        <f t="shared" si="23"/>
        <v>1468</v>
      </c>
      <c r="B1469" s="36" t="s">
        <v>8</v>
      </c>
      <c r="C1469" s="36" t="s">
        <v>9620</v>
      </c>
      <c r="D1469" s="9" t="s">
        <v>9604</v>
      </c>
      <c r="E1469" s="9" t="s">
        <v>9606</v>
      </c>
      <c r="F1469" s="9" t="s">
        <v>9607</v>
      </c>
      <c r="G1469" s="36" t="s">
        <v>14</v>
      </c>
      <c r="H1469" s="36" t="str">
        <f>IFERROR(VLOOKUP(Table2[[#This Row], [Ticket]],Okey!A:B,2,0),"")</f>
        <v/>
      </c>
      <c r="I1469" s="36"/>
      <c r="J1469" s="36" t="s">
        <v>19</v>
      </c>
      <c r="L1469" s="36"/>
      <c r="M1469" s="36" t="s">
        <v>9621</v>
      </c>
    </row>
    <row r="1470" spans="1:13">
      <c r="A1470" s="42">
        <f t="shared" si="23"/>
        <v>1469</v>
      </c>
      <c r="B1470" s="36" t="s">
        <v>8</v>
      </c>
      <c r="C1470" s="36" t="s">
        <v>9620</v>
      </c>
      <c r="D1470" s="9" t="s">
        <v>9604</v>
      </c>
      <c r="E1470" s="9" t="s">
        <v>9608</v>
      </c>
      <c r="F1470" s="9" t="s">
        <v>8957</v>
      </c>
      <c r="G1470" s="36" t="s">
        <v>14</v>
      </c>
      <c r="H1470" s="36" t="str">
        <f>IFERROR(VLOOKUP(Table2[[#This Row], [Ticket]],Okey!A:B,2,0),"")</f>
        <v/>
      </c>
      <c r="I1470" s="36"/>
      <c r="J1470" s="36" t="s">
        <v>19</v>
      </c>
      <c r="L1470" s="36"/>
      <c r="M1470" s="36" t="s">
        <v>9621</v>
      </c>
    </row>
    <row r="1471" spans="1:13">
      <c r="A1471" s="42">
        <f t="shared" si="23"/>
        <v>1470</v>
      </c>
      <c r="B1471" s="36" t="s">
        <v>8</v>
      </c>
      <c r="C1471" s="36" t="s">
        <v>9620</v>
      </c>
      <c r="D1471" s="9" t="s">
        <v>9604</v>
      </c>
      <c r="E1471" s="9" t="s">
        <v>9609</v>
      </c>
      <c r="F1471" s="9" t="s">
        <v>8957</v>
      </c>
      <c r="G1471" s="36" t="s">
        <v>14</v>
      </c>
      <c r="H1471" s="36" t="str">
        <f>IFERROR(VLOOKUP(Table2[[#This Row], [Ticket]],Okey!A:B,2,0),"")</f>
        <v/>
      </c>
      <c r="I1471" s="36"/>
      <c r="J1471" s="36" t="s">
        <v>19</v>
      </c>
      <c r="L1471" s="36"/>
      <c r="M1471" s="36" t="s">
        <v>9621</v>
      </c>
    </row>
    <row r="1472" spans="1:13">
      <c r="A1472" s="42">
        <f t="shared" si="23"/>
        <v>1471</v>
      </c>
      <c r="B1472" s="36" t="s">
        <v>8</v>
      </c>
      <c r="C1472" s="36" t="s">
        <v>9620</v>
      </c>
      <c r="D1472" s="9" t="s">
        <v>9604</v>
      </c>
      <c r="E1472" s="9" t="s">
        <v>9610</v>
      </c>
      <c r="F1472" s="9" t="s">
        <v>8953</v>
      </c>
      <c r="G1472" s="36" t="s">
        <v>14</v>
      </c>
      <c r="H1472" s="36" t="str">
        <f>IFERROR(VLOOKUP(Table2[[#This Row], [Ticket]],Okey!A:B,2,0),"")</f>
        <v/>
      </c>
      <c r="I1472" s="36"/>
      <c r="J1472" s="36" t="s">
        <v>19</v>
      </c>
      <c r="L1472" s="36"/>
      <c r="M1472" s="36" t="s">
        <v>9621</v>
      </c>
    </row>
    <row r="1473" spans="1:13">
      <c r="A1473" s="42">
        <f t="shared" si="23"/>
        <v>1472</v>
      </c>
      <c r="B1473" s="36" t="s">
        <v>8</v>
      </c>
      <c r="C1473" s="36" t="s">
        <v>9620</v>
      </c>
      <c r="D1473" s="9" t="s">
        <v>9604</v>
      </c>
      <c r="E1473" s="9" t="s">
        <v>9611</v>
      </c>
      <c r="F1473" s="9" t="s">
        <v>9612</v>
      </c>
      <c r="G1473" s="36" t="s">
        <v>14</v>
      </c>
      <c r="H1473" s="36" t="str">
        <f>IFERROR(VLOOKUP(Table2[[#This Row], [Ticket]],Okey!A:B,2,0),"")</f>
        <v/>
      </c>
      <c r="I1473" s="36"/>
      <c r="J1473" s="36" t="s">
        <v>19</v>
      </c>
      <c r="L1473" s="36"/>
      <c r="M1473" s="36" t="s">
        <v>9621</v>
      </c>
    </row>
    <row r="1474" spans="1:13">
      <c r="A1474" s="42">
        <f t="shared" si="23"/>
        <v>1473</v>
      </c>
      <c r="B1474" s="36" t="s">
        <v>8</v>
      </c>
      <c r="C1474" s="36" t="s">
        <v>9620</v>
      </c>
      <c r="D1474" s="9" t="s">
        <v>9604</v>
      </c>
      <c r="E1474" s="9" t="s">
        <v>9613</v>
      </c>
      <c r="F1474" s="9" t="s">
        <v>8953</v>
      </c>
      <c r="G1474" s="36" t="s">
        <v>14</v>
      </c>
      <c r="H1474" s="36" t="str">
        <f>IFERROR(VLOOKUP(Table2[[#This Row], [Ticket]],Okey!A:B,2,0),"")</f>
        <v/>
      </c>
      <c r="I1474" s="36"/>
      <c r="J1474" s="36" t="s">
        <v>19</v>
      </c>
      <c r="L1474" s="36"/>
      <c r="M1474" s="36" t="s">
        <v>9621</v>
      </c>
    </row>
    <row r="1475" spans="1:13">
      <c r="A1475" s="42">
        <f t="shared" si="23"/>
        <v>1474</v>
      </c>
      <c r="B1475" s="36" t="s">
        <v>8</v>
      </c>
      <c r="C1475" s="36" t="s">
        <v>9620</v>
      </c>
      <c r="D1475" s="9" t="s">
        <v>9604</v>
      </c>
      <c r="E1475" s="9" t="s">
        <v>9614</v>
      </c>
      <c r="F1475" s="9" t="s">
        <v>8953</v>
      </c>
      <c r="G1475" s="36" t="s">
        <v>14</v>
      </c>
      <c r="H1475" s="36" t="str">
        <f>IFERROR(VLOOKUP(Table2[[#This Row], [Ticket]],Okey!A:B,2,0),"")</f>
        <v/>
      </c>
      <c r="I1475" s="36"/>
      <c r="J1475" s="36" t="s">
        <v>19</v>
      </c>
      <c r="L1475" s="36"/>
      <c r="M1475" s="36" t="s">
        <v>9621</v>
      </c>
    </row>
    <row r="1476" spans="1:13">
      <c r="A1476" s="42">
        <f t="shared" si="23"/>
        <v>1475</v>
      </c>
      <c r="B1476" s="36" t="s">
        <v>8</v>
      </c>
      <c r="C1476" s="36" t="s">
        <v>9620</v>
      </c>
      <c r="D1476" s="9" t="s">
        <v>9604</v>
      </c>
      <c r="E1476" s="9" t="s">
        <v>9615</v>
      </c>
      <c r="F1476" s="9" t="s">
        <v>8953</v>
      </c>
      <c r="G1476" s="36" t="s">
        <v>14</v>
      </c>
      <c r="H1476" s="36" t="str">
        <f>IFERROR(VLOOKUP(Table2[[#This Row], [Ticket]],Okey!A:B,2,0),"")</f>
        <v/>
      </c>
      <c r="I1476" s="36"/>
      <c r="J1476" s="36" t="s">
        <v>19</v>
      </c>
      <c r="L1476" s="36"/>
      <c r="M1476" s="36" t="s">
        <v>9621</v>
      </c>
    </row>
    <row r="1477" spans="1:13">
      <c r="A1477" s="42">
        <f t="shared" si="23"/>
        <v>1476</v>
      </c>
      <c r="B1477" s="36" t="s">
        <v>8</v>
      </c>
      <c r="C1477" s="36" t="s">
        <v>9620</v>
      </c>
      <c r="D1477" s="9" t="s">
        <v>9604</v>
      </c>
      <c r="E1477" s="9" t="s">
        <v>9616</v>
      </c>
      <c r="F1477" s="9" t="s">
        <v>8953</v>
      </c>
      <c r="G1477" s="36" t="s">
        <v>14</v>
      </c>
      <c r="H1477" s="36" t="str">
        <f>IFERROR(VLOOKUP(Table2[[#This Row], [Ticket]],Okey!A:B,2,0),"")</f>
        <v/>
      </c>
      <c r="I1477" s="36"/>
      <c r="J1477" s="36" t="s">
        <v>19</v>
      </c>
      <c r="L1477" s="36"/>
      <c r="M1477" s="36" t="s">
        <v>9621</v>
      </c>
    </row>
    <row r="1478" spans="1:13">
      <c r="A1478" s="42">
        <f t="shared" si="23"/>
        <v>1477</v>
      </c>
      <c r="B1478" s="36" t="s">
        <v>8</v>
      </c>
      <c r="C1478" s="36" t="s">
        <v>9620</v>
      </c>
      <c r="D1478" s="9" t="s">
        <v>9617</v>
      </c>
      <c r="E1478" s="9" t="s">
        <v>9618</v>
      </c>
      <c r="F1478" s="9" t="s">
        <v>9619</v>
      </c>
      <c r="G1478" s="36" t="s">
        <v>14</v>
      </c>
      <c r="H1478" s="36" t="str">
        <f>IFERROR(VLOOKUP(Table2[[#This Row], [Ticket]],Okey!A:B,2,0),"")</f>
        <v/>
      </c>
      <c r="I1478" s="36"/>
      <c r="J1478" s="36" t="s">
        <v>19</v>
      </c>
      <c r="L1478" s="36"/>
      <c r="M1478" s="36" t="s">
        <v>9621</v>
      </c>
    </row>
    <row r="1479" spans="1:13">
      <c r="A1479" s="42">
        <f t="shared" si="23"/>
        <v>1478</v>
      </c>
      <c r="B1479" s="36" t="s">
        <v>8</v>
      </c>
      <c r="C1479" s="9" t="s">
        <v>9622</v>
      </c>
      <c r="D1479" s="99" t="s">
        <v>9623</v>
      </c>
      <c r="F1479" s="100" t="s">
        <v>9624</v>
      </c>
      <c r="G1479" s="9" t="s">
        <v>13</v>
      </c>
      <c r="H1479" s="36" t="str">
        <f>IFERROR(VLOOKUP(Table2[[#This Row], [Ticket]],Okey!A:B,2,0),"")</f>
        <v/>
      </c>
      <c r="I1479" s="36"/>
      <c r="L1479" s="36"/>
      <c r="M1479" s="36" t="s">
        <v>9034</v>
      </c>
    </row>
    <row r="1480" spans="1:13">
      <c r="A1480" s="42">
        <f t="shared" si="23"/>
        <v>1479</v>
      </c>
      <c r="B1480" s="36" t="s">
        <v>8</v>
      </c>
      <c r="C1480" s="9" t="s">
        <v>9625</v>
      </c>
      <c r="E1480" s="9" t="s">
        <v>9626</v>
      </c>
      <c r="F1480" s="9" t="s">
        <v>6118</v>
      </c>
      <c r="H1480" s="36" t="str">
        <f>IFERROR(VLOOKUP(Table2[[#This Row], [Ticket]],Okey!A:B,2,0),"")</f>
        <v/>
      </c>
      <c r="I1480" s="36"/>
      <c r="L1480" s="36"/>
    </row>
    <row r="1481" spans="1:13">
      <c r="A1481" s="42">
        <f t="shared" si="23"/>
        <v>1480</v>
      </c>
      <c r="B1481" s="36" t="s">
        <v>8</v>
      </c>
      <c r="C1481" s="36" t="s">
        <v>9625</v>
      </c>
      <c r="E1481" s="9" t="s">
        <v>9627</v>
      </c>
      <c r="H1481" s="36" t="str">
        <f>IFERROR(VLOOKUP(Table2[[#This Row], [Ticket]],Okey!A:B,2,0),"")</f>
        <v/>
      </c>
      <c r="I1481" s="36"/>
      <c r="L1481" s="36"/>
      <c r="M1481" s="9" t="s">
        <v>9632</v>
      </c>
    </row>
    <row r="1482" spans="1:13">
      <c r="A1482" s="42">
        <f t="shared" si="23"/>
        <v>1481</v>
      </c>
      <c r="B1482" s="36" t="s">
        <v>8</v>
      </c>
      <c r="C1482" s="36" t="s">
        <v>9625</v>
      </c>
      <c r="E1482" s="9" t="s">
        <v>9628</v>
      </c>
      <c r="H1482" s="36" t="str">
        <f>IFERROR(VLOOKUP(Table2[[#This Row], [Ticket]],Okey!A:B,2,0),"")</f>
        <v/>
      </c>
      <c r="I1482" s="36"/>
      <c r="L1482" s="36"/>
      <c r="M1482" s="9" t="s">
        <v>9632</v>
      </c>
    </row>
    <row r="1483" spans="1:13">
      <c r="A1483" s="42">
        <f t="shared" si="23"/>
        <v>1482</v>
      </c>
      <c r="B1483" s="36" t="s">
        <v>8</v>
      </c>
      <c r="C1483" s="36" t="s">
        <v>9625</v>
      </c>
      <c r="E1483" s="9" t="s">
        <v>9629</v>
      </c>
      <c r="H1483" s="36" t="str">
        <f>IFERROR(VLOOKUP(Table2[[#This Row], [Ticket]],Okey!A:B,2,0),"")</f>
        <v/>
      </c>
      <c r="I1483" s="36"/>
      <c r="L1483" s="36"/>
      <c r="M1483" s="9" t="s">
        <v>9633</v>
      </c>
    </row>
    <row r="1484" spans="1:13">
      <c r="A1484" s="42">
        <f t="shared" si="23"/>
        <v>1483</v>
      </c>
      <c r="B1484" s="36" t="s">
        <v>8</v>
      </c>
      <c r="C1484" s="36" t="s">
        <v>9625</v>
      </c>
      <c r="E1484" s="9" t="s">
        <v>9630</v>
      </c>
      <c r="H1484" s="36" t="str">
        <f>IFERROR(VLOOKUP(Table2[[#This Row], [Ticket]],Okey!A:B,2,0),"")</f>
        <v/>
      </c>
      <c r="I1484" s="36"/>
      <c r="L1484" s="36"/>
      <c r="M1484" s="9" t="s">
        <v>9633</v>
      </c>
    </row>
    <row r="1485" spans="1:13">
      <c r="A1485" s="42">
        <f t="shared" si="23"/>
        <v>1484</v>
      </c>
      <c r="B1485" s="36" t="s">
        <v>8</v>
      </c>
      <c r="C1485" s="36" t="s">
        <v>9625</v>
      </c>
      <c r="E1485" s="9" t="s">
        <v>9631</v>
      </c>
      <c r="H1485" s="36" t="str">
        <f>IFERROR(VLOOKUP(Table2[[#This Row], [Ticket]],Okey!A:B,2,0),"")</f>
        <v/>
      </c>
      <c r="I1485" s="36"/>
      <c r="L1485" s="36"/>
      <c r="M1485" s="9" t="s">
        <v>9633</v>
      </c>
    </row>
    <row r="1486" spans="1:13">
      <c r="A1486" s="42">
        <f t="shared" si="23"/>
        <v>1485</v>
      </c>
      <c r="B1486" s="36" t="s">
        <v>8</v>
      </c>
      <c r="C1486" s="36" t="s">
        <v>9625</v>
      </c>
      <c r="D1486" s="9" t="s">
        <v>9634</v>
      </c>
      <c r="E1486" s="9" t="s">
        <v>9635</v>
      </c>
      <c r="H1486" s="36" t="str">
        <f>IFERROR(VLOOKUP(Table2[[#This Row], [Ticket]],Okey!A:B,2,0),"")</f>
        <v/>
      </c>
      <c r="I1486" s="36"/>
      <c r="L1486" s="36"/>
    </row>
    <row r="1487" spans="1:13">
      <c r="A1487" s="42">
        <f t="shared" si="23"/>
        <v>1486</v>
      </c>
      <c r="B1487" s="36" t="s">
        <v>8</v>
      </c>
      <c r="C1487" s="36" t="s">
        <v>9625</v>
      </c>
      <c r="D1487" s="9" t="s">
        <v>8952</v>
      </c>
      <c r="E1487" s="9" t="s">
        <v>9636</v>
      </c>
      <c r="H1487" s="36" t="str">
        <f>IFERROR(VLOOKUP(Table2[[#This Row], [Ticket]],Okey!A:B,2,0),"")</f>
        <v/>
      </c>
      <c r="I1487" s="36"/>
      <c r="L1487" s="36"/>
    </row>
    <row r="1488" spans="1:13">
      <c r="A1488" s="42">
        <f t="shared" si="23"/>
        <v>1487</v>
      </c>
      <c r="B1488" s="36" t="s">
        <v>8</v>
      </c>
      <c r="C1488" s="36" t="s">
        <v>9625</v>
      </c>
      <c r="D1488" s="9" t="s">
        <v>9619</v>
      </c>
      <c r="E1488" s="9" t="s">
        <v>9637</v>
      </c>
      <c r="H1488" s="36" t="str">
        <f>IFERROR(VLOOKUP(Table2[[#This Row], [Ticket]],Okey!A:B,2,0),"")</f>
        <v/>
      </c>
      <c r="I1488" s="36"/>
      <c r="L1488" s="36"/>
    </row>
    <row r="1489" spans="1:12">
      <c r="A1489" s="42">
        <f t="shared" si="23"/>
        <v>1488</v>
      </c>
      <c r="B1489" s="36" t="s">
        <v>8</v>
      </c>
      <c r="C1489" s="36" t="s">
        <v>9625</v>
      </c>
      <c r="D1489" s="9" t="s">
        <v>9638</v>
      </c>
      <c r="E1489" s="9" t="s">
        <v>9639</v>
      </c>
      <c r="H1489" s="36" t="str">
        <f>IFERROR(VLOOKUP(Table2[[#This Row], [Ticket]],Okey!A:B,2,0),"")</f>
        <v/>
      </c>
      <c r="I1489" s="36"/>
      <c r="L1489" s="36"/>
    </row>
  </sheetData>
  <phoneticPr fontId="23" type="noConversion"/>
  <conditionalFormatting sqref="D2:D866 D869:D872">
    <cfRule type="duplicateValues" dxfId="14" priority="14"/>
  </conditionalFormatting>
  <conditionalFormatting sqref="K866:K868">
    <cfRule type="duplicateValues" dxfId="13" priority="13"/>
  </conditionalFormatting>
  <conditionalFormatting sqref="K867">
    <cfRule type="duplicateValues" dxfId="12" priority="12"/>
  </conditionalFormatting>
  <conditionalFormatting sqref="K868">
    <cfRule type="duplicateValues" dxfId="11" priority="11"/>
  </conditionalFormatting>
  <conditionalFormatting sqref="F867">
    <cfRule type="duplicateValues" dxfId="10" priority="10"/>
  </conditionalFormatting>
  <conditionalFormatting sqref="F868">
    <cfRule type="duplicateValues" dxfId="9" priority="9"/>
  </conditionalFormatting>
  <conditionalFormatting sqref="F872">
    <cfRule type="duplicateValues" dxfId="8" priority="8"/>
  </conditionalFormatting>
  <conditionalFormatting sqref="D867">
    <cfRule type="duplicateValues" dxfId="7" priority="7"/>
  </conditionalFormatting>
  <conditionalFormatting sqref="D868">
    <cfRule type="duplicateValues" dxfId="6" priority="6"/>
  </conditionalFormatting>
  <conditionalFormatting sqref="D873">
    <cfRule type="duplicateValues" dxfId="5" priority="5"/>
  </conditionalFormatting>
  <conditionalFormatting sqref="D889">
    <cfRule type="duplicateValues" dxfId="4" priority="4"/>
  </conditionalFormatting>
  <conditionalFormatting sqref="K889 K873">
    <cfRule type="duplicateValues" dxfId="3" priority="3"/>
  </conditionalFormatting>
  <conditionalFormatting sqref="D1356">
    <cfRule type="duplicateValues" dxfId="2" priority="2"/>
  </conditionalFormatting>
  <conditionalFormatting sqref="D2:D1489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9517</v>
      </c>
      <c r="B242" t="s">
        <v>5725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Okey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2026-03-18T17:50:32Z</dcterms:modified>
</cp:coreProperties>
</file>