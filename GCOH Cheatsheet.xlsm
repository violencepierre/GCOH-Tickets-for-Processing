
<file path=[Content_Types].xml><?xml version="1.0" encoding="utf-8"?>
<Types xmlns="http://schemas.openxmlformats.org/package/2006/content-types">
  <Default Extension="bin" ContentType="application/vnd.openxmlformats-officedocument.spreadsheetml.customProperty"/>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ink/ink1.xml" ContentType="application/inkml+xml"/>
  <Override PartName="/xl/pivotTables/pivotTable1.xml" ContentType="application/vnd.openxmlformats-officedocument.spreadsheetml.pivotTable+xml"/>
  <Override PartName="/xl/printerSettings/printerSettings3.bin" ContentType="application/vnd.openxmlformats-officedocument.spreadsheetml.printerSettings"/>
  <Override PartName="/xl/drawings/drawing3.xml" ContentType="application/vnd.openxmlformats-officedocument.drawing+xml"/>
  <Override PartName="/xl/tables/table2.xml" ContentType="application/vnd.openxmlformats-officedocument.spreadsheetml.table+xml"/>
  <Override PartName="/xl/pivotTables/pivotTable2.xml" ContentType="application/vnd.openxmlformats-officedocument.spreadsheetml.pivotTable+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tables/table3.xml" ContentType="application/vnd.openxmlformats-officedocument.spreadsheetml.table+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printerSettings/printerSettings6.bin" ContentType="application/vnd.openxmlformats-officedocument.spreadsheetml.printerSettings"/>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mdigital-my.sharepoint.com/personal/m327220_one_merckgroup_com/Documents/Documents/GitHub/GCOHFilesTicketsEtc/"/>
    </mc:Choice>
  </mc:AlternateContent>
  <xr:revisionPtr revIDLastSave="49" documentId="13_ncr:1_{5609D828-DCCE-4D48-9C82-AEEFD10AAC6A}" xr6:coauthVersionLast="47" xr6:coauthVersionMax="47" xr10:uidLastSave="{F54CC33A-1EFA-4E78-9A16-A55BB3B99B96}"/>
  <bookViews>
    <workbookView xWindow="-120" yWindow="-120" windowWidth="29040" windowHeight="15720" firstSheet="2" activeTab="3" xr2:uid="{D78B3022-2FC8-4C53-AE69-A652801B3CE5}"/>
  </bookViews>
  <sheets>
    <sheet name="_com.sap.ip.bi.xl.hiddensheet" sheetId="5" state="veryHidden" r:id="rId1"/>
    <sheet name="Cognos_Office_Connection_Cache" sheetId="2" state="veryHidden" r:id="rId2"/>
    <sheet name="Codigo" sheetId="9" r:id="rId3"/>
    <sheet name="Proc" sheetId="8" r:id="rId4"/>
    <sheet name="Overview" sheetId="4" r:id="rId5"/>
    <sheet name="RESOLVED" sheetId="12" r:id="rId6"/>
    <sheet name="Validation" sheetId="6" r:id="rId7"/>
    <sheet name="Dashboard" sheetId="3" state="hidden" r:id="rId8"/>
    <sheet name="Pivot" sheetId="1" state="hidden" r:id="rId9"/>
    <sheet name="LFF" sheetId="11" r:id="rId10"/>
  </sheets>
  <definedNames>
    <definedName name="_xlnm._FilterDatabase" localSheetId="7" hidden="1">Dashboard!$B$39:$B$46</definedName>
    <definedName name="_xlnm._FilterDatabase" localSheetId="9" hidden="1">LFF!#REF!</definedName>
    <definedName name="_xlnm._FilterDatabase" localSheetId="4" hidden="1">Overview!$C$3:$L$8</definedName>
    <definedName name="_xlnm._FilterDatabase" localSheetId="8" hidden="1">Pivot!#REF!</definedName>
    <definedName name="_xlnm._FilterDatabase" localSheetId="6" hidden="1">Validation!$A$1:$G$1</definedName>
    <definedName name="ExternalData_1" localSheetId="3" hidden="1">Proc!$A$2:$Q$344</definedName>
    <definedName name="ID" localSheetId="0" hidden="1">"c1d35d42-1af3-4a11-a743-dd86cee9ff6f"</definedName>
    <definedName name="ID" localSheetId="2" hidden="1">"4319aac4-f7dd-4115-990d-a69fa39c44be"</definedName>
    <definedName name="ID" localSheetId="1" hidden="1">"925f7722-d288-495b-87ba-96e1595fe82a"</definedName>
    <definedName name="ID" localSheetId="7" hidden="1">"ef7d4343-eb69-4efc-811c-a9338ccb7fef"</definedName>
    <definedName name="ID" localSheetId="9" hidden="1">"950e9516-c611-49ca-a5ff-94a8943ffd05"</definedName>
    <definedName name="ID" localSheetId="4" hidden="1">"e4005169-09e0-4e00-bd3a-54485ec00220"</definedName>
    <definedName name="ID" localSheetId="8" hidden="1">"27c3214c-3ce7-4a41-ac62-25e6689aaafd"</definedName>
    <definedName name="ID" localSheetId="3" hidden="1">"aedeedd5-bf5c-4d24-ac2f-ee3366953ad2"</definedName>
    <definedName name="ID" localSheetId="5" hidden="1">"6ebe8bfe-dd69-4d78-b705-849872d93ace"</definedName>
    <definedName name="ID" localSheetId="6" hidden="1">"0bd68339-3632-4b2f-be82-a02dea9cff50"</definedName>
    <definedName name="tm1\\_0_H">"{ ""server"" : ""http://pafe.merckgroup.com"", ""cube"" : ""{ \""server\"" : \""rc-2024\"", \""cube\"" : \""mPnL_2024\""}""}"</definedName>
  </definedNames>
  <calcPr calcId="191029"/>
  <pivotCaches>
    <pivotCache cacheId="20" r:id="rId11"/>
    <pivotCache cacheId="27" r:id="rId1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1" i="11" l="1"/>
  <c r="C11" i="11"/>
  <c r="B10" i="11" l="1"/>
  <c r="B9" i="11"/>
  <c r="C1" i="8"/>
  <c r="D1" i="8" s="1"/>
  <c r="B8" i="11"/>
  <c r="B4" i="11"/>
  <c r="B5" i="11"/>
  <c r="B6" i="11"/>
  <c r="B7" i="11"/>
  <c r="B1" i="9"/>
  <c r="D1" i="9" s="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H16" i="1"/>
  <c r="H15" i="1"/>
  <c r="H14" i="1"/>
  <c r="H13" i="1"/>
  <c r="H12" i="1"/>
  <c r="H11" i="1"/>
  <c r="H10" i="1"/>
  <c r="H9" i="1"/>
  <c r="H8" i="1"/>
  <c r="H7" i="1"/>
  <c r="H6" i="1"/>
  <c r="H5" i="1"/>
  <c r="H4" i="1"/>
  <c r="C9" i="11"/>
  <c r="C8" i="11"/>
  <c r="C4" i="11"/>
  <c r="C5" i="11"/>
  <c r="C7" i="11"/>
  <c r="C6" i="11"/>
  <c r="C10" i="11"/>
  <c r="R338" i="8" a="1"/>
  <c r="R322" i="8" a="1"/>
  <c r="R289" i="8" a="1"/>
  <c r="R340" i="8" a="1"/>
  <c r="R332" i="8" a="1"/>
  <c r="R308" i="8" a="1"/>
  <c r="R292" i="8" a="1"/>
  <c r="R268" i="8" a="1"/>
  <c r="R244" i="8" a="1"/>
  <c r="R236" i="8" a="1"/>
  <c r="R212" i="8" a="1"/>
  <c r="R196" i="8" a="1"/>
  <c r="R179" i="8" a="1"/>
  <c r="R339" i="8" a="1"/>
  <c r="R324" i="8" a="1"/>
  <c r="R315" i="8" a="1"/>
  <c r="R300" i="8" a="1"/>
  <c r="R291" i="8" a="1"/>
  <c r="R276" i="8" a="1"/>
  <c r="R267" i="8" a="1"/>
  <c r="R252" i="8" a="1"/>
  <c r="R243" i="8" a="1"/>
  <c r="R228" i="8" a="1"/>
  <c r="R219" i="8" a="1"/>
  <c r="R204" i="8" a="1"/>
  <c r="R195" i="8" a="1"/>
  <c r="R187" i="8" a="1"/>
  <c r="R177" i="8" a="1"/>
  <c r="R138" i="8" a="1"/>
  <c r="R127" i="8" a="1"/>
  <c r="R116" i="8" a="1"/>
  <c r="R107" i="8" a="1"/>
  <c r="R49" i="8" a="1"/>
  <c r="R329" i="8" a="1"/>
  <c r="R316" i="8" a="1"/>
  <c r="R284" i="8" a="1"/>
  <c r="R260" i="8" a="1"/>
  <c r="R220" i="8" a="1"/>
  <c r="R331" i="8" a="1"/>
  <c r="R323" i="8" a="1"/>
  <c r="R307" i="8" a="1"/>
  <c r="R299" i="8" a="1"/>
  <c r="R283" i="8" a="1"/>
  <c r="R275" i="8" a="1"/>
  <c r="R259" i="8" a="1"/>
  <c r="R251" i="8" a="1"/>
  <c r="R235" i="8" a="1"/>
  <c r="R227" i="8" a="1"/>
  <c r="R211" i="8" a="1"/>
  <c r="R203" i="8" a="1"/>
  <c r="R168" i="8" a="1"/>
  <c r="R157" i="8" a="1"/>
  <c r="R146" i="8" a="1"/>
  <c r="R137" i="8" a="1"/>
  <c r="R96" i="8" a="1"/>
  <c r="R85" i="8" a="1"/>
  <c r="R73" i="8" a="1"/>
  <c r="R61" i="8" a="1"/>
  <c r="R32" i="8" a="1"/>
  <c r="R19" i="8" a="1"/>
  <c r="R115" i="8" a="1"/>
  <c r="R104" i="8" a="1"/>
  <c r="R95" i="8" a="1"/>
  <c r="R314" i="8" a="1"/>
  <c r="R298" i="8" a="1"/>
  <c r="R290" i="8" a="1"/>
  <c r="R274" i="8" a="1"/>
  <c r="R266" i="8" a="1"/>
  <c r="R250" i="8" a="1"/>
  <c r="R242" i="8" a="1"/>
  <c r="R226" i="8" a="1"/>
  <c r="R218" i="8" a="1"/>
  <c r="R202" i="8" a="1"/>
  <c r="R194" i="8" a="1"/>
  <c r="R186" i="8" a="1"/>
  <c r="R176" i="8" a="1"/>
  <c r="R167" i="8" a="1"/>
  <c r="R126" i="8" a="1"/>
  <c r="R330" i="8" a="1"/>
  <c r="R321" i="8" a="1"/>
  <c r="R306" i="8" a="1"/>
  <c r="R297" i="8" a="1"/>
  <c r="R282" i="8" a="1"/>
  <c r="R273" i="8" a="1"/>
  <c r="R258" i="8" a="1"/>
  <c r="R249" i="8" a="1"/>
  <c r="R234" i="8" a="1"/>
  <c r="R225" i="8" a="1"/>
  <c r="R210" i="8" a="1"/>
  <c r="R201" i="8" a="1"/>
  <c r="R185" i="8" a="1"/>
  <c r="R156" i="8" a="1"/>
  <c r="R145" i="8" a="1"/>
  <c r="R134" i="8" a="1"/>
  <c r="R125" i="8" a="1"/>
  <c r="R84" i="8" a="1"/>
  <c r="R72" i="8" a="1"/>
  <c r="R60" i="8" a="1"/>
  <c r="R44" i="8" a="1"/>
  <c r="R31" i="8" a="1"/>
  <c r="R257" i="8" a="1"/>
  <c r="R241" i="8" a="1"/>
  <c r="R233" i="8" a="1"/>
  <c r="R217" i="8" a="1"/>
  <c r="R209" i="8" a="1"/>
  <c r="R193" i="8" a="1"/>
  <c r="R183" i="8" a="1"/>
  <c r="R175" i="8" a="1"/>
  <c r="R164" i="8" a="1"/>
  <c r="R155" i="8" a="1"/>
  <c r="R114" i="8" a="1"/>
  <c r="R103" i="8" a="1"/>
  <c r="R92" i="8" a="1"/>
  <c r="R14" i="8" a="1"/>
  <c r="R280" i="8" a="1"/>
  <c r="R272" i="8" a="1"/>
  <c r="R256" i="8" a="1"/>
  <c r="R248" i="8" a="1"/>
  <c r="R232" i="8" a="1"/>
  <c r="R224" i="8" a="1"/>
  <c r="R208" i="8" a="1"/>
  <c r="R200" i="8" a="1"/>
  <c r="R144" i="8" a="1"/>
  <c r="R133" i="8" a="1"/>
  <c r="R122" i="8" a="1"/>
  <c r="R113" i="8" a="1"/>
  <c r="R80" i="8" a="1"/>
  <c r="R68" i="8" a="1"/>
  <c r="R56" i="8" a="1"/>
  <c r="R43" i="8" a="1"/>
  <c r="R305" i="8" a="1"/>
  <c r="R344" i="8" a="1"/>
  <c r="R264" i="8" a="1"/>
  <c r="R255" i="8" a="1"/>
  <c r="R240" i="8" a="1"/>
  <c r="R231" i="8" a="1"/>
  <c r="R216" i="8" a="1"/>
  <c r="R207" i="8" a="1"/>
  <c r="R192" i="8" a="1"/>
  <c r="R182" i="8" a="1"/>
  <c r="R174" i="8" a="1"/>
  <c r="R163" i="8" a="1"/>
  <c r="R152" i="8" a="1"/>
  <c r="R143" i="8" a="1"/>
  <c r="R102" i="8" a="1"/>
  <c r="R91" i="8" a="1"/>
  <c r="R26" i="8" a="1"/>
  <c r="R13" i="8" a="1"/>
  <c r="R313" i="8" a="1"/>
  <c r="R296" i="8" a="1"/>
  <c r="R336" i="8" a="1"/>
  <c r="R288" i="8" a="1"/>
  <c r="R343" i="8" a="1"/>
  <c r="R335" i="8" a="1"/>
  <c r="R319" i="8" a="1"/>
  <c r="R311" i="8" a="1"/>
  <c r="R295" i="8" a="1"/>
  <c r="R287" i="8" a="1"/>
  <c r="R271" i="8" a="1"/>
  <c r="R263" i="8" a="1"/>
  <c r="R247" i="8" a="1"/>
  <c r="R239" i="8" a="1"/>
  <c r="R223" i="8" a="1"/>
  <c r="R215" i="8" a="1"/>
  <c r="R199" i="8" a="1"/>
  <c r="R191" i="8" a="1"/>
  <c r="R173" i="8" a="1"/>
  <c r="R132" i="8" a="1"/>
  <c r="R121" i="8" a="1"/>
  <c r="R110" i="8" a="1"/>
  <c r="R101" i="8" a="1"/>
  <c r="R79" i="8" a="1"/>
  <c r="R67" i="8" a="1"/>
  <c r="R55" i="8" a="1"/>
  <c r="R304" i="8" a="1"/>
  <c r="R327" i="8" a="1"/>
  <c r="R303" i="8" a="1"/>
  <c r="R334" i="8" a="1"/>
  <c r="R326" i="8" a="1"/>
  <c r="R310" i="8" a="1"/>
  <c r="R302" i="8" a="1"/>
  <c r="R286" i="8" a="1"/>
  <c r="R278" i="8" a="1"/>
  <c r="R262" i="8" a="1"/>
  <c r="R254" i="8" a="1"/>
  <c r="R238" i="8" a="1"/>
  <c r="R230" i="8" a="1"/>
  <c r="R214" i="8" a="1"/>
  <c r="R206" i="8" a="1"/>
  <c r="R189" i="8" a="1"/>
  <c r="R181" i="8" a="1"/>
  <c r="R162" i="8" a="1"/>
  <c r="R151" i="8" a="1"/>
  <c r="R140" i="8" a="1"/>
  <c r="R131" i="8" a="1"/>
  <c r="R90" i="8" a="1"/>
  <c r="R38" i="8" a="1"/>
  <c r="R25" i="8" a="1"/>
  <c r="R337" i="8" a="1"/>
  <c r="R320" i="8" a="1"/>
  <c r="R312" i="8" a="1"/>
  <c r="R342" i="8" a="1"/>
  <c r="R318" i="8" a="1"/>
  <c r="R294" i="8" a="1"/>
  <c r="R270" i="8" a="1"/>
  <c r="R237" i="8" a="1"/>
  <c r="R222" i="8" a="1"/>
  <c r="R198" i="8" a="1"/>
  <c r="R170" i="8" a="1"/>
  <c r="R161" i="8" a="1"/>
  <c r="R120" i="8" a="1"/>
  <c r="R109" i="8" a="1"/>
  <c r="R98" i="8" a="1"/>
  <c r="R89" i="8" a="1"/>
  <c r="R78" i="8" a="1"/>
  <c r="R66" i="8" a="1"/>
  <c r="R8" i="8" a="1"/>
  <c r="R281" i="8" a="1"/>
  <c r="R328" i="8" a="1"/>
  <c r="R279" i="8" a="1"/>
  <c r="R333" i="8" a="1"/>
  <c r="R309" i="8" a="1"/>
  <c r="R285" i="8" a="1"/>
  <c r="R261" i="8" a="1"/>
  <c r="R246" i="8" a="1"/>
  <c r="R213" i="8" a="1"/>
  <c r="R341" i="8" a="1"/>
  <c r="R325" i="8" a="1"/>
  <c r="R317" i="8" a="1"/>
  <c r="R301" i="8" a="1"/>
  <c r="R293" i="8" a="1"/>
  <c r="R277" i="8" a="1"/>
  <c r="R269" i="8" a="1"/>
  <c r="R253" i="8" a="1"/>
  <c r="R245" i="8" a="1"/>
  <c r="R229" i="8" a="1"/>
  <c r="R221" i="8" a="1"/>
  <c r="R205" i="8" a="1"/>
  <c r="R197" i="8" a="1"/>
  <c r="R188" i="8" a="1"/>
  <c r="R180" i="8" a="1"/>
  <c r="R150" i="8" a="1"/>
  <c r="R139" i="8" a="1"/>
  <c r="R128" i="8" a="1"/>
  <c r="R119" i="8" a="1"/>
  <c r="R50" i="8" a="1"/>
  <c r="R37" i="8" a="1"/>
  <c r="R265" i="8" a="1"/>
  <c r="R169" i="8" a="1"/>
  <c r="R158" i="8" a="1"/>
  <c r="R149" i="8" a="1"/>
  <c r="R108" i="8" a="1"/>
  <c r="R97" i="8" a="1"/>
  <c r="R86" i="8" a="1"/>
  <c r="R74" i="8" a="1"/>
  <c r="R62" i="8" a="1"/>
  <c r="R20" i="8" a="1"/>
  <c r="R7" i="8" a="1"/>
  <c r="R54" i="8" a="1"/>
  <c r="R48" i="8" a="1"/>
  <c r="R42" i="8" a="1"/>
  <c r="R36" i="8" a="1"/>
  <c r="R30" i="8" a="1"/>
  <c r="R24" i="8" a="1"/>
  <c r="R18" i="8" a="1"/>
  <c r="R12" i="8" a="1"/>
  <c r="R6" i="8" a="1"/>
  <c r="R83" i="8" a="1"/>
  <c r="R77" i="8" a="1"/>
  <c r="R71" i="8" a="1"/>
  <c r="R65" i="8" a="1"/>
  <c r="R59" i="8" a="1"/>
  <c r="R53" i="8" a="1"/>
  <c r="R47" i="8" a="1"/>
  <c r="R41" i="8" a="1"/>
  <c r="R35" i="8" a="1"/>
  <c r="R29" i="8" a="1"/>
  <c r="R23" i="8" a="1"/>
  <c r="R17" i="8" a="1"/>
  <c r="R11" i="8" a="1"/>
  <c r="R5" i="8" a="1"/>
  <c r="R190" i="8" a="1"/>
  <c r="R184" i="8" a="1"/>
  <c r="R178" i="8" a="1"/>
  <c r="R172" i="8" a="1"/>
  <c r="R166" i="8" a="1"/>
  <c r="R160" i="8" a="1"/>
  <c r="R154" i="8" a="1"/>
  <c r="R148" i="8" a="1"/>
  <c r="R142" i="8" a="1"/>
  <c r="R136" i="8" a="1"/>
  <c r="R130" i="8" a="1"/>
  <c r="R124" i="8" a="1"/>
  <c r="R118" i="8" a="1"/>
  <c r="R112" i="8" a="1"/>
  <c r="R106" i="8" a="1"/>
  <c r="R100" i="8" a="1"/>
  <c r="R94" i="8" a="1"/>
  <c r="R88" i="8" a="1"/>
  <c r="R82" i="8" a="1"/>
  <c r="R76" i="8" a="1"/>
  <c r="R70" i="8" a="1"/>
  <c r="R64" i="8" a="1"/>
  <c r="R58" i="8" a="1"/>
  <c r="R52" i="8" a="1"/>
  <c r="R46" i="8" a="1"/>
  <c r="R40" i="8" a="1"/>
  <c r="R34" i="8" a="1"/>
  <c r="R28" i="8" a="1"/>
  <c r="R22" i="8" a="1"/>
  <c r="R16" i="8" a="1"/>
  <c r="R10" i="8" a="1"/>
  <c r="R4" i="8" a="1"/>
  <c r="R171" i="8" a="1"/>
  <c r="R165" i="8" a="1"/>
  <c r="R159" i="8" a="1"/>
  <c r="R153" i="8" a="1"/>
  <c r="R147" i="8" a="1"/>
  <c r="R141" i="8" a="1"/>
  <c r="R135" i="8" a="1"/>
  <c r="R129" i="8" a="1"/>
  <c r="R123" i="8" a="1"/>
  <c r="R117" i="8" a="1"/>
  <c r="R111" i="8" a="1"/>
  <c r="R105" i="8" a="1"/>
  <c r="R99" i="8" a="1"/>
  <c r="R93" i="8" a="1"/>
  <c r="R87" i="8" a="1"/>
  <c r="R81" i="8" a="1"/>
  <c r="R75" i="8" a="1"/>
  <c r="R69" i="8" a="1"/>
  <c r="R63" i="8" a="1"/>
  <c r="R57" i="8" a="1"/>
  <c r="R51" i="8" a="1"/>
  <c r="R45" i="8" a="1"/>
  <c r="R39" i="8" a="1"/>
  <c r="R33" i="8" a="1"/>
  <c r="R27" i="8" a="1"/>
  <c r="R21" i="8" a="1"/>
  <c r="R15" i="8" a="1"/>
  <c r="R9" i="8" a="1"/>
  <c r="R3" i="8" a="1"/>
  <c r="D12" i="6" a="1"/>
  <c r="D18" i="6" a="1"/>
  <c r="D6" i="6" a="1"/>
  <c r="D16" i="6" a="1"/>
  <c r="D7" i="6" a="1"/>
  <c r="D15" i="6" a="1"/>
  <c r="D19" i="6" a="1"/>
  <c r="D4" i="6" a="1"/>
  <c r="D5" i="6" a="1"/>
  <c r="D13" i="6" a="1"/>
  <c r="D14" i="6" a="1"/>
  <c r="D10" i="6" a="1"/>
  <c r="D2" i="6" a="1"/>
  <c r="D9" i="6" a="1"/>
  <c r="D11" i="6" a="1"/>
  <c r="D3" i="6" a="1"/>
  <c r="D8" i="6" a="1"/>
  <c r="D17" i="6" a="1"/>
  <c r="R3" i="8" l="1"/>
  <c r="S3" i="8" s="1"/>
  <c r="R9" i="8"/>
  <c r="S9" i="8" s="1"/>
  <c r="R15" i="8"/>
  <c r="S15" i="8" s="1"/>
  <c r="R21" i="8"/>
  <c r="S21" i="8" s="1"/>
  <c r="R27" i="8"/>
  <c r="S27" i="8" s="1"/>
  <c r="R33" i="8"/>
  <c r="S33" i="8" s="1"/>
  <c r="R39" i="8"/>
  <c r="S39" i="8" s="1"/>
  <c r="R45" i="8"/>
  <c r="S45" i="8" s="1"/>
  <c r="R51" i="8"/>
  <c r="S51" i="8" s="1"/>
  <c r="R57" i="8"/>
  <c r="S57" i="8" s="1"/>
  <c r="R63" i="8"/>
  <c r="S63" i="8" s="1"/>
  <c r="R69" i="8"/>
  <c r="S69" i="8" s="1"/>
  <c r="R75" i="8"/>
  <c r="S75" i="8" s="1"/>
  <c r="R81" i="8"/>
  <c r="S81" i="8" s="1"/>
  <c r="R87" i="8"/>
  <c r="S87" i="8" s="1"/>
  <c r="R93" i="8"/>
  <c r="S93" i="8" s="1"/>
  <c r="R99" i="8"/>
  <c r="S99" i="8" s="1"/>
  <c r="R105" i="8"/>
  <c r="S105" i="8" s="1"/>
  <c r="R111" i="8"/>
  <c r="S111" i="8" s="1"/>
  <c r="R117" i="8"/>
  <c r="S117" i="8" s="1"/>
  <c r="R123" i="8"/>
  <c r="S123" i="8" s="1"/>
  <c r="R129" i="8"/>
  <c r="S129" i="8" s="1"/>
  <c r="R135" i="8"/>
  <c r="S135" i="8" s="1"/>
  <c r="R141" i="8"/>
  <c r="S141" i="8" s="1"/>
  <c r="R147" i="8"/>
  <c r="S147" i="8" s="1"/>
  <c r="R153" i="8"/>
  <c r="S153" i="8" s="1"/>
  <c r="R159" i="8"/>
  <c r="S159" i="8" s="1"/>
  <c r="R165" i="8"/>
  <c r="S165" i="8" s="1"/>
  <c r="R171" i="8"/>
  <c r="S171" i="8" s="1"/>
  <c r="R4" i="8"/>
  <c r="S4" i="8" s="1"/>
  <c r="R10" i="8"/>
  <c r="S10" i="8" s="1"/>
  <c r="R16" i="8"/>
  <c r="S16" i="8" s="1"/>
  <c r="R22" i="8"/>
  <c r="S22" i="8" s="1"/>
  <c r="R28" i="8"/>
  <c r="S28" i="8" s="1"/>
  <c r="R34" i="8"/>
  <c r="S34" i="8" s="1"/>
  <c r="R40" i="8"/>
  <c r="S40" i="8" s="1"/>
  <c r="R46" i="8"/>
  <c r="S46" i="8" s="1"/>
  <c r="R52" i="8"/>
  <c r="S52" i="8" s="1"/>
  <c r="R58" i="8"/>
  <c r="S58" i="8" s="1"/>
  <c r="R64" i="8"/>
  <c r="S64" i="8" s="1"/>
  <c r="R70" i="8"/>
  <c r="S70" i="8" s="1"/>
  <c r="R76" i="8"/>
  <c r="S76" i="8" s="1"/>
  <c r="R82" i="8"/>
  <c r="S82" i="8" s="1"/>
  <c r="R88" i="8"/>
  <c r="S88" i="8" s="1"/>
  <c r="R94" i="8"/>
  <c r="S94" i="8" s="1"/>
  <c r="R100" i="8"/>
  <c r="S100" i="8" s="1"/>
  <c r="R106" i="8"/>
  <c r="S106" i="8" s="1"/>
  <c r="R112" i="8"/>
  <c r="S112" i="8" s="1"/>
  <c r="R118" i="8"/>
  <c r="S118" i="8" s="1"/>
  <c r="R124" i="8"/>
  <c r="S124" i="8" s="1"/>
  <c r="R130" i="8"/>
  <c r="S130" i="8" s="1"/>
  <c r="R136" i="8"/>
  <c r="S136" i="8" s="1"/>
  <c r="R142" i="8"/>
  <c r="S142" i="8" s="1"/>
  <c r="R148" i="8"/>
  <c r="S148" i="8" s="1"/>
  <c r="R154" i="8"/>
  <c r="S154" i="8" s="1"/>
  <c r="R160" i="8"/>
  <c r="S160" i="8" s="1"/>
  <c r="R166" i="8"/>
  <c r="S166" i="8" s="1"/>
  <c r="R172" i="8"/>
  <c r="S172" i="8" s="1"/>
  <c r="R178" i="8"/>
  <c r="S178" i="8" s="1"/>
  <c r="R184" i="8"/>
  <c r="S184" i="8" s="1"/>
  <c r="R190" i="8"/>
  <c r="S190" i="8" s="1"/>
  <c r="R5" i="8"/>
  <c r="S5" i="8" s="1"/>
  <c r="R11" i="8"/>
  <c r="S11" i="8" s="1"/>
  <c r="R17" i="8"/>
  <c r="S17" i="8" s="1"/>
  <c r="R23" i="8"/>
  <c r="S23" i="8" s="1"/>
  <c r="R29" i="8"/>
  <c r="S29" i="8" s="1"/>
  <c r="R35" i="8"/>
  <c r="S35" i="8" s="1"/>
  <c r="R41" i="8"/>
  <c r="S41" i="8" s="1"/>
  <c r="R47" i="8"/>
  <c r="S47" i="8" s="1"/>
  <c r="R53" i="8"/>
  <c r="S53" i="8" s="1"/>
  <c r="R59" i="8"/>
  <c r="S59" i="8" s="1"/>
  <c r="R65" i="8"/>
  <c r="S65" i="8" s="1"/>
  <c r="R71" i="8"/>
  <c r="S71" i="8" s="1"/>
  <c r="R77" i="8"/>
  <c r="S77" i="8" s="1"/>
  <c r="R83" i="8"/>
  <c r="S83" i="8" s="1"/>
  <c r="R6" i="8"/>
  <c r="S6" i="8" s="1"/>
  <c r="R12" i="8"/>
  <c r="S12" i="8" s="1"/>
  <c r="R18" i="8"/>
  <c r="S18" i="8" s="1"/>
  <c r="R24" i="8"/>
  <c r="S24" i="8" s="1"/>
  <c r="R30" i="8"/>
  <c r="S30" i="8" s="1"/>
  <c r="R36" i="8"/>
  <c r="S36" i="8" s="1"/>
  <c r="R42" i="8"/>
  <c r="S42" i="8" s="1"/>
  <c r="R48" i="8"/>
  <c r="S48" i="8" s="1"/>
  <c r="R54" i="8"/>
  <c r="S54" i="8" s="1"/>
  <c r="R7" i="8"/>
  <c r="S7" i="8" s="1"/>
  <c r="R20" i="8"/>
  <c r="S20" i="8" s="1"/>
  <c r="R62" i="8"/>
  <c r="S62" i="8" s="1"/>
  <c r="R74" i="8"/>
  <c r="S74" i="8" s="1"/>
  <c r="R86" i="8"/>
  <c r="S86" i="8" s="1"/>
  <c r="R97" i="8"/>
  <c r="S97" i="8" s="1"/>
  <c r="R108" i="8"/>
  <c r="S108" i="8" s="1"/>
  <c r="R149" i="8"/>
  <c r="S149" i="8" s="1"/>
  <c r="R158" i="8"/>
  <c r="S158" i="8" s="1"/>
  <c r="R169" i="8"/>
  <c r="S169" i="8" s="1"/>
  <c r="R265" i="8"/>
  <c r="S265" i="8" s="1"/>
  <c r="R37" i="8"/>
  <c r="S37" i="8" s="1"/>
  <c r="R50" i="8"/>
  <c r="S50" i="8" s="1"/>
  <c r="R119" i="8"/>
  <c r="S119" i="8" s="1"/>
  <c r="R128" i="8"/>
  <c r="S128" i="8" s="1"/>
  <c r="R139" i="8"/>
  <c r="S139" i="8" s="1"/>
  <c r="R150" i="8"/>
  <c r="S150" i="8" s="1"/>
  <c r="R180" i="8"/>
  <c r="S180" i="8" s="1"/>
  <c r="R188" i="8"/>
  <c r="S188" i="8" s="1"/>
  <c r="R197" i="8"/>
  <c r="S197" i="8" s="1"/>
  <c r="R205" i="8"/>
  <c r="S205" i="8" s="1"/>
  <c r="R221" i="8"/>
  <c r="S221" i="8" s="1"/>
  <c r="R229" i="8"/>
  <c r="S229" i="8" s="1"/>
  <c r="R245" i="8"/>
  <c r="S245" i="8" s="1"/>
  <c r="R253" i="8"/>
  <c r="S253" i="8" s="1"/>
  <c r="R269" i="8"/>
  <c r="S269" i="8" s="1"/>
  <c r="R277" i="8"/>
  <c r="S277" i="8" s="1"/>
  <c r="R293" i="8"/>
  <c r="S293" i="8" s="1"/>
  <c r="R301" i="8"/>
  <c r="S301" i="8" s="1"/>
  <c r="R317" i="8"/>
  <c r="S317" i="8" s="1"/>
  <c r="R325" i="8"/>
  <c r="S325" i="8" s="1"/>
  <c r="R341" i="8"/>
  <c r="S341" i="8" s="1"/>
  <c r="R213" i="8"/>
  <c r="S213" i="8" s="1"/>
  <c r="R246" i="8"/>
  <c r="S246" i="8" s="1"/>
  <c r="R261" i="8"/>
  <c r="S261" i="8" s="1"/>
  <c r="R285" i="8"/>
  <c r="S285" i="8" s="1"/>
  <c r="R309" i="8"/>
  <c r="S309" i="8" s="1"/>
  <c r="R333" i="8"/>
  <c r="S333" i="8" s="1"/>
  <c r="R279" i="8"/>
  <c r="S279" i="8" s="1"/>
  <c r="R328" i="8"/>
  <c r="S328" i="8" s="1"/>
  <c r="R281" i="8"/>
  <c r="S281" i="8" s="1"/>
  <c r="R8" i="8"/>
  <c r="S8" i="8" s="1"/>
  <c r="R66" i="8"/>
  <c r="S66" i="8" s="1"/>
  <c r="R78" i="8"/>
  <c r="S78" i="8" s="1"/>
  <c r="R89" i="8"/>
  <c r="S89" i="8" s="1"/>
  <c r="R98" i="8"/>
  <c r="S98" i="8" s="1"/>
  <c r="R109" i="8"/>
  <c r="S109" i="8" s="1"/>
  <c r="R120" i="8"/>
  <c r="S120" i="8" s="1"/>
  <c r="R161" i="8"/>
  <c r="S161" i="8" s="1"/>
  <c r="R170" i="8"/>
  <c r="S170" i="8" s="1"/>
  <c r="R198" i="8"/>
  <c r="S198" i="8" s="1"/>
  <c r="R222" i="8"/>
  <c r="S222" i="8" s="1"/>
  <c r="R237" i="8"/>
  <c r="S237" i="8" s="1"/>
  <c r="R270" i="8"/>
  <c r="S270" i="8" s="1"/>
  <c r="R294" i="8"/>
  <c r="S294" i="8" s="1"/>
  <c r="R318" i="8"/>
  <c r="S318" i="8" s="1"/>
  <c r="R342" i="8"/>
  <c r="S342" i="8" s="1"/>
  <c r="R312" i="8"/>
  <c r="S312" i="8" s="1"/>
  <c r="R320" i="8"/>
  <c r="S320" i="8" s="1"/>
  <c r="R337" i="8"/>
  <c r="S337" i="8" s="1"/>
  <c r="R25" i="8"/>
  <c r="S25" i="8" s="1"/>
  <c r="R38" i="8"/>
  <c r="S38" i="8" s="1"/>
  <c r="R90" i="8"/>
  <c r="S90" i="8" s="1"/>
  <c r="R131" i="8"/>
  <c r="S131" i="8" s="1"/>
  <c r="R140" i="8"/>
  <c r="S140" i="8" s="1"/>
  <c r="R151" i="8"/>
  <c r="S151" i="8" s="1"/>
  <c r="R162" i="8"/>
  <c r="S162" i="8" s="1"/>
  <c r="R181" i="8"/>
  <c r="S181" i="8" s="1"/>
  <c r="R189" i="8"/>
  <c r="S189" i="8" s="1"/>
  <c r="R206" i="8"/>
  <c r="S206" i="8" s="1"/>
  <c r="R214" i="8"/>
  <c r="S214" i="8" s="1"/>
  <c r="R230" i="8"/>
  <c r="S230" i="8" s="1"/>
  <c r="R238" i="8"/>
  <c r="S238" i="8" s="1"/>
  <c r="R254" i="8"/>
  <c r="S254" i="8" s="1"/>
  <c r="R262" i="8"/>
  <c r="S262" i="8" s="1"/>
  <c r="R278" i="8"/>
  <c r="S278" i="8" s="1"/>
  <c r="R286" i="8"/>
  <c r="S286" i="8" s="1"/>
  <c r="R302" i="8"/>
  <c r="S302" i="8" s="1"/>
  <c r="R310" i="8"/>
  <c r="S310" i="8" s="1"/>
  <c r="R326" i="8"/>
  <c r="S326" i="8" s="1"/>
  <c r="R334" i="8"/>
  <c r="S334" i="8" s="1"/>
  <c r="R303" i="8"/>
  <c r="S303" i="8" s="1"/>
  <c r="R327" i="8"/>
  <c r="S327" i="8" s="1"/>
  <c r="R304" i="8"/>
  <c r="S304" i="8" s="1"/>
  <c r="R55" i="8"/>
  <c r="S55" i="8" s="1"/>
  <c r="R67" i="8"/>
  <c r="S67" i="8" s="1"/>
  <c r="R79" i="8"/>
  <c r="S79" i="8" s="1"/>
  <c r="R101" i="8"/>
  <c r="S101" i="8" s="1"/>
  <c r="R110" i="8"/>
  <c r="S110" i="8" s="1"/>
  <c r="R121" i="8"/>
  <c r="S121" i="8" s="1"/>
  <c r="R132" i="8"/>
  <c r="S132" i="8" s="1"/>
  <c r="R173" i="8"/>
  <c r="S173" i="8" s="1"/>
  <c r="R191" i="8"/>
  <c r="S191" i="8" s="1"/>
  <c r="R199" i="8"/>
  <c r="S199" i="8" s="1"/>
  <c r="R215" i="8"/>
  <c r="S215" i="8" s="1"/>
  <c r="R223" i="8"/>
  <c r="S223" i="8" s="1"/>
  <c r="R239" i="8"/>
  <c r="S239" i="8" s="1"/>
  <c r="R247" i="8"/>
  <c r="S247" i="8" s="1"/>
  <c r="R263" i="8"/>
  <c r="S263" i="8" s="1"/>
  <c r="R271" i="8"/>
  <c r="S271" i="8" s="1"/>
  <c r="R287" i="8"/>
  <c r="S287" i="8" s="1"/>
  <c r="R295" i="8"/>
  <c r="S295" i="8" s="1"/>
  <c r="R311" i="8"/>
  <c r="S311" i="8" s="1"/>
  <c r="R319" i="8"/>
  <c r="S319" i="8" s="1"/>
  <c r="R335" i="8"/>
  <c r="S335" i="8" s="1"/>
  <c r="R343" i="8"/>
  <c r="S343" i="8" s="1"/>
  <c r="R288" i="8"/>
  <c r="S288" i="8" s="1"/>
  <c r="R336" i="8"/>
  <c r="S336" i="8" s="1"/>
  <c r="R296" i="8"/>
  <c r="S296" i="8" s="1"/>
  <c r="R313" i="8"/>
  <c r="S313" i="8" s="1"/>
  <c r="R13" i="8"/>
  <c r="S13" i="8" s="1"/>
  <c r="R26" i="8"/>
  <c r="S26" i="8" s="1"/>
  <c r="R91" i="8"/>
  <c r="S91" i="8" s="1"/>
  <c r="R102" i="8"/>
  <c r="S102" i="8" s="1"/>
  <c r="R143" i="8"/>
  <c r="S143" i="8" s="1"/>
  <c r="R152" i="8"/>
  <c r="S152" i="8" s="1"/>
  <c r="R163" i="8"/>
  <c r="S163" i="8" s="1"/>
  <c r="R174" i="8"/>
  <c r="S174" i="8" s="1"/>
  <c r="R182" i="8"/>
  <c r="S182" i="8" s="1"/>
  <c r="R192" i="8"/>
  <c r="S192" i="8" s="1"/>
  <c r="R207" i="8"/>
  <c r="S207" i="8" s="1"/>
  <c r="R216" i="8"/>
  <c r="S216" i="8" s="1"/>
  <c r="R231" i="8"/>
  <c r="S231" i="8" s="1"/>
  <c r="R240" i="8"/>
  <c r="S240" i="8" s="1"/>
  <c r="R255" i="8"/>
  <c r="S255" i="8" s="1"/>
  <c r="R264" i="8"/>
  <c r="S264" i="8" s="1"/>
  <c r="R344" i="8"/>
  <c r="S344" i="8" s="1"/>
  <c r="R305" i="8"/>
  <c r="S305" i="8" s="1"/>
  <c r="R43" i="8"/>
  <c r="S43" i="8" s="1"/>
  <c r="R56" i="8"/>
  <c r="S56" i="8" s="1"/>
  <c r="R68" i="8"/>
  <c r="S68" i="8" s="1"/>
  <c r="R80" i="8"/>
  <c r="S80" i="8" s="1"/>
  <c r="R113" i="8"/>
  <c r="S113" i="8" s="1"/>
  <c r="R122" i="8"/>
  <c r="S122" i="8" s="1"/>
  <c r="R133" i="8"/>
  <c r="S133" i="8" s="1"/>
  <c r="R144" i="8"/>
  <c r="S144" i="8" s="1"/>
  <c r="R200" i="8"/>
  <c r="S200" i="8" s="1"/>
  <c r="R208" i="8"/>
  <c r="S208" i="8" s="1"/>
  <c r="R224" i="8"/>
  <c r="S224" i="8" s="1"/>
  <c r="R232" i="8"/>
  <c r="S232" i="8" s="1"/>
  <c r="R248" i="8"/>
  <c r="S248" i="8" s="1"/>
  <c r="R256" i="8"/>
  <c r="S256" i="8" s="1"/>
  <c r="R272" i="8"/>
  <c r="S272" i="8" s="1"/>
  <c r="R280" i="8"/>
  <c r="S280" i="8" s="1"/>
  <c r="R14" i="8"/>
  <c r="S14" i="8" s="1"/>
  <c r="R92" i="8"/>
  <c r="S92" i="8" s="1"/>
  <c r="R103" i="8"/>
  <c r="S103" i="8" s="1"/>
  <c r="R114" i="8"/>
  <c r="S114" i="8" s="1"/>
  <c r="R155" i="8"/>
  <c r="S155" i="8" s="1"/>
  <c r="R164" i="8"/>
  <c r="S164" i="8" s="1"/>
  <c r="R175" i="8"/>
  <c r="S175" i="8" s="1"/>
  <c r="R183" i="8"/>
  <c r="S183" i="8" s="1"/>
  <c r="R193" i="8"/>
  <c r="S193" i="8" s="1"/>
  <c r="R209" i="8"/>
  <c r="S209" i="8" s="1"/>
  <c r="R217" i="8"/>
  <c r="S217" i="8" s="1"/>
  <c r="R233" i="8"/>
  <c r="S233" i="8" s="1"/>
  <c r="R241" i="8"/>
  <c r="S241" i="8" s="1"/>
  <c r="R257" i="8"/>
  <c r="S257" i="8" s="1"/>
  <c r="R31" i="8"/>
  <c r="S31" i="8" s="1"/>
  <c r="R44" i="8"/>
  <c r="S44" i="8" s="1"/>
  <c r="R60" i="8"/>
  <c r="S60" i="8" s="1"/>
  <c r="R72" i="8"/>
  <c r="S72" i="8" s="1"/>
  <c r="R84" i="8"/>
  <c r="S84" i="8" s="1"/>
  <c r="R125" i="8"/>
  <c r="S125" i="8" s="1"/>
  <c r="R134" i="8"/>
  <c r="S134" i="8" s="1"/>
  <c r="R145" i="8"/>
  <c r="S145" i="8" s="1"/>
  <c r="R156" i="8"/>
  <c r="S156" i="8" s="1"/>
  <c r="R185" i="8"/>
  <c r="S185" i="8" s="1"/>
  <c r="R201" i="8"/>
  <c r="S201" i="8" s="1"/>
  <c r="R210" i="8"/>
  <c r="S210" i="8" s="1"/>
  <c r="R225" i="8"/>
  <c r="S225" i="8" s="1"/>
  <c r="R234" i="8"/>
  <c r="S234" i="8" s="1"/>
  <c r="R249" i="8"/>
  <c r="S249" i="8" s="1"/>
  <c r="R258" i="8"/>
  <c r="S258" i="8" s="1"/>
  <c r="R273" i="8"/>
  <c r="S273" i="8" s="1"/>
  <c r="R282" i="8"/>
  <c r="S282" i="8" s="1"/>
  <c r="R297" i="8"/>
  <c r="S297" i="8" s="1"/>
  <c r="R306" i="8"/>
  <c r="S306" i="8" s="1"/>
  <c r="R321" i="8"/>
  <c r="S321" i="8" s="1"/>
  <c r="R330" i="8"/>
  <c r="S330" i="8" s="1"/>
  <c r="R126" i="8"/>
  <c r="S126" i="8" s="1"/>
  <c r="R167" i="8"/>
  <c r="S167" i="8" s="1"/>
  <c r="R176" i="8"/>
  <c r="S176" i="8" s="1"/>
  <c r="R186" i="8"/>
  <c r="S186" i="8" s="1"/>
  <c r="R194" i="8"/>
  <c r="S194" i="8" s="1"/>
  <c r="R202" i="8"/>
  <c r="S202" i="8" s="1"/>
  <c r="R218" i="8"/>
  <c r="S218" i="8" s="1"/>
  <c r="R226" i="8"/>
  <c r="S226" i="8" s="1"/>
  <c r="R242" i="8"/>
  <c r="S242" i="8" s="1"/>
  <c r="R250" i="8"/>
  <c r="S250" i="8" s="1"/>
  <c r="R266" i="8"/>
  <c r="S266" i="8" s="1"/>
  <c r="R274" i="8"/>
  <c r="S274" i="8" s="1"/>
  <c r="R290" i="8"/>
  <c r="S290" i="8" s="1"/>
  <c r="R298" i="8"/>
  <c r="S298" i="8" s="1"/>
  <c r="R314" i="8"/>
  <c r="S314" i="8" s="1"/>
  <c r="R95" i="8"/>
  <c r="S95" i="8" s="1"/>
  <c r="R104" i="8"/>
  <c r="S104" i="8" s="1"/>
  <c r="R115" i="8"/>
  <c r="S115" i="8" s="1"/>
  <c r="R19" i="8"/>
  <c r="S19" i="8" s="1"/>
  <c r="R32" i="8"/>
  <c r="S32" i="8" s="1"/>
  <c r="R61" i="8"/>
  <c r="S61" i="8" s="1"/>
  <c r="R73" i="8"/>
  <c r="S73" i="8" s="1"/>
  <c r="R85" i="8"/>
  <c r="S85" i="8" s="1"/>
  <c r="R96" i="8"/>
  <c r="S96" i="8" s="1"/>
  <c r="R137" i="8"/>
  <c r="S137" i="8" s="1"/>
  <c r="R146" i="8"/>
  <c r="S146" i="8" s="1"/>
  <c r="R157" i="8"/>
  <c r="S157" i="8" s="1"/>
  <c r="R168" i="8"/>
  <c r="S168" i="8" s="1"/>
  <c r="R203" i="8"/>
  <c r="S203" i="8" s="1"/>
  <c r="R211" i="8"/>
  <c r="S211" i="8" s="1"/>
  <c r="R227" i="8"/>
  <c r="S227" i="8" s="1"/>
  <c r="R235" i="8"/>
  <c r="S235" i="8" s="1"/>
  <c r="R251" i="8"/>
  <c r="S251" i="8" s="1"/>
  <c r="R259" i="8"/>
  <c r="S259" i="8" s="1"/>
  <c r="R275" i="8"/>
  <c r="S275" i="8" s="1"/>
  <c r="R283" i="8"/>
  <c r="S283" i="8" s="1"/>
  <c r="R299" i="8"/>
  <c r="S299" i="8" s="1"/>
  <c r="R307" i="8"/>
  <c r="S307" i="8" s="1"/>
  <c r="R323" i="8"/>
  <c r="S323" i="8" s="1"/>
  <c r="R331" i="8"/>
  <c r="S331" i="8" s="1"/>
  <c r="R220" i="8"/>
  <c r="S220" i="8" s="1"/>
  <c r="R260" i="8"/>
  <c r="S260" i="8" s="1"/>
  <c r="R284" i="8"/>
  <c r="S284" i="8" s="1"/>
  <c r="R316" i="8"/>
  <c r="S316" i="8" s="1"/>
  <c r="R329" i="8"/>
  <c r="S329" i="8" s="1"/>
  <c r="R49" i="8"/>
  <c r="S49" i="8" s="1"/>
  <c r="R107" i="8"/>
  <c r="S107" i="8" s="1"/>
  <c r="R116" i="8"/>
  <c r="S116" i="8" s="1"/>
  <c r="R127" i="8"/>
  <c r="S127" i="8" s="1"/>
  <c r="R138" i="8"/>
  <c r="S138" i="8" s="1"/>
  <c r="R177" i="8"/>
  <c r="S177" i="8" s="1"/>
  <c r="R187" i="8"/>
  <c r="S187" i="8" s="1"/>
  <c r="R195" i="8"/>
  <c r="S195" i="8" s="1"/>
  <c r="R204" i="8"/>
  <c r="S204" i="8" s="1"/>
  <c r="R219" i="8"/>
  <c r="S219" i="8" s="1"/>
  <c r="R228" i="8"/>
  <c r="S228" i="8" s="1"/>
  <c r="R243" i="8"/>
  <c r="S243" i="8" s="1"/>
  <c r="R252" i="8"/>
  <c r="S252" i="8" s="1"/>
  <c r="R267" i="8"/>
  <c r="S267" i="8" s="1"/>
  <c r="R276" i="8"/>
  <c r="S276" i="8" s="1"/>
  <c r="R291" i="8"/>
  <c r="S291" i="8" s="1"/>
  <c r="R300" i="8"/>
  <c r="S300" i="8" s="1"/>
  <c r="R315" i="8"/>
  <c r="S315" i="8" s="1"/>
  <c r="R324" i="8"/>
  <c r="S324" i="8" s="1"/>
  <c r="R339" i="8"/>
  <c r="S339" i="8" s="1"/>
  <c r="R179" i="8"/>
  <c r="S179" i="8" s="1"/>
  <c r="R196" i="8"/>
  <c r="S196" i="8" s="1"/>
  <c r="R212" i="8"/>
  <c r="S212" i="8" s="1"/>
  <c r="R236" i="8"/>
  <c r="S236" i="8" s="1"/>
  <c r="R244" i="8"/>
  <c r="S244" i="8" s="1"/>
  <c r="R268" i="8"/>
  <c r="S268" i="8" s="1"/>
  <c r="R292" i="8"/>
  <c r="S292" i="8" s="1"/>
  <c r="R308" i="8"/>
  <c r="S308" i="8" s="1"/>
  <c r="R332" i="8"/>
  <c r="S332" i="8" s="1"/>
  <c r="R340" i="8"/>
  <c r="S340" i="8" s="1"/>
  <c r="R289" i="8"/>
  <c r="S289" i="8" s="1"/>
  <c r="R322" i="8"/>
  <c r="S322" i="8" s="1"/>
  <c r="R338" i="8"/>
  <c r="S338" i="8" s="1"/>
  <c r="D19" i="6"/>
  <c r="D18" i="6"/>
  <c r="D17" i="6"/>
  <c r="D16" i="6"/>
  <c r="D3" i="6"/>
  <c r="D9" i="6"/>
  <c r="D15" i="6"/>
  <c r="D4" i="6"/>
  <c r="D10" i="6"/>
  <c r="D5" i="6"/>
  <c r="D11" i="6"/>
  <c r="D6" i="6"/>
  <c r="D12" i="6"/>
  <c r="D7" i="6"/>
  <c r="D13" i="6"/>
  <c r="D8" i="6"/>
  <c r="D14" i="6"/>
  <c r="D2" i="6"/>
  <c r="F9" i="6" a="1"/>
  <c r="F15" i="6" a="1"/>
  <c r="F2" i="6" a="1"/>
  <c r="F14" i="6" a="1"/>
  <c r="F8" i="6" a="1"/>
  <c r="F17" i="6" a="1"/>
  <c r="F12" i="6" a="1"/>
  <c r="F13" i="6" a="1"/>
  <c r="F6" i="6" a="1"/>
  <c r="F7" i="6" a="1"/>
  <c r="F16" i="6" a="1"/>
  <c r="F18" i="6" a="1"/>
  <c r="F3" i="6" a="1"/>
  <c r="F4" i="6" a="1"/>
  <c r="F11" i="6" a="1"/>
  <c r="F10" i="6" a="1"/>
  <c r="F5" i="6" a="1"/>
  <c r="F19" i="6" a="1"/>
  <c r="F19" i="6" l="1"/>
  <c r="E19" i="6"/>
  <c r="F18" i="6"/>
  <c r="E18" i="6"/>
  <c r="F17" i="6"/>
  <c r="E17" i="6"/>
  <c r="F16" i="6"/>
  <c r="E16" i="6"/>
  <c r="H6" i="4"/>
  <c r="E6" i="4"/>
  <c r="G6" i="4"/>
  <c r="C6" i="4"/>
  <c r="F6" i="4"/>
  <c r="D6" i="4"/>
  <c r="I6" i="4"/>
  <c r="K6" i="4" s="1"/>
  <c r="I7" i="4"/>
  <c r="K7" i="4" s="1"/>
  <c r="H7" i="4"/>
  <c r="G7" i="4"/>
  <c r="C7" i="4"/>
  <c r="F7" i="4"/>
  <c r="E7" i="4"/>
  <c r="D7" i="4"/>
  <c r="F5" i="4"/>
  <c r="C5" i="4"/>
  <c r="E5" i="4"/>
  <c r="I5" i="4"/>
  <c r="K5" i="4" s="1"/>
  <c r="D5" i="4"/>
  <c r="G5" i="4"/>
  <c r="H5" i="4"/>
  <c r="C8" i="4"/>
  <c r="I8" i="4"/>
  <c r="K8" i="4" s="1"/>
  <c r="H8" i="4"/>
  <c r="G8" i="4"/>
  <c r="F8" i="4"/>
  <c r="E8" i="4"/>
  <c r="D8" i="4"/>
  <c r="F8" i="6"/>
  <c r="F13" i="6"/>
  <c r="F7" i="6"/>
  <c r="F11" i="6"/>
  <c r="F6" i="6"/>
  <c r="F10" i="6"/>
  <c r="F5" i="6"/>
  <c r="F4" i="6"/>
  <c r="F15" i="6"/>
  <c r="F9" i="6"/>
  <c r="F12" i="6"/>
  <c r="F14" i="6"/>
  <c r="F3" i="6"/>
  <c r="E8" i="6"/>
  <c r="E13" i="6"/>
  <c r="E7" i="6"/>
  <c r="E11" i="6"/>
  <c r="E6" i="6"/>
  <c r="E10" i="6"/>
  <c r="E5" i="6"/>
  <c r="E4" i="6"/>
  <c r="E15" i="6"/>
  <c r="E9" i="6"/>
  <c r="E12" i="6"/>
  <c r="E14" i="6"/>
  <c r="E3" i="6"/>
  <c r="F4" i="4"/>
  <c r="F2" i="6"/>
  <c r="I4" i="4"/>
  <c r="K4" i="4" s="1"/>
  <c r="G4" i="4"/>
  <c r="E4" i="4"/>
  <c r="C4" i="4"/>
  <c r="D4" i="4"/>
  <c r="H4" i="4"/>
  <c r="E2" i="6"/>
  <c r="G14" i="6" a="1"/>
  <c r="G4" i="6" a="1"/>
  <c r="G9" i="6" a="1"/>
  <c r="G19" i="6" a="1"/>
  <c r="G18" i="6" a="1"/>
  <c r="G7" i="6" a="1"/>
  <c r="G12" i="6" a="1"/>
  <c r="G10" i="6" a="1"/>
  <c r="G13" i="6" a="1"/>
  <c r="G2" i="6" a="1"/>
  <c r="G5" i="6" a="1"/>
  <c r="G8" i="6" a="1"/>
  <c r="G3" i="6" a="1"/>
  <c r="G17" i="6" a="1"/>
  <c r="G15" i="6" a="1"/>
  <c r="G11" i="6" a="1"/>
  <c r="G6" i="6" a="1"/>
  <c r="G16" i="6" a="1"/>
  <c r="G19" i="6" l="1"/>
  <c r="G18" i="6"/>
  <c r="G17" i="6"/>
  <c r="G16" i="6"/>
  <c r="J8" i="4"/>
  <c r="L8" i="4" s="1"/>
  <c r="J7" i="4"/>
  <c r="L7" i="4" s="1"/>
  <c r="J6" i="4"/>
  <c r="L6" i="4" s="1"/>
  <c r="J5" i="4"/>
  <c r="L5" i="4" s="1"/>
  <c r="G14" i="6"/>
  <c r="G12" i="6"/>
  <c r="G9" i="6"/>
  <c r="G15" i="6"/>
  <c r="G4" i="6"/>
  <c r="G5" i="6"/>
  <c r="G10" i="6"/>
  <c r="G6" i="6"/>
  <c r="G7" i="6"/>
  <c r="G11" i="6"/>
  <c r="G13" i="6"/>
  <c r="G3" i="6"/>
  <c r="G8" i="6"/>
  <c r="D1" i="4"/>
  <c r="G1" i="4"/>
  <c r="H1" i="4"/>
  <c r="G2" i="6"/>
  <c r="I1" i="4"/>
  <c r="C1" i="4"/>
  <c r="F1" i="4"/>
  <c r="J4" i="4"/>
  <c r="L4" i="4" s="1"/>
  <c r="J1" i="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4422A1F-FDC2-404F-B028-11E8670B8AD0}" keepAlive="1" name="Query - Proc" description="Connection to the 'Proc' query in the workbook." type="5" refreshedVersion="8" background="1" saveData="1">
    <dbPr connection="Provider=Microsoft.Mashup.OleDb.1;Data Source=$Workbook$;Location=Proc;Extended Properties=&quot;&quot;" command="SELECT * FROM [Proc]"/>
  </connection>
  <connection id="2" xr16:uid="{1F8A5FFD-18CA-48FF-AEA0-B9360F273E19}" keepAlive="1" name="Query - Proc (2)" description="Connection to the 'Proc (2)' query in the workbook." type="5" refreshedVersion="8" background="1" saveData="1">
    <dbPr connection="Provider=Microsoft.Mashup.OleDb.1;Data Source=$Workbook$;Location=&quot;Proc (2)&quot;;Extended Properties=&quot;&quot;" command="SELECT * FROM [Proc (2)]"/>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<sst xmlns="http://schemas.openxmlformats.org/spreadsheetml/2006/main" count="4308" uniqueCount="972">
  <si>
    <t>TM1</t>
  </si>
  <si>
    <t>Requested</t>
  </si>
  <si>
    <t>Ticket</t>
  </si>
  <si>
    <t>CO</t>
  </si>
  <si>
    <t>Row Labels</t>
  </si>
  <si>
    <t>Level 1</t>
  </si>
  <si>
    <t>Level 2</t>
  </si>
  <si>
    <t>App</t>
  </si>
  <si>
    <t>Filter</t>
  </si>
  <si>
    <t>Status</t>
  </si>
  <si>
    <t>Obj</t>
  </si>
  <si>
    <t>CurrentParent</t>
  </si>
  <si>
    <t>type</t>
  </si>
  <si>
    <t>LFF_ID</t>
  </si>
  <si>
    <t>Analysis</t>
  </si>
  <si>
    <t>Sector</t>
  </si>
  <si>
    <t>Forecast</t>
  </si>
  <si>
    <t>DateOpened</t>
  </si>
  <si>
    <t>DateMapped</t>
  </si>
  <si>
    <t>DateClosed</t>
  </si>
  <si>
    <t>Delayed?</t>
  </si>
  <si>
    <t>DaysAgeing</t>
  </si>
  <si>
    <t>Author</t>
  </si>
  <si>
    <t>RESOLVED?</t>
  </si>
  <si>
    <t>If request is pending for replication:</t>
  </si>
  <si>
    <t>If request has been successfully mapped:</t>
  </si>
  <si>
    <t>Object has been successfully mapped.</t>
  </si>
  <si>
    <t>If request is not related to GCOH Mapping</t>
  </si>
  <si>
    <t>** If Vendor, T&amp;E or AP Related = Procure4You</t>
  </si>
  <si>
    <t>** If other Cost Object changes aside from mapping = Master Data Team</t>
  </si>
  <si>
    <t>** If Cost Center creation = K2 Workflow</t>
  </si>
  <si>
    <t>** Always advise and explain if some objects are not valid for mapping.</t>
  </si>
  <si>
    <t>MGF</t>
  </si>
  <si>
    <t>Waiting for MDGF approval</t>
  </si>
  <si>
    <t>Waiting for Tm1 Replication</t>
  </si>
  <si>
    <t>MAPPED</t>
  </si>
  <si>
    <t>Overall Status</t>
  </si>
  <si>
    <t>If some items are not valid for mapping. Input it in Comments in F4U and list the items then ask if it's okay to resolved since our part to map was already performed.</t>
  </si>
  <si>
    <t>(count of requested objects) objects have been successfully mapped.</t>
  </si>
  <si>
    <t>If request consist of only one line item.</t>
  </si>
  <si>
    <t>If request consist of many line items, include the count:</t>
  </si>
  <si>
    <t>New</t>
  </si>
  <si>
    <t>LFF Checking:</t>
  </si>
  <si>
    <t>1.)</t>
  </si>
  <si>
    <t>2.)</t>
  </si>
  <si>
    <t>3.) Just click next….</t>
  </si>
  <si>
    <t>Cancelled</t>
  </si>
  <si>
    <t>Not for mapping/Invalid</t>
  </si>
  <si>
    <t>Reactivation Date</t>
  </si>
  <si>
    <t>(All)</t>
  </si>
  <si>
    <t>Average of DaysAgeing</t>
  </si>
  <si>
    <t>Column Labels</t>
  </si>
  <si>
    <t>If request is related to Structure Maintenance (to be assigned to Pierre)</t>
  </si>
  <si>
    <t>Acknowledging request. Setting it to 'Pending Target Date'.</t>
  </si>
  <si>
    <t>ADHOC:  Life Science Cost Object GCOH Mapping</t>
  </si>
  <si>
    <t>Roland Earvin Combalicer</t>
  </si>
  <si>
    <t>ADHOC:  Healthcare Cost Object GCOH Mapping</t>
  </si>
  <si>
    <t>ADHOC:  Electronics Cost Object GCOH Mapping</t>
  </si>
  <si>
    <t>ADHOC:  MGF Cost Object GCOH Mapping</t>
  </si>
  <si>
    <t>LS</t>
  </si>
  <si>
    <t>HC</t>
  </si>
  <si>
    <t>EL</t>
  </si>
  <si>
    <t>Ticket assignment</t>
  </si>
  <si>
    <t>Mapping Validation</t>
  </si>
  <si>
    <t>Ticket resolved</t>
  </si>
  <si>
    <t>Resolution Comments</t>
  </si>
  <si>
    <t>Total Count of Resolved Objects</t>
  </si>
  <si>
    <t>LFF Format</t>
  </si>
  <si>
    <t>Match?</t>
  </si>
  <si>
    <t>VMCA</t>
  </si>
  <si>
    <t>Accesses needed for GCOH</t>
  </si>
  <si>
    <t>PCM Data Steward - Signed MDGF Access form to be sent to Donna Barrameda/Leslie Manalo</t>
  </si>
  <si>
    <t>PCB Approver access - K2 &gt; Actuals Finance Reporting &gt; Special Authorizations &gt; MC4F - Mapping Cockpit Hierarchy Approver</t>
  </si>
  <si>
    <t>Mcloud - K2 &gt; Actuals Finance Reporting &gt; Reporting Apps &gt; Single Reporting &gt; CDR &gt; by GCOH</t>
  </si>
  <si>
    <t>MDGF &gt; Insert Cost Center Unassigned</t>
  </si>
  <si>
    <t>Thank you for reaching out. It appears that your request is not related to GCOH Mapping nor Structure Maintenance. Please note that we only handle requests specifically related to GCOH Mapping and Structure Maintenance. For assistance with your request, kindly contact/raise &lt;&gt;. We will resolve this ticket and advise you not to re-open the ticket once it's resolved, as it will affect our KPI. Thank you for understanding.</t>
  </si>
  <si>
    <t>LEAN_T000029CH6501000</t>
  </si>
  <si>
    <t>LEAN_T000011DE5001000</t>
  </si>
  <si>
    <t>LEAN_T000013DE5001000</t>
  </si>
  <si>
    <t>LEAN_T000014DE5001000</t>
  </si>
  <si>
    <t>LEAN_T000015DE5001000</t>
  </si>
  <si>
    <t>LEAN_T000017DE5001000</t>
  </si>
  <si>
    <t>LEAN_T000023IT5001000</t>
  </si>
  <si>
    <t>LEAN_T000023IT5002000</t>
  </si>
  <si>
    <t>LEAN_T000023IT5003000</t>
  </si>
  <si>
    <t>LEAN_T000024IT5001000</t>
  </si>
  <si>
    <t>LEAN_T000024IT5002000</t>
  </si>
  <si>
    <t>LEAN_T000024IT5003000</t>
  </si>
  <si>
    <t>LEAN_T000024IT5004000</t>
  </si>
  <si>
    <t>LEAN_T000025IT5001000</t>
  </si>
  <si>
    <t>LEAN_T000025IT5002000</t>
  </si>
  <si>
    <t>LEAN_T000025IT5003000</t>
  </si>
  <si>
    <t>LEAN_T000025IT5004000</t>
  </si>
  <si>
    <t>LEAN_T000025IT5005000</t>
  </si>
  <si>
    <t>LEAN_T000025IT5006000</t>
  </si>
  <si>
    <t>LEAN_T000026IT5001000</t>
  </si>
  <si>
    <t>LEAN_T000026IT5002000</t>
  </si>
  <si>
    <t>LEAN_T000026IT5004000</t>
  </si>
  <si>
    <t>LEAN_T000027IT5001000</t>
  </si>
  <si>
    <t>LEAN_T000027IT5002000</t>
  </si>
  <si>
    <t>LEAN_T000027IT5003000</t>
  </si>
  <si>
    <t>LEAN_T000027IT5004000</t>
  </si>
  <si>
    <t>LEAN_T000028IT5001000</t>
  </si>
  <si>
    <t>LEAN_T000028IT5002000</t>
  </si>
  <si>
    <t>LEAN_T000028IT5003000</t>
  </si>
  <si>
    <t>LEAN_T000028IT5004000</t>
  </si>
  <si>
    <t>LEAN_T000028IT5005000</t>
  </si>
  <si>
    <t>LEAN_T000028IT5006000</t>
  </si>
  <si>
    <t>LEAN_T000028IT5007000</t>
  </si>
  <si>
    <t>LEAN_T000028IT5008000</t>
  </si>
  <si>
    <t>LEAN_T000028IT5009000</t>
  </si>
  <si>
    <t>LEAN_T000028IT5010000</t>
  </si>
  <si>
    <t>LEAN_T000029IT5001000</t>
  </si>
  <si>
    <t>LEAN_T000025CH5002000</t>
  </si>
  <si>
    <t>LEAN_T000025CH5003000</t>
  </si>
  <si>
    <t>LEAN_T000025CH5004000</t>
  </si>
  <si>
    <t>LEAN_T000025CH5005000</t>
  </si>
  <si>
    <t>LEAN_T000026CH5001000</t>
  </si>
  <si>
    <t>LEAN_T000026CH5002000</t>
  </si>
  <si>
    <t>LEAN_T000028CH5001000</t>
  </si>
  <si>
    <t>LEAN_T000029CH5001000</t>
  </si>
  <si>
    <t>LEAN_T000023CH6512123</t>
  </si>
  <si>
    <t>LEAN_T000023CH6512123001</t>
  </si>
  <si>
    <t>LEAN_T000024CH6501000</t>
  </si>
  <si>
    <t>LEAN_T000028CH6507000</t>
  </si>
  <si>
    <t>LEAN_T000028CH6508000</t>
  </si>
  <si>
    <t>LEAN_T000028CH6509000</t>
  </si>
  <si>
    <t>LEAN_T000028CH6510000</t>
  </si>
  <si>
    <t>LEAN_T000030CH6501000</t>
  </si>
  <si>
    <t>LEAN_T000037CH6501000</t>
  </si>
  <si>
    <t>LEAN_T000010DE5001000</t>
  </si>
  <si>
    <t>LEAN_T000020DE5001000</t>
  </si>
  <si>
    <t>LEAN_T000022DE5001000</t>
  </si>
  <si>
    <t>LEAN_T000030DE5001000</t>
  </si>
  <si>
    <t>LEAN_T000026IT5003000</t>
  </si>
  <si>
    <t>P</t>
  </si>
  <si>
    <t>CLFF_1000$$$</t>
  </si>
  <si>
    <t>Waiting for Requestor</t>
  </si>
  <si>
    <t>SPECIAL NOTE: Every year-end (December Reporting), All Non-LFF objects, must always have a validity date of the previous year. (E.g. January 2025, should be 2024)</t>
  </si>
  <si>
    <t>Objects such as PNEXT_CPRJ, always exclude "PNEXT" and upload the beginning of CPRJ, Characteristic Name is 0HIER_NODE.</t>
  </si>
  <si>
    <r>
      <t xml:space="preserve">Mapping O/L0000*****: </t>
    </r>
    <r>
      <rPr>
        <i/>
        <sz val="11"/>
        <color theme="1"/>
        <rFont val="Verdana"/>
        <family val="2"/>
      </rPr>
      <t>(OL0000*****_I)</t>
    </r>
    <r>
      <rPr>
        <sz val="11"/>
        <color theme="1"/>
        <rFont val="Verdana"/>
        <family val="2"/>
      </rPr>
      <t xml:space="preserve"> &lt;- Do this format and use FAACOBVAL as Characteristic Name[CHANM]</t>
    </r>
  </si>
  <si>
    <t>Year:</t>
  </si>
  <si>
    <t>Comment</t>
  </si>
  <si>
    <t>open</t>
  </si>
  <si>
    <t>on track</t>
  </si>
  <si>
    <t>Your request has been processed and is currently pending replication. We will proceed to close this ticket for now. Please check TM1/PAFE within 1–5 business days to confirm that the request has been mapped to the correct node(s).</t>
  </si>
  <si>
    <t>Non-LFF</t>
  </si>
  <si>
    <t/>
  </si>
  <si>
    <t>DE20538353</t>
  </si>
  <si>
    <t>DE10538353</t>
  </si>
  <si>
    <t>DE10538602</t>
  </si>
  <si>
    <t>DE10538603</t>
  </si>
  <si>
    <t>DE10538604</t>
  </si>
  <si>
    <t>DE20538602</t>
  </si>
  <si>
    <t>DE20538603</t>
  </si>
  <si>
    <t>DE20538604</t>
  </si>
  <si>
    <t>PQUATRO_D001263DE0413000000 DSA rectification BCP</t>
  </si>
  <si>
    <t>PQUATRO_D001264DE0413000000 DSA rectification NUL</t>
  </si>
  <si>
    <t>PQUATRO_D001265DE0413000000 DSA rectification PIN</t>
  </si>
  <si>
    <t>PQUATRO_D001267DE0413000000 DSA C/H PIN and PSPT</t>
  </si>
  <si>
    <t>PQUATRO_D001268DE0413000000 DSA Advanced Tech Project</t>
  </si>
  <si>
    <t>PQUATRO_D001269DE0413000000 KrF resist 9300 series</t>
  </si>
  <si>
    <t>PQUATRO_D001270DE0413000000 KrF resist polymers</t>
  </si>
  <si>
    <t>PQUATRO_D001271DE0413000000 KrF Positiv Tone Patterning (China)</t>
  </si>
  <si>
    <t>PQUATRO_D001272DE0413000000 i-line resist polymers</t>
  </si>
  <si>
    <t>PQUATRO_D001262US0101000000 Spin-on Metal-containing TIM</t>
  </si>
  <si>
    <t>PQUATRO_D001273DE0413000000 DCSB Feasibility</t>
  </si>
  <si>
    <t>PQUATRO_D001274DE0413000000 SN-888 Supply</t>
  </si>
  <si>
    <t>PQUATRO_D001278DE0413000000 SN-909</t>
  </si>
  <si>
    <t>PQUATRO_D001293DE0413000000 Low Shrinkage PHPS Feasibility</t>
  </si>
  <si>
    <t>P000001013</t>
  </si>
  <si>
    <t>P000001010</t>
  </si>
  <si>
    <t>FR7428161</t>
  </si>
  <si>
    <t>PEMERAL_6403H2018040201__1001 SI_Project Chronos/H.20180402.01.1001</t>
  </si>
  <si>
    <t>H201804020</t>
  </si>
  <si>
    <t>PCB doesn't recognize the object.</t>
  </si>
  <si>
    <t>Erjo Miguel Tagle</t>
  </si>
  <si>
    <t>H000000974</t>
  </si>
  <si>
    <t>ITEMPNA_001040000036</t>
  </si>
  <si>
    <t>LFF (MDG-F)</t>
  </si>
  <si>
    <t>FR7437769</t>
  </si>
  <si>
    <t xml:space="preserve">CLFF_7210$$$2123OF0033 </t>
  </si>
  <si>
    <t>G000001325</t>
  </si>
  <si>
    <t>G000001290</t>
  </si>
  <si>
    <t>2123OF0033</t>
  </si>
  <si>
    <t>Changes were saved for change request 25497069</t>
  </si>
  <si>
    <t>Jojeff Tagnong</t>
  </si>
  <si>
    <t xml:space="preserve">CLFF_1000$$$CH75GM8300 </t>
  </si>
  <si>
    <t>G000000218</t>
  </si>
  <si>
    <t>G000000630</t>
  </si>
  <si>
    <t>CH75GM8300</t>
  </si>
  <si>
    <t>yep</t>
  </si>
  <si>
    <t>CFLTFLE_17710000514000</t>
  </si>
  <si>
    <t>CFLTFLE_17710000110200</t>
  </si>
  <si>
    <t>H000002268</t>
  </si>
  <si>
    <t>H000002266</t>
  </si>
  <si>
    <t>(Multiple Items)</t>
  </si>
  <si>
    <t>Henry Ifurung Jr.</t>
  </si>
  <si>
    <t>FR7458107</t>
  </si>
  <si>
    <t>CLFF_1000$$$DE65GIT032</t>
  </si>
  <si>
    <t>G000000256</t>
  </si>
  <si>
    <t>DFLTPGCOH_BF-C2_001242</t>
  </si>
  <si>
    <t>DE65GIT032</t>
  </si>
  <si>
    <t>Changes were saved for change request 25518301</t>
  </si>
  <si>
    <t>Jay-R Lizardo</t>
  </si>
  <si>
    <t>FR7465457</t>
  </si>
  <si>
    <t>CFLTFLE_22450000002707 EXL - Mfg Admin</t>
  </si>
  <si>
    <t xml:space="preserve">L000013786 </t>
  </si>
  <si>
    <t>L000013153</t>
  </si>
  <si>
    <t>Ruby Grace Garcia</t>
  </si>
  <si>
    <t>FR7465429</t>
  </si>
  <si>
    <t>CEMERAL_70007001586020 REG Glob Dist Sust &amp; Enhance</t>
  </si>
  <si>
    <t>L000013796</t>
  </si>
  <si>
    <t xml:space="preserve">L000009969 </t>
  </si>
  <si>
    <t>FR7466373</t>
  </si>
  <si>
    <t>CLFF_1000$$$DE20122000</t>
  </si>
  <si>
    <t>G000000400</t>
  </si>
  <si>
    <t>G000000502</t>
  </si>
  <si>
    <t>DE20122000</t>
  </si>
  <si>
    <t>Changes were saved for change request 25524013</t>
  </si>
  <si>
    <t>Manuel Walther</t>
  </si>
  <si>
    <t>CLFF_1000$$$DE20123000</t>
  </si>
  <si>
    <t>G000000850</t>
  </si>
  <si>
    <t>DE20123000</t>
  </si>
  <si>
    <t>CLFF_1000$$$DE10515800</t>
  </si>
  <si>
    <t>G000000998</t>
  </si>
  <si>
    <t>G000001068</t>
  </si>
  <si>
    <t>DE10515800</t>
  </si>
  <si>
    <t>CLFF_1000$$$DE10538021</t>
  </si>
  <si>
    <t>DE10538021</t>
  </si>
  <si>
    <t>CLFF_1000$$$DE10566000</t>
  </si>
  <si>
    <t>DE10566000</t>
  </si>
  <si>
    <t>CLFF_1000$$$DE10537833</t>
  </si>
  <si>
    <t>G000000997</t>
  </si>
  <si>
    <t>G000001032</t>
  </si>
  <si>
    <t>DE10537833</t>
  </si>
  <si>
    <t>CLFF_1000$$$DE10538012</t>
  </si>
  <si>
    <t>DE10538012</t>
  </si>
  <si>
    <t>CLFF_1000$$$DE10538014</t>
  </si>
  <si>
    <t>DE10538014</t>
  </si>
  <si>
    <t>CLFF_1000$$$DE10538015</t>
  </si>
  <si>
    <t>DE10538015</t>
  </si>
  <si>
    <t>CLFF_1000$$$DE10538017</t>
  </si>
  <si>
    <t>DE10538017</t>
  </si>
  <si>
    <t>CLFF_1000$$$DE10538018</t>
  </si>
  <si>
    <t>DE10538018</t>
  </si>
  <si>
    <t>CLFF_1000$$$DE10538132</t>
  </si>
  <si>
    <t>DE10538132</t>
  </si>
  <si>
    <t>CLFF_1000$$$DE10538101</t>
  </si>
  <si>
    <t>G000000996</t>
  </si>
  <si>
    <t>G000001071</t>
  </si>
  <si>
    <t>DE10538101</t>
  </si>
  <si>
    <t>CLFF_1000$$$DE10538102</t>
  </si>
  <si>
    <t>G000001073</t>
  </si>
  <si>
    <t>DE10538102</t>
  </si>
  <si>
    <t>CLFF_1000$$$DE10538104</t>
  </si>
  <si>
    <t>DE10538104</t>
  </si>
  <si>
    <t>CLFF_1000$$$DE10538109</t>
  </si>
  <si>
    <t>G000000880</t>
  </si>
  <si>
    <t>G000001054</t>
  </si>
  <si>
    <t>DE10538109</t>
  </si>
  <si>
    <t>CLFF_1000$$$DE10538116</t>
  </si>
  <si>
    <t>DE10538116</t>
  </si>
  <si>
    <t>CLFF_1000$$$DE10538123</t>
  </si>
  <si>
    <t>G000001053</t>
  </si>
  <si>
    <t>DE10538123</t>
  </si>
  <si>
    <t>CLFF_1000$$$DE10538128</t>
  </si>
  <si>
    <t>G000000915</t>
  </si>
  <si>
    <t>DE10538128</t>
  </si>
  <si>
    <t>CLFF_1000$$$DE10538146</t>
  </si>
  <si>
    <t>DE10538146</t>
  </si>
  <si>
    <t>CLFF_1000$$$DE10538150</t>
  </si>
  <si>
    <t>DE10538150</t>
  </si>
  <si>
    <t>CLFF_1000$$$DE10538152</t>
  </si>
  <si>
    <t>DE10538152</t>
  </si>
  <si>
    <t>CLFF_1000$$$DE10538157</t>
  </si>
  <si>
    <t>G000001072</t>
  </si>
  <si>
    <t>DE10538157</t>
  </si>
  <si>
    <t>CLFF_1000$$$DE10538158</t>
  </si>
  <si>
    <t>DE10538158</t>
  </si>
  <si>
    <t>CLFF_1000$$$DE10538159</t>
  </si>
  <si>
    <t>DE10538159</t>
  </si>
  <si>
    <t>CLFF_1000$$$DE10538179</t>
  </si>
  <si>
    <t>DE10538179</t>
  </si>
  <si>
    <t>CLFF_1000$$$DE10538180</t>
  </si>
  <si>
    <t>DE10538180</t>
  </si>
  <si>
    <t>CLFF_1000$$$DE10538181</t>
  </si>
  <si>
    <t>DE10538181</t>
  </si>
  <si>
    <t>CLFF_1000$$$DE10538182</t>
  </si>
  <si>
    <t>DE10538182</t>
  </si>
  <si>
    <t>CLFF_1000$$$DE10538183</t>
  </si>
  <si>
    <t>DE10538183</t>
  </si>
  <si>
    <t>CLFF_1000$$$DE10538187</t>
  </si>
  <si>
    <t>DE10538187</t>
  </si>
  <si>
    <t>CLFF_1000$$$DE10538188</t>
  </si>
  <si>
    <t>DE10538188</t>
  </si>
  <si>
    <t>CLFF_1000$$$DE10538189</t>
  </si>
  <si>
    <t>DE10538189</t>
  </si>
  <si>
    <t>CLFF_1000$$$DE10538196</t>
  </si>
  <si>
    <t>DE10538196</t>
  </si>
  <si>
    <t>CLFF_1000$$$DE10538236</t>
  </si>
  <si>
    <t>DE10538236</t>
  </si>
  <si>
    <t>CLFF_1000$$$DE10538470</t>
  </si>
  <si>
    <t>DE10538470</t>
  </si>
  <si>
    <t>CLFF_1000$$$DE10538472</t>
  </si>
  <si>
    <t>DE10538472</t>
  </si>
  <si>
    <t>CLFF_1000$$$DE10538473</t>
  </si>
  <si>
    <t>DE10538473</t>
  </si>
  <si>
    <t>CLFF_1000$$$DE10538762</t>
  </si>
  <si>
    <t>DE10538762</t>
  </si>
  <si>
    <t>CLFF_1000$$$DE10538961</t>
  </si>
  <si>
    <t>DE10538961</t>
  </si>
  <si>
    <t>CLFF_1000$$$DE10538962</t>
  </si>
  <si>
    <t>DE10538962</t>
  </si>
  <si>
    <t>CLFF_1000$$$DE10538963</t>
  </si>
  <si>
    <t>DE10538963</t>
  </si>
  <si>
    <t>CLFF_1000$$$DE10538964</t>
  </si>
  <si>
    <t>DE10538964</t>
  </si>
  <si>
    <t>CLFF_1000$$$DE10538965</t>
  </si>
  <si>
    <t>DE10538965</t>
  </si>
  <si>
    <t>CLFF_1000$$$DE10538966</t>
  </si>
  <si>
    <t>DE10538966</t>
  </si>
  <si>
    <t>CLFF_1000$$$DE10538967</t>
  </si>
  <si>
    <t>DE10538967</t>
  </si>
  <si>
    <t>CLFF_1000$$$DE10538968</t>
  </si>
  <si>
    <t>DE10538968</t>
  </si>
  <si>
    <t>CLFF_1000$$$DE10538969</t>
  </si>
  <si>
    <t>DE10538969</t>
  </si>
  <si>
    <t>CLFF_1000$$$DE10538970</t>
  </si>
  <si>
    <t>DE10538970</t>
  </si>
  <si>
    <t>CLFF_1000$$$DE10538971</t>
  </si>
  <si>
    <t>DE10538971</t>
  </si>
  <si>
    <t>CLFF_1000$$$DE10538972</t>
  </si>
  <si>
    <t>DE10538972</t>
  </si>
  <si>
    <t>CLFF_1000$$$DE10538973</t>
  </si>
  <si>
    <t>DE10538973</t>
  </si>
  <si>
    <t>CLFF_1000$$$DE10538974</t>
  </si>
  <si>
    <t>DE10538974</t>
  </si>
  <si>
    <t>CLFF_1000$$$DE10538975</t>
  </si>
  <si>
    <t>DE10538975</t>
  </si>
  <si>
    <t>CLFF_1000$$$DE10538977</t>
  </si>
  <si>
    <t>DE10538977</t>
  </si>
  <si>
    <t>CLFF_1000$$$DE10538979</t>
  </si>
  <si>
    <t>DE10538979</t>
  </si>
  <si>
    <t>CLFF_1000$$$DE10538980</t>
  </si>
  <si>
    <t>DE10538980</t>
  </si>
  <si>
    <t>CLFF_1000$$$DE10538982</t>
  </si>
  <si>
    <t>DE10538982</t>
  </si>
  <si>
    <t>CLFF_1000$$$DE10538984</t>
  </si>
  <si>
    <t>DE10538984</t>
  </si>
  <si>
    <t>CLFF_1000$$$DE10538985</t>
  </si>
  <si>
    <t>DE10538985</t>
  </si>
  <si>
    <t>CLFF_1000$$$DE10538994</t>
  </si>
  <si>
    <t>DE10538994</t>
  </si>
  <si>
    <t>CLFF_1000$$$DE10539930</t>
  </si>
  <si>
    <t>DE10539930</t>
  </si>
  <si>
    <t>CLFF_1000$$$DE10539931</t>
  </si>
  <si>
    <t>DE10539931</t>
  </si>
  <si>
    <t>CLFF_1000$$$DE10539932</t>
  </si>
  <si>
    <t>DE10539932</t>
  </si>
  <si>
    <t>CLFF_1000$$$DE10539934</t>
  </si>
  <si>
    <t>DE10539934</t>
  </si>
  <si>
    <t>CLFF_1000$$$DE10539935</t>
  </si>
  <si>
    <t>DE10539935</t>
  </si>
  <si>
    <t>CLFF_1000$$$DE10539936</t>
  </si>
  <si>
    <t>DE10539936</t>
  </si>
  <si>
    <t>CLFF_1000$$$DE10539937</t>
  </si>
  <si>
    <t>DE10539937</t>
  </si>
  <si>
    <t>CLFF_1000$$$DE10539938</t>
  </si>
  <si>
    <t>DE10539938</t>
  </si>
  <si>
    <t>CLFF_1000$$$DE10539939</t>
  </si>
  <si>
    <t>DE10539939</t>
  </si>
  <si>
    <t>CLFF_1000$$$DE10539940</t>
  </si>
  <si>
    <t>DE10539940</t>
  </si>
  <si>
    <t>CLFF_1000$$$DE10539941</t>
  </si>
  <si>
    <t>DE10539941</t>
  </si>
  <si>
    <t>CLFF_1000$$$DE10539942</t>
  </si>
  <si>
    <t>DE10539942</t>
  </si>
  <si>
    <t>CLFF_1000$$$DE10539943</t>
  </si>
  <si>
    <t>DE10539943</t>
  </si>
  <si>
    <t>CLFF_1000$$$DE10539944</t>
  </si>
  <si>
    <t>DE10539944</t>
  </si>
  <si>
    <t>CLFF_1000$$$DE10539995</t>
  </si>
  <si>
    <t>DE10539995</t>
  </si>
  <si>
    <t>CLFF_1000$$$DE10538103</t>
  </si>
  <si>
    <t>G000000872</t>
  </si>
  <si>
    <t>G000001057</t>
  </si>
  <si>
    <t>DE10538103</t>
  </si>
  <si>
    <t>CLFF_1000$$$DE10538108</t>
  </si>
  <si>
    <t>G000000993</t>
  </si>
  <si>
    <t>G000001058</t>
  </si>
  <si>
    <t>DE10538108</t>
  </si>
  <si>
    <t>CLFF_1000$$$DE10538110</t>
  </si>
  <si>
    <t>G000001043</t>
  </si>
  <si>
    <t>DE10538110</t>
  </si>
  <si>
    <t>CLFF_1000$$$DE10538111</t>
  </si>
  <si>
    <t>G000000950</t>
  </si>
  <si>
    <t>G000001042</t>
  </si>
  <si>
    <t>DE10538111</t>
  </si>
  <si>
    <t>CLFF_1000$$$DE10538112</t>
  </si>
  <si>
    <t>DE10538112</t>
  </si>
  <si>
    <t>CLFF_1000$$$DE10538113</t>
  </si>
  <si>
    <t>DE10538113</t>
  </si>
  <si>
    <t>CLFF_1000$$$DE10538114</t>
  </si>
  <si>
    <t>G000001039</t>
  </si>
  <si>
    <t>DE10538114</t>
  </si>
  <si>
    <t>CLFF_1000$$$DE10538115</t>
  </si>
  <si>
    <t>G000001056</t>
  </si>
  <si>
    <t>DE10538115</t>
  </si>
  <si>
    <t>CLFF_1000$$$DE10538117</t>
  </si>
  <si>
    <t>DE10538117</t>
  </si>
  <si>
    <t>CLFF_1000$$$DE10538119</t>
  </si>
  <si>
    <t>DE10538119</t>
  </si>
  <si>
    <t>CLFF_1000$$$DE10538120</t>
  </si>
  <si>
    <t>DE10538120</t>
  </si>
  <si>
    <t>CLFF_1000$$$DE10538121</t>
  </si>
  <si>
    <t>DE10538121</t>
  </si>
  <si>
    <t>CLFF_1000$$$DE10538122</t>
  </si>
  <si>
    <t>DE10538122</t>
  </si>
  <si>
    <t>CLFF_1000$$$DE10538124</t>
  </si>
  <si>
    <t>G000001046</t>
  </si>
  <si>
    <t>DE10538124</t>
  </si>
  <si>
    <t>CLFF_1000$$$DE10538129</t>
  </si>
  <si>
    <t>G000001060</t>
  </si>
  <si>
    <t>DE10538129</t>
  </si>
  <si>
    <t>CLFF_1000$$$DE10538130</t>
  </si>
  <si>
    <t>G000001047</t>
  </si>
  <si>
    <t>DE10538130</t>
  </si>
  <si>
    <t>CLFF_1000$$$DE10538131</t>
  </si>
  <si>
    <t>DE10538131</t>
  </si>
  <si>
    <t>CLFF_1000$$$DE10538133</t>
  </si>
  <si>
    <t>G000001040</t>
  </si>
  <si>
    <t>DE10538133</t>
  </si>
  <si>
    <t>CLFF_1000$$$DE10538134</t>
  </si>
  <si>
    <t>DE10538134</t>
  </si>
  <si>
    <t>CLFF_1000$$$DE10538135</t>
  </si>
  <si>
    <t>DE10538135</t>
  </si>
  <si>
    <t>CLFF_1000$$$DE10538138</t>
  </si>
  <si>
    <t>DE10538138</t>
  </si>
  <si>
    <t>CLFF_1000$$$DE10538139</t>
  </si>
  <si>
    <t>DE10538139</t>
  </si>
  <si>
    <t>CLFF_1000$$$DE10538142</t>
  </si>
  <si>
    <t>DE10538142</t>
  </si>
  <si>
    <t>CLFF_1000$$$DE10538144</t>
  </si>
  <si>
    <t>DE10538144</t>
  </si>
  <si>
    <t>CLFF_1000$$$DE10538161</t>
  </si>
  <si>
    <t>DE10538161</t>
  </si>
  <si>
    <t>Changes were saved for change request 25526501</t>
  </si>
  <si>
    <t>CLFF_1000$$$DE10538174</t>
  </si>
  <si>
    <t>DE10538174</t>
  </si>
  <si>
    <t>CLFF_1000$$$DE10538178</t>
  </si>
  <si>
    <t>DE10538178</t>
  </si>
  <si>
    <t>CLFF_1000$$$DE10538192</t>
  </si>
  <si>
    <t>DE10538192</t>
  </si>
  <si>
    <t>CLFF_1000$$$DE10538397</t>
  </si>
  <si>
    <t>DE10538397</t>
  </si>
  <si>
    <t>CLFF_1000$$$DE10538556</t>
  </si>
  <si>
    <t>DE10538556</t>
  </si>
  <si>
    <t>CLFF_1000$$$DE10538654</t>
  </si>
  <si>
    <t>DE10538654</t>
  </si>
  <si>
    <t>CLFF_1000$$$DE10579990</t>
  </si>
  <si>
    <t>G000001041</t>
  </si>
  <si>
    <t>DE10579990</t>
  </si>
  <si>
    <t>CLFF_1000$$$DE10538107</t>
  </si>
  <si>
    <t>G000001061</t>
  </si>
  <si>
    <t>DE10538107</t>
  </si>
  <si>
    <t>CLFF_1000$$$DE10538118</t>
  </si>
  <si>
    <t>G000000888</t>
  </si>
  <si>
    <t>G000001062</t>
  </si>
  <si>
    <t>DE10538118</t>
  </si>
  <si>
    <t>CLFF_1000$$$DE10538136</t>
  </si>
  <si>
    <t>DE10538136</t>
  </si>
  <si>
    <t>CLFF_1000$$$DE10538137</t>
  </si>
  <si>
    <t>DE10538137</t>
  </si>
  <si>
    <t>CLFF_1000$$$DE10538141</t>
  </si>
  <si>
    <t>DE10538141</t>
  </si>
  <si>
    <t>CLFF_1000$$$DE10538143</t>
  </si>
  <si>
    <t>G000001063</t>
  </si>
  <si>
    <t>DE10538143</t>
  </si>
  <si>
    <t>CLFF_1000$$$DE10538147</t>
  </si>
  <si>
    <t>G000001051</t>
  </si>
  <si>
    <t>DE10538147</t>
  </si>
  <si>
    <t>CLFF_1000$$$DE10538148</t>
  </si>
  <si>
    <t>G000000879</t>
  </si>
  <si>
    <t>G000001050</t>
  </si>
  <si>
    <t>DE10538148</t>
  </si>
  <si>
    <t>CLFF_1000$$$DE10538151</t>
  </si>
  <si>
    <t>DE10538151</t>
  </si>
  <si>
    <t>CLFF_1000$$$DE10538153</t>
  </si>
  <si>
    <t>DE10538153</t>
  </si>
  <si>
    <t>CLFF_1000$$$DE10538160</t>
  </si>
  <si>
    <t>DE10538160</t>
  </si>
  <si>
    <t>CLFF_1000$$$DE10538162</t>
  </si>
  <si>
    <t>DE10538162</t>
  </si>
  <si>
    <t>CLFF_1000$$$DE10538163</t>
  </si>
  <si>
    <t>G000001044</t>
  </si>
  <si>
    <t>DE10538163</t>
  </si>
  <si>
    <t>CLFF_1000$$$DE10538164</t>
  </si>
  <si>
    <t>DE10538164</t>
  </si>
  <si>
    <t>CLFF_1000$$$DE10538166</t>
  </si>
  <si>
    <t>DE10538166</t>
  </si>
  <si>
    <t>CLFF_1000$$$DE10538167</t>
  </si>
  <si>
    <t>DE10538167</t>
  </si>
  <si>
    <t>CLFF_1000$$$DE10538168</t>
  </si>
  <si>
    <t>DE10538168</t>
  </si>
  <si>
    <t>CLFF_1000$$$DE10538171</t>
  </si>
  <si>
    <t>DE10538171</t>
  </si>
  <si>
    <t>CLFF_1000$$$DE10538175</t>
  </si>
  <si>
    <t>DE10538175</t>
  </si>
  <si>
    <t>CLFF_1000$$$DE10538176</t>
  </si>
  <si>
    <t>DE10538176</t>
  </si>
  <si>
    <t>CLFF_1000$$$DE10538177</t>
  </si>
  <si>
    <t>DE10538177</t>
  </si>
  <si>
    <t>CLFF_1000$$$DE10538184</t>
  </si>
  <si>
    <t>DE10538184</t>
  </si>
  <si>
    <t>CLFF_1000$$$DE10538185</t>
  </si>
  <si>
    <t>DE10538185</t>
  </si>
  <si>
    <t>CLFF_1000$$$DE10538186</t>
  </si>
  <si>
    <t>DE10538186</t>
  </si>
  <si>
    <t>CLFF_1000$$$DE10538193</t>
  </si>
  <si>
    <t>DE10538193</t>
  </si>
  <si>
    <t>CLFF_1000$$$DE10538194</t>
  </si>
  <si>
    <t>DE10538194</t>
  </si>
  <si>
    <t>CLFF_1000$$$DE10538195</t>
  </si>
  <si>
    <t>DE10538195</t>
  </si>
  <si>
    <t>CLFF_1000$$$DE10538197</t>
  </si>
  <si>
    <t>DE10538197</t>
  </si>
  <si>
    <t>CLFF_1000$$$DE10538712</t>
  </si>
  <si>
    <t>DE10538712</t>
  </si>
  <si>
    <t>CLFF_1000$$$DE10538713</t>
  </si>
  <si>
    <t>DE10538713</t>
  </si>
  <si>
    <t>CLFF_1000$$$DE10538714</t>
  </si>
  <si>
    <t>DE10538714</t>
  </si>
  <si>
    <t>CLFF_1000$$$DE10538715</t>
  </si>
  <si>
    <t>DE10538715</t>
  </si>
  <si>
    <t>CLFF_1000$$$DE10538716</t>
  </si>
  <si>
    <t>DE10538716</t>
  </si>
  <si>
    <t>CLFF_1000$$$DE10538717</t>
  </si>
  <si>
    <t>DE10538717</t>
  </si>
  <si>
    <t>CLFF_1000$$$DE10538887</t>
  </si>
  <si>
    <t>DE10538887</t>
  </si>
  <si>
    <t>CLFF_1000$$$DE10538920</t>
  </si>
  <si>
    <t>DE10538920</t>
  </si>
  <si>
    <t>CLFF_1000$$$DE10538921</t>
  </si>
  <si>
    <t>DE10538921</t>
  </si>
  <si>
    <t>CLFF_1000$$$DE10538978</t>
  </si>
  <si>
    <t>DE10538978</t>
  </si>
  <si>
    <t>CLFF_1000$$$DE10539001</t>
  </si>
  <si>
    <t>DE10539001</t>
  </si>
  <si>
    <t>CLFF_1000$$$DE10539002</t>
  </si>
  <si>
    <t>DE10539002</t>
  </si>
  <si>
    <t>CLFF_1000$$$DE10539004</t>
  </si>
  <si>
    <t>DE10539004</t>
  </si>
  <si>
    <t>CLFF_1000$$$DE10567500</t>
  </si>
  <si>
    <t>G000001064</t>
  </si>
  <si>
    <t>DE10567500</t>
  </si>
  <si>
    <t>CLFF_1000$$$DE10569401</t>
  </si>
  <si>
    <t>DE10569401</t>
  </si>
  <si>
    <t>CLFF_1000$$$DE10538145</t>
  </si>
  <si>
    <t>DE10538145</t>
  </si>
  <si>
    <t>CLFF_1000$$$DE10538190</t>
  </si>
  <si>
    <t>DE10538190</t>
  </si>
  <si>
    <t>CLFF_1000$$$DE10539003</t>
  </si>
  <si>
    <t>DE10539003</t>
  </si>
  <si>
    <t>CLFF_1000$$$DE10567400</t>
  </si>
  <si>
    <t>G000001038</t>
  </si>
  <si>
    <t>DE10567400</t>
  </si>
  <si>
    <t>CLFF_1000$$$DE20510800</t>
  </si>
  <si>
    <t>G000000537</t>
  </si>
  <si>
    <t>G000000510</t>
  </si>
  <si>
    <t>DE20510800</t>
  </si>
  <si>
    <t>CLFF_1000$$$DE20516800</t>
  </si>
  <si>
    <t>DE20516800</t>
  </si>
  <si>
    <t>CLFF_1000$$$DE20518800</t>
  </si>
  <si>
    <t>DE20518800</t>
  </si>
  <si>
    <t>CLFF_1000$$$DE20518900</t>
  </si>
  <si>
    <t>DE20518900</t>
  </si>
  <si>
    <t>CLFF_1000$$$DE20538199</t>
  </si>
  <si>
    <t>DE20538199</t>
  </si>
  <si>
    <t>CLFF_1000$$$DE20542000</t>
  </si>
  <si>
    <t>DE20542000</t>
  </si>
  <si>
    <t>CLFF_1000$$$DE20537833</t>
  </si>
  <si>
    <t>G000000514</t>
  </si>
  <si>
    <t>G000000508</t>
  </si>
  <si>
    <t>DE20537833</t>
  </si>
  <si>
    <t>CLFF_1000$$$DE20538012</t>
  </si>
  <si>
    <t>DE20538012</t>
  </si>
  <si>
    <t>CLFF_1000$$$DE20538014</t>
  </si>
  <si>
    <t>DE20538014</t>
  </si>
  <si>
    <t>CLFF_1000$$$DE20538015</t>
  </si>
  <si>
    <t>DE20538015</t>
  </si>
  <si>
    <t>CLFF_1000$$$DE20538017</t>
  </si>
  <si>
    <t>DE20538017</t>
  </si>
  <si>
    <t>CLFF_1000$$$DE20538018</t>
  </si>
  <si>
    <t>DE20538018</t>
  </si>
  <si>
    <t>CLFF_1000$$$DE20538132</t>
  </si>
  <si>
    <t>DE20538132</t>
  </si>
  <si>
    <t>CLFF_1000$$$DE20538101</t>
  </si>
  <si>
    <t>G000000513</t>
  </si>
  <si>
    <t>G000000988</t>
  </si>
  <si>
    <t>DE20538101</t>
  </si>
  <si>
    <t>CLFF_1000$$$DE20538102</t>
  </si>
  <si>
    <t>G000000990</t>
  </si>
  <si>
    <t>DE20538102</t>
  </si>
  <si>
    <t>CLFF_1000$$$DE20538104</t>
  </si>
  <si>
    <t>DE20538104</t>
  </si>
  <si>
    <t>CLFF_1000$$$DE20538109</t>
  </si>
  <si>
    <t>G000000446</t>
  </si>
  <si>
    <t>G000000976</t>
  </si>
  <si>
    <t>DE20538109</t>
  </si>
  <si>
    <t>CLFF_1000$$$DE20538116</t>
  </si>
  <si>
    <t>DE20538116</t>
  </si>
  <si>
    <t>CLFF_1000$$$DE20538123</t>
  </si>
  <si>
    <t>G000000975</t>
  </si>
  <si>
    <t>DE20538123</t>
  </si>
  <si>
    <t>CLFF_1000$$$DE20538128</t>
  </si>
  <si>
    <t>G000000468</t>
  </si>
  <si>
    <t>DE20538128</t>
  </si>
  <si>
    <t>CLFF_1000$$$DE20538146</t>
  </si>
  <si>
    <t>DE20538146</t>
  </si>
  <si>
    <t>CLFF_1000$$$DE20538150</t>
  </si>
  <si>
    <t>DE20538150</t>
  </si>
  <si>
    <t>CLFF_1000$$$DE20538152</t>
  </si>
  <si>
    <t>DE20538152</t>
  </si>
  <si>
    <t>CLFF_1000$$$DE20538157</t>
  </si>
  <si>
    <t>G000000989</t>
  </si>
  <si>
    <t>DE20538157</t>
  </si>
  <si>
    <t>CLFF_1000$$$DE20538158</t>
  </si>
  <si>
    <t>DE20538158</t>
  </si>
  <si>
    <t>CLFF_1000$$$DE20538159</t>
  </si>
  <si>
    <t>DE20538159</t>
  </si>
  <si>
    <t>CLFF_1000$$$DE20538179</t>
  </si>
  <si>
    <t>DE20538179</t>
  </si>
  <si>
    <t>CLFF_1000$$$DE20538180</t>
  </si>
  <si>
    <t>DE20538180</t>
  </si>
  <si>
    <t>CLFF_1000$$$DE20538181</t>
  </si>
  <si>
    <t>DE20538181</t>
  </si>
  <si>
    <t>CLFF_1000$$$DE20538182</t>
  </si>
  <si>
    <t>DE20538182</t>
  </si>
  <si>
    <t>CLFF_1000$$$DE20538183</t>
  </si>
  <si>
    <t>DE20538183</t>
  </si>
  <si>
    <t>CLFF_1000$$$DE20538187</t>
  </si>
  <si>
    <t>DE20538187</t>
  </si>
  <si>
    <t>CLFF_1000$$$DE20538188</t>
  </si>
  <si>
    <t>DE20538188</t>
  </si>
  <si>
    <t>CLFF_1000$$$DE20538189</t>
  </si>
  <si>
    <t>DE20538189</t>
  </si>
  <si>
    <t>CLFF_1000$$$DE20538196</t>
  </si>
  <si>
    <t>DE20538196</t>
  </si>
  <si>
    <t>CLFF_1000$$$DE20538236</t>
  </si>
  <si>
    <t>DE20538236</t>
  </si>
  <si>
    <t>CLFF_1000$$$DE20538470</t>
  </si>
  <si>
    <t>DE20538470</t>
  </si>
  <si>
    <t>CLFF_1000$$$DE20538472</t>
  </si>
  <si>
    <t>DE20538472</t>
  </si>
  <si>
    <t>CLFF_1000$$$DE20538473</t>
  </si>
  <si>
    <t>DE20538473</t>
  </si>
  <si>
    <t>CLFF_1000$$$DE20538762</t>
  </si>
  <si>
    <t>DE20538762</t>
  </si>
  <si>
    <t>CLFF_1000$$$DE20538961</t>
  </si>
  <si>
    <t>DE20538961</t>
  </si>
  <si>
    <t>CLFF_1000$$$DE20538962</t>
  </si>
  <si>
    <t>DE20538962</t>
  </si>
  <si>
    <t>CLFF_1000$$$DE20538963</t>
  </si>
  <si>
    <t>DE20538963</t>
  </si>
  <si>
    <t>CLFF_1000$$$DE20538964</t>
  </si>
  <si>
    <t>DE20538964</t>
  </si>
  <si>
    <t>CLFF_1000$$$DE20538965</t>
  </si>
  <si>
    <t>DE20538965</t>
  </si>
  <si>
    <t>CLFF_1000$$$DE20538966</t>
  </si>
  <si>
    <t>DE20538966</t>
  </si>
  <si>
    <t>CLFF_1000$$$DE20538967</t>
  </si>
  <si>
    <t>DE20538967</t>
  </si>
  <si>
    <t>CLFF_1000$$$DE20538968</t>
  </si>
  <si>
    <t>DE20538968</t>
  </si>
  <si>
    <t>CLFF_1000$$$DE20538969</t>
  </si>
  <si>
    <t>DE20538969</t>
  </si>
  <si>
    <t>CLFF_1000$$$DE20538970</t>
  </si>
  <si>
    <t>DE20538970</t>
  </si>
  <si>
    <t>CLFF_1000$$$DE20538971</t>
  </si>
  <si>
    <t>DE20538971</t>
  </si>
  <si>
    <t>CLFF_1000$$$DE20538972</t>
  </si>
  <si>
    <t>DE20538972</t>
  </si>
  <si>
    <t>CLFF_1000$$$DE20538973</t>
  </si>
  <si>
    <t>DE20538973</t>
  </si>
  <si>
    <t>CLFF_1000$$$DE20538974</t>
  </si>
  <si>
    <t>DE20538974</t>
  </si>
  <si>
    <t>CLFF_1000$$$DE20538975</t>
  </si>
  <si>
    <t>DE20538975</t>
  </si>
  <si>
    <t>CLFF_1000$$$DE20538977</t>
  </si>
  <si>
    <t>DE20538977</t>
  </si>
  <si>
    <t>CLFF_1000$$$DE20538979</t>
  </si>
  <si>
    <t>DE20538979</t>
  </si>
  <si>
    <t>CLFF_1000$$$DE20538980</t>
  </si>
  <si>
    <t>DE20538980</t>
  </si>
  <si>
    <t>CLFF_1000$$$DE20538982</t>
  </si>
  <si>
    <t>DE20538982</t>
  </si>
  <si>
    <t>CLFF_1000$$$DE20538984</t>
  </si>
  <si>
    <t>DE20538984</t>
  </si>
  <si>
    <t>CLFF_1000$$$DE20538985</t>
  </si>
  <si>
    <t>DE20538985</t>
  </si>
  <si>
    <t>CLFF_1000$$$DE20538994</t>
  </si>
  <si>
    <t>DE20538994</t>
  </si>
  <si>
    <t>CLFF_1000$$$DE20539930</t>
  </si>
  <si>
    <t>DE20539930</t>
  </si>
  <si>
    <t>CLFF_1000$$$DE20539931</t>
  </si>
  <si>
    <t>DE20539931</t>
  </si>
  <si>
    <t>CLFF_1000$$$DE20539932</t>
  </si>
  <si>
    <t>DE20539932</t>
  </si>
  <si>
    <t>CLFF_1000$$$DE20539934</t>
  </si>
  <si>
    <t>DE20539934</t>
  </si>
  <si>
    <t>CLFF_1000$$$DE20539935</t>
  </si>
  <si>
    <t>DE20539935</t>
  </si>
  <si>
    <t>CLFF_1000$$$DE20539936</t>
  </si>
  <si>
    <t>DE20539936</t>
  </si>
  <si>
    <t>CLFF_1000$$$DE20539937</t>
  </si>
  <si>
    <t>DE20539937</t>
  </si>
  <si>
    <t>CLFF_1000$$$DE20539938</t>
  </si>
  <si>
    <t>DE20539938</t>
  </si>
  <si>
    <t>CLFF_1000$$$DE20539939</t>
  </si>
  <si>
    <t>DE20539939</t>
  </si>
  <si>
    <t>CLFF_1000$$$DE20539940</t>
  </si>
  <si>
    <t>DE20539940</t>
  </si>
  <si>
    <t>CLFF_1000$$$DE20539941</t>
  </si>
  <si>
    <t>DE20539941</t>
  </si>
  <si>
    <t>CLFF_1000$$$DE20539942</t>
  </si>
  <si>
    <t>DE20539942</t>
  </si>
  <si>
    <t>CLFF_1000$$$DE20539943</t>
  </si>
  <si>
    <t>DE20539943</t>
  </si>
  <si>
    <t>CLFF_1000$$$DE20539944</t>
  </si>
  <si>
    <t>DE20539944</t>
  </si>
  <si>
    <t>CLFF_1000$$$DE20539995</t>
  </si>
  <si>
    <t>DE20539995</t>
  </si>
  <si>
    <t>CLFF_1000$$$DE20538103</t>
  </si>
  <si>
    <t>G000000417</t>
  </si>
  <si>
    <t>G000000979</t>
  </si>
  <si>
    <t>DE20538103</t>
  </si>
  <si>
    <t>CLFF_1000$$$DE20538108</t>
  </si>
  <si>
    <t>G000000512</t>
  </si>
  <si>
    <t>G000000980</t>
  </si>
  <si>
    <t>DE20538108</t>
  </si>
  <si>
    <t>CLFF_1000$$$DE20538110</t>
  </si>
  <si>
    <t>G000000965</t>
  </si>
  <si>
    <t>DE20538110</t>
  </si>
  <si>
    <t>CLFF_1000$$$DE20538111</t>
  </si>
  <si>
    <t>G000000511</t>
  </si>
  <si>
    <t>G000000964</t>
  </si>
  <si>
    <t>DE20538111</t>
  </si>
  <si>
    <t>CLFF_1000$$$DE20538112</t>
  </si>
  <si>
    <t>DE20538112</t>
  </si>
  <si>
    <t>CLFF_1000$$$DE20538113</t>
  </si>
  <si>
    <t>DE20538113</t>
  </si>
  <si>
    <t>CLFF_1000$$$DE20538114</t>
  </si>
  <si>
    <t>G000000961</t>
  </si>
  <si>
    <t>DE20538114</t>
  </si>
  <si>
    <t>CLFF_1000$$$DE20538115</t>
  </si>
  <si>
    <t>G000000978</t>
  </si>
  <si>
    <t>DE20538115</t>
  </si>
  <si>
    <t>CLFF_1000$$$DE20538117</t>
  </si>
  <si>
    <t>DE20538117</t>
  </si>
  <si>
    <t>CLFF_1000$$$DE20538119</t>
  </si>
  <si>
    <t>DE20538119</t>
  </si>
  <si>
    <t>CLFF_1000$$$DE20538120</t>
  </si>
  <si>
    <t>DE20538120</t>
  </si>
  <si>
    <t>CLFF_1000$$$DE20538121</t>
  </si>
  <si>
    <t>DE20538121</t>
  </si>
  <si>
    <t>CLFF_1000$$$DE20538122</t>
  </si>
  <si>
    <t>DE20538122</t>
  </si>
  <si>
    <t>CLFF_1000$$$DE20538124</t>
  </si>
  <si>
    <t>G000000968</t>
  </si>
  <si>
    <t>DE20538124</t>
  </si>
  <si>
    <t>CLFF_1000$$$DE20538129</t>
  </si>
  <si>
    <t>DE20538129</t>
  </si>
  <si>
    <t>CLFF_1000$$$DE20538130</t>
  </si>
  <si>
    <t>G000000969</t>
  </si>
  <si>
    <t>DE20538130</t>
  </si>
  <si>
    <t>CLFF_1000$$$DE20538131</t>
  </si>
  <si>
    <t>DE20538131</t>
  </si>
  <si>
    <t>CLFF_1000$$$DE20538133</t>
  </si>
  <si>
    <t>G000000962</t>
  </si>
  <si>
    <t>DE20538133</t>
  </si>
  <si>
    <t>CLFF_1000$$$DE20538134</t>
  </si>
  <si>
    <t>DE20538134</t>
  </si>
  <si>
    <t>CLFF_1000$$$DE20538135</t>
  </si>
  <si>
    <t>DE20538135</t>
  </si>
  <si>
    <t>CLFF_1000$$$DE20538138</t>
  </si>
  <si>
    <t>DE20538138</t>
  </si>
  <si>
    <t>CLFF_1000$$$DE20538139</t>
  </si>
  <si>
    <t>DE20538139</t>
  </si>
  <si>
    <t>CLFF_1000$$$DE20538142</t>
  </si>
  <si>
    <t>DE20538142</t>
  </si>
  <si>
    <t>CLFF_1000$$$DE20538144</t>
  </si>
  <si>
    <t>DE20538144</t>
  </si>
  <si>
    <t>CLFF_1000$$$DE20538161</t>
  </si>
  <si>
    <t>DE20538161</t>
  </si>
  <si>
    <t>CLFF_1000$$$DE20538174</t>
  </si>
  <si>
    <t>DE20538174</t>
  </si>
  <si>
    <t>CLFF_1000$$$DE20538178</t>
  </si>
  <si>
    <t>DE20538178</t>
  </si>
  <si>
    <t>CLFF_1000$$$DE20538192</t>
  </si>
  <si>
    <t>DE20538192</t>
  </si>
  <si>
    <t>CLFF_1000$$$DE20538397</t>
  </si>
  <si>
    <t>DE20538397</t>
  </si>
  <si>
    <t>CLFF_1000$$$DE20538556</t>
  </si>
  <si>
    <t>DE20538556</t>
  </si>
  <si>
    <t>CLFF_1000$$$DE20538654</t>
  </si>
  <si>
    <t>DE20538654</t>
  </si>
  <si>
    <t>CLFF_1000$$$DE20579990</t>
  </si>
  <si>
    <t>G000000963</t>
  </si>
  <si>
    <t>DE20579990</t>
  </si>
  <si>
    <t>CLFF_1000$$$DE20538107</t>
  </si>
  <si>
    <t>G000000983</t>
  </si>
  <si>
    <t>DE20538107</t>
  </si>
  <si>
    <t>CLFF_1000$$$DE20538118</t>
  </si>
  <si>
    <t>G000000467</t>
  </si>
  <si>
    <t>G000000984</t>
  </si>
  <si>
    <t>DE20538118</t>
  </si>
  <si>
    <t>CLFF_1000$$$DE20538136</t>
  </si>
  <si>
    <t>DE20538136</t>
  </si>
  <si>
    <t>CLFF_1000$$$DE20538137</t>
  </si>
  <si>
    <t>G000000982</t>
  </si>
  <si>
    <t>DE20538137</t>
  </si>
  <si>
    <t>CLFF_1000$$$DE20538141</t>
  </si>
  <si>
    <t>DE20538141</t>
  </si>
  <si>
    <t>CLFF_1000$$$DE20538143</t>
  </si>
  <si>
    <t>G000000985</t>
  </si>
  <si>
    <t>DE20538143</t>
  </si>
  <si>
    <t>CLFF_1000$$$DE20538147</t>
  </si>
  <si>
    <t>G000000973</t>
  </si>
  <si>
    <t>DE20538147</t>
  </si>
  <si>
    <t>CLFF_1000$$$DE20538148</t>
  </si>
  <si>
    <t>G000000443</t>
  </si>
  <si>
    <t>G000000972</t>
  </si>
  <si>
    <t>DE20538148</t>
  </si>
  <si>
    <t>CLFF_1000$$$DE20538151</t>
  </si>
  <si>
    <t>DE20538151</t>
  </si>
  <si>
    <t>CLFF_1000$$$DE20538153</t>
  </si>
  <si>
    <t>DE20538153</t>
  </si>
  <si>
    <t>CLFF_1000$$$DE20538160</t>
  </si>
  <si>
    <t>DE20538160</t>
  </si>
  <si>
    <t>CLFF_1000$$$DE20538162</t>
  </si>
  <si>
    <t>DE20538162</t>
  </si>
  <si>
    <t>CLFF_1000$$$DE20538163</t>
  </si>
  <si>
    <t>G000000966</t>
  </si>
  <si>
    <t>DE20538163</t>
  </si>
  <si>
    <t>CLFF_1000$$$DE20538164</t>
  </si>
  <si>
    <t>DE20538164</t>
  </si>
  <si>
    <t>CLFF_1000$$$DE20538166</t>
  </si>
  <si>
    <t>DE20538166</t>
  </si>
  <si>
    <t>CLFF_1000$$$DE20538167</t>
  </si>
  <si>
    <t>DE20538167</t>
  </si>
  <si>
    <t>CLFF_1000$$$DE20538168</t>
  </si>
  <si>
    <t>DE20538168</t>
  </si>
  <si>
    <t>CLFF_1000$$$DE20538171</t>
  </si>
  <si>
    <t>DE20538171</t>
  </si>
  <si>
    <t>CLFF_1000$$$DE20538175</t>
  </si>
  <si>
    <t>DE20538175</t>
  </si>
  <si>
    <t>CLFF_1000$$$DE20538176</t>
  </si>
  <si>
    <t>DE20538176</t>
  </si>
  <si>
    <t>CLFF_1000$$$DE20538177</t>
  </si>
  <si>
    <t>DE20538177</t>
  </si>
  <si>
    <t>CLFF_1000$$$DE20538184</t>
  </si>
  <si>
    <t>DE20538184</t>
  </si>
  <si>
    <t>CLFF_1000$$$DE20538185</t>
  </si>
  <si>
    <t>DE20538185</t>
  </si>
  <si>
    <t>CLFF_1000$$$DE20538186</t>
  </si>
  <si>
    <t>DE20538186</t>
  </si>
  <si>
    <t>CLFF_1000$$$DE20538193</t>
  </si>
  <si>
    <t>DE20538193</t>
  </si>
  <si>
    <t>CLFF_1000$$$DE20538194</t>
  </si>
  <si>
    <t>DE20538194</t>
  </si>
  <si>
    <t>CLFF_1000$$$DE20538195</t>
  </si>
  <si>
    <t>DE20538195</t>
  </si>
  <si>
    <t>CLFF_1000$$$DE20538197</t>
  </si>
  <si>
    <t>DE20538197</t>
  </si>
  <si>
    <t>CLFF_1000$$$DE20538712</t>
  </si>
  <si>
    <t>DE20538712</t>
  </si>
  <si>
    <t>CLFF_1000$$$DE20538713</t>
  </si>
  <si>
    <t>DE20538713</t>
  </si>
  <si>
    <t>CLFF_1000$$$DE20538714</t>
  </si>
  <si>
    <t>DE20538714</t>
  </si>
  <si>
    <t>CLFF_1000$$$DE20538715</t>
  </si>
  <si>
    <t>DE20538715</t>
  </si>
  <si>
    <t>CLFF_1000$$$DE20538716</t>
  </si>
  <si>
    <t>DE20538716</t>
  </si>
  <si>
    <t>CLFF_1000$$$DE20538717</t>
  </si>
  <si>
    <t>DE20538717</t>
  </si>
  <si>
    <t>CLFF_1000$$$DE20538887</t>
  </si>
  <si>
    <t>DE20538887</t>
  </si>
  <si>
    <t>CLFF_1000$$$DE20538920</t>
  </si>
  <si>
    <t>DE20538920</t>
  </si>
  <si>
    <t>CLFF_1000$$$DE20538921</t>
  </si>
  <si>
    <t>DE20538921</t>
  </si>
  <si>
    <t>CLFF_1000$$$DE20538978</t>
  </si>
  <si>
    <t>DE20538978</t>
  </si>
  <si>
    <t>CLFF_1000$$$DE20539001</t>
  </si>
  <si>
    <t>DE20539001</t>
  </si>
  <si>
    <t>CLFF_1000$$$DE20539002</t>
  </si>
  <si>
    <t>DE20539002</t>
  </si>
  <si>
    <t>CLFF_1000$$$DE20539004</t>
  </si>
  <si>
    <t>DE20539004</t>
  </si>
  <si>
    <t>CLFF_1000$$$DE20567500</t>
  </si>
  <si>
    <t>G000000986</t>
  </si>
  <si>
    <t>DE20567500</t>
  </si>
  <si>
    <t>CLFF_1000$$$DE20569401</t>
  </si>
  <si>
    <t>DE20569401</t>
  </si>
  <si>
    <t>CLFF_1000$$$DE20538145</t>
  </si>
  <si>
    <t>DE20538145</t>
  </si>
  <si>
    <t>CLFF_1000$$$DE20538190</t>
  </si>
  <si>
    <t>DE20538190</t>
  </si>
  <si>
    <t>CLFF_1000$$$DE20539003</t>
  </si>
  <si>
    <t>DE20539003</t>
  </si>
  <si>
    <t>CLFF_1000$$$DE20567400</t>
  </si>
  <si>
    <t>G000000960</t>
  </si>
  <si>
    <t>DE20567400</t>
  </si>
  <si>
    <t>FR7467264</t>
  </si>
  <si>
    <t>CLFF_1000$$$DE50OF0154 Global Health Germany</t>
  </si>
  <si>
    <t>H000004394</t>
  </si>
  <si>
    <t>G000000776</t>
  </si>
  <si>
    <t>DE50OF0154</t>
  </si>
  <si>
    <t>CLFF_1000$$$DE10624416 Global Health</t>
  </si>
  <si>
    <t>DE10624416</t>
  </si>
  <si>
    <t>CLFF_1000$$$CH65GCA008 Health Equity Accessibility</t>
  </si>
  <si>
    <t>CH65GCA008</t>
  </si>
  <si>
    <t>CLFF_1000$$$CH65GCA010 Praziquantel Donation &amp; Global Sch</t>
  </si>
  <si>
    <t>CH65GCA010</t>
  </si>
  <si>
    <t>CLFF_1000$$$CH65GCA001 Global Health Research Institute</t>
  </si>
  <si>
    <t>G000000777</t>
  </si>
  <si>
    <t>CH65GCA001</t>
  </si>
  <si>
    <t>CLFF_1000$$$DE50OF6808 Health Equity Accessibility GER</t>
  </si>
  <si>
    <t>DE50OF6808</t>
  </si>
  <si>
    <t>CTEMPEU_1000FR40699007 Access To Health FR</t>
  </si>
  <si>
    <t>CTEMPNA_1000US30136400 Global Health</t>
  </si>
  <si>
    <t>FR7467597</t>
  </si>
  <si>
    <t>CLFF_1000$$$AT50L93100 Fertility benefit reimbursement costs</t>
  </si>
  <si>
    <t>G000001227</t>
  </si>
  <si>
    <t>G000000589</t>
  </si>
  <si>
    <t>AT50L93100</t>
  </si>
  <si>
    <t>CLFF_1000$$$DK50L93100 Fertility benefit reimbursement costs</t>
  </si>
  <si>
    <t>DK50L93100</t>
  </si>
  <si>
    <t>CLFF_1000$$$FI50L93100 Fertility benefit reimbursement costs</t>
  </si>
  <si>
    <t>FI50L93100</t>
  </si>
  <si>
    <t>CLFF_1000$$$KR02GHR119 MBS RPO</t>
  </si>
  <si>
    <t>G000000119</t>
  </si>
  <si>
    <t>G000000113</t>
  </si>
  <si>
    <t>KR02GHR119</t>
  </si>
  <si>
    <t>CLFF_1000$$$MA50GHR018 HR - Fert benefit reimbursement costs MA</t>
  </si>
  <si>
    <t>MA50GHR018</t>
  </si>
  <si>
    <t>CLFF_1000$$$NO50L93100 Fertility benefit reimbursement costs</t>
  </si>
  <si>
    <t>NO50L93100</t>
  </si>
  <si>
    <t>CLFF_1000$$$SE50L93100 Fertility benefit reimbursement costs</t>
  </si>
  <si>
    <t>SE50L93100</t>
  </si>
  <si>
    <t>CLFF_1000$$$TN50GHR018 HR - Fert benefit reimbursement costs</t>
  </si>
  <si>
    <t>TN50GHR018</t>
  </si>
  <si>
    <t>CLFF_1000$$$TN50GHR019 HR - Fert benefit reimbursement costs DZ</t>
  </si>
  <si>
    <t>TN50GHR019</t>
  </si>
  <si>
    <t>CLFF_1000$$$TN60GHR018 HR - Fert benefit reimbursement costs TN</t>
  </si>
  <si>
    <t>TN60GHR018</t>
  </si>
  <si>
    <t>CLFF_KR00$$$KR03GHR119 MBS RPO</t>
  </si>
  <si>
    <t>KR03GHR119</t>
  </si>
  <si>
    <t>Changes were saved for change request 25523738</t>
  </si>
  <si>
    <t>CORAERP_MMOR1945.9153 Fertility reimbursement purposes</t>
  </si>
  <si>
    <t>FR7468738</t>
  </si>
  <si>
    <t>Duplicated Parent</t>
  </si>
  <si>
    <t>CLFF_7210$$$2068TAUA01 Urbana Equipment CC</t>
  </si>
  <si>
    <t>L000013447</t>
  </si>
  <si>
    <t>2068TAUA01</t>
  </si>
  <si>
    <t>Duplicate request FR7449455. This was already processed and mapped to its requested parent node.</t>
  </si>
  <si>
    <t>Roselle Delos Angeles</t>
  </si>
  <si>
    <t>FLFF_7210$$$2068TAUA01_IO Urbana Equipment CC (IO)</t>
  </si>
  <si>
    <t>P000000188 SRF-US-UB Other</t>
  </si>
  <si>
    <t>P000000333 SRF-US-UB Quality (T2)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</si>
</sst>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
    <numFmt numFmtId="165" formatCode="m/d/yyyy"/>
    <numFmt numFmtId="166" formatCode="yyyy\-mm\-dd\ hh:mm:ss"/>
  </numFmts>
  <fonts count="36">
    <font>
      <sz val="11"/>
      <color theme="1"/>
      <name val="Calibri"/>
      <family val="2"/>
      <scheme val="minor"/>
    </font>
    <font>
      <b/>
      <sz val="10.5"/>
      <color rgb="FF165D81"/>
      <name val="Calibri"/>
      <family val="2"/>
    </font>
    <font>
      <b/>
      <sz val="10.5"/>
      <color theme="1" tint="0.24994659260841701"/>
      <name val="Calibri"/>
      <family val="2"/>
    </font>
    <font>
      <b/>
      <sz val="10.5"/>
      <color theme="1" tint="0.34998626667073579"/>
      <name val="Calibri"/>
      <family val="2"/>
    </font>
    <font>
      <b/>
      <sz val="10.5"/>
      <color theme="4"/>
      <name val="Calibri"/>
      <family val="2"/>
    </font>
    <font>
      <b/>
      <sz val="10.5"/>
      <color theme="7"/>
      <name val="Calibri"/>
      <family val="2"/>
    </font>
    <font>
      <b/>
      <sz val="10.5"/>
      <color theme="5" tint="0.39994506668294322"/>
      <name val="Calibri"/>
      <family val="2"/>
    </font>
    <font>
      <b/>
      <sz val="10.5"/>
      <color rgb="FF336577"/>
      <name val="Calibri"/>
      <family val="2"/>
    </font>
    <font>
      <b/>
      <sz val="10.5"/>
      <color theme="6" tint="-0.24994659260841701"/>
      <name val="Calibri"/>
      <family val="2"/>
    </font>
    <font>
      <b/>
      <sz val="10.5"/>
      <color theme="3" tint="0.39994506668294322"/>
      <name val="Calibri"/>
      <family val="2"/>
    </font>
    <font>
      <sz val="8"/>
      <name val="Calibri"/>
      <family val="2"/>
      <scheme val="minor"/>
    </font>
    <font>
      <b/>
      <sz val="8"/>
      <color rgb="FF1F497D"/>
      <name val="Verdana"/>
      <family val="2"/>
    </font>
    <font>
      <sz val="8"/>
      <color rgb="FF1F497D"/>
      <name val="Verdana"/>
      <family val="2"/>
    </font>
    <font>
      <sz val="8"/>
      <color rgb="FF000000"/>
      <name val="Verdana"/>
      <family val="2"/>
    </font>
    <font>
      <b/>
      <sz val="8"/>
      <color rgb="FF00CC00"/>
      <name val="Verdana"/>
      <family val="2"/>
    </font>
    <font>
      <b/>
      <sz val="8"/>
      <color rgb="FF33CC33"/>
      <name val="Verdana"/>
      <family val="2"/>
    </font>
    <font>
      <b/>
      <sz val="8"/>
      <color rgb="FFFF9900"/>
      <name val="Verdana"/>
      <family val="2"/>
    </font>
    <font>
      <b/>
      <sz val="8"/>
      <color rgb="FFFF0000"/>
      <name val="Verdana"/>
      <family val="2"/>
    </font>
    <font>
      <sz val="8"/>
      <color rgb="FF000000"/>
      <name val="Arial"/>
      <family val="2"/>
    </font>
    <font>
      <sz val="8"/>
      <color rgb="FFDBE5F1"/>
      <name val="Verdana"/>
      <family val="2"/>
    </font>
    <font>
      <i/>
      <sz val="8"/>
      <color rgb="FF000000"/>
      <name val="Verdana"/>
      <family val="2"/>
    </font>
    <font>
      <b/>
      <i/>
      <sz val="8"/>
      <color rgb="FF000000"/>
      <name val="Verdana"/>
      <family val="2"/>
    </font>
    <font>
      <b/>
      <i/>
      <sz val="8"/>
      <color rgb="FF1F497D"/>
      <name val="Verdana"/>
      <family val="2"/>
    </font>
    <font>
      <i/>
      <sz val="8"/>
      <color rgb="FF1F497D"/>
      <name val="Verdana"/>
      <family val="2"/>
    </font>
    <font>
      <sz val="12"/>
      <color theme="1"/>
      <name val="Verdana"/>
      <family val="2"/>
    </font>
    <font>
      <sz val="11"/>
      <color theme="1"/>
      <name val="Verdana"/>
      <family val="2"/>
    </font>
    <font>
      <b/>
      <sz val="11"/>
      <color theme="1"/>
      <name val="Verdana"/>
      <family val="2"/>
    </font>
    <font>
      <b/>
      <u/>
      <sz val="11"/>
      <color theme="1"/>
      <name val="Verdana"/>
      <family val="2"/>
    </font>
    <font>
      <i/>
      <sz val="11"/>
      <color theme="1"/>
      <name val="Verdana"/>
      <family val="2"/>
    </font>
    <font>
      <sz val="8"/>
      <color theme="1"/>
      <name val="Verdana"/>
      <family val="2"/>
    </font>
    <font>
      <b/>
      <sz val="8"/>
      <color theme="1"/>
      <name val="Verdana"/>
      <family val="2"/>
    </font>
    <font>
      <b/>
      <sz val="11"/>
      <color theme="1"/>
      <name val="Calibri"/>
      <family val="2"/>
      <scheme val="minor"/>
    </font>
    <font>
      <sz val="9"/>
      <color theme="1"/>
      <name val="Verdana"/>
      <family val="2"/>
    </font>
    <font>
      <u/>
      <sz val="11"/>
      <color rgb="FFFF0000"/>
      <name val="Verdana"/>
      <family val="2"/>
    </font>
    <font>
      <sz val="8"/>
      <color theme="1"/>
      <name val="Altos"/>
    </font>
    <font>
      <sz val="8"/>
      <color theme="1"/>
      <name val="Verdana"/>
    </font>
  </fonts>
  <fills count="22">
    <fill>
      <patternFill patternType="none"/>
    </fill>
    <fill>
      <patternFill patternType="gray125"/>
    </fill>
    <fill>
      <patternFill patternType="solid">
        <fgColor rgb="FFBED7A5"/>
        <bgColor indexed="64"/>
      </patternFill>
    </fill>
    <fill>
      <patternFill patternType="solid">
        <fgColor theme="8" tint="0.79998168889431442"/>
        <bgColor indexed="64"/>
      </patternFill>
    </fill>
    <fill>
      <patternFill patternType="solid">
        <fgColor rgb="FFFFFF00"/>
        <bgColor indexed="64"/>
      </patternFill>
    </fill>
    <fill>
      <patternFill patternType="solid">
        <fgColor rgb="FFDBE5F1"/>
        <bgColor rgb="FF000000"/>
      </patternFill>
    </fill>
    <fill>
      <patternFill patternType="solid">
        <fgColor rgb="FFDBE5F1"/>
        <bgColor rgb="FFFFFFFF"/>
      </patternFill>
    </fill>
    <fill>
      <patternFill patternType="solid">
        <fgColor rgb="FFFFFFFF"/>
        <bgColor rgb="FF000000"/>
      </patternFill>
    </fill>
    <fill>
      <patternFill patternType="solid">
        <fgColor rgb="FFF1F5FB"/>
        <bgColor rgb="FF000000"/>
      </patternFill>
    </fill>
    <fill>
      <patternFill patternType="solid">
        <fgColor rgb="FFE9EFF7"/>
        <bgColor rgb="FF000000"/>
      </patternFill>
    </fill>
    <fill>
      <patternFill patternType="solid">
        <fgColor rgb="FFC6F9C1"/>
        <bgColor rgb="FF000000"/>
      </patternFill>
    </fill>
    <fill>
      <patternFill patternType="solid">
        <fgColor rgb="FFABEDA5"/>
        <bgColor rgb="FF000000"/>
      </patternFill>
    </fill>
    <fill>
      <patternFill patternType="solid">
        <fgColor rgb="FF94D88F"/>
        <bgColor rgb="FF000000"/>
      </patternFill>
    </fill>
    <fill>
      <patternFill patternType="solid">
        <fgColor rgb="FFFFFDBF"/>
        <bgColor rgb="FF000000"/>
      </patternFill>
    </fill>
    <fill>
      <patternFill patternType="solid">
        <fgColor rgb="FFFFFB8C"/>
        <bgColor rgb="FF000000"/>
      </patternFill>
    </fill>
    <fill>
      <patternFill patternType="solid">
        <fgColor rgb="FFFFF843"/>
        <bgColor rgb="FF000000"/>
      </patternFill>
    </fill>
    <fill>
      <patternFill patternType="solid">
        <fgColor rgb="FFFFC7CE"/>
        <bgColor rgb="FF000000"/>
      </patternFill>
    </fill>
    <fill>
      <patternFill patternType="solid">
        <fgColor rgb="FFFF988C"/>
        <bgColor rgb="FF000000"/>
      </patternFill>
    </fill>
    <fill>
      <patternFill patternType="solid">
        <fgColor rgb="FFFF6758"/>
        <bgColor rgb="FF000000"/>
      </patternFill>
    </fill>
    <fill>
      <patternFill patternType="solid">
        <fgColor rgb="FFB7CFE8"/>
        <bgColor rgb="FF000000"/>
      </patternFill>
    </fill>
    <fill>
      <patternFill patternType="solid">
        <fgColor rgb="FFC3D6EB"/>
        <bgColor rgb="FF000000"/>
      </patternFill>
    </fill>
    <fill>
      <patternFill patternType="solid">
        <fgColor rgb="FFDBE5F2"/>
        <bgColor rgb="FF000000"/>
      </patternFill>
    </fill>
  </fills>
  <borders count="14">
    <border>
      <left/>
      <right/>
      <top/>
      <bottom/>
      <diagonal/>
    </border>
    <border>
      <left style="medium">
        <color theme="0" tint="-0.24994659260841701"/>
      </left>
      <right style="medium">
        <color theme="0" tint="-0.24994659260841701"/>
      </right>
      <top style="medium">
        <color theme="0" tint="-0.24994659260841701"/>
      </top>
      <bottom style="medium">
        <color theme="0" tint="-0.24994659260841701"/>
      </bottom>
      <diagonal/>
    </border>
    <border>
      <left style="thin">
        <color theme="0" tint="-0.24994659260841701"/>
      </left>
      <right style="thin">
        <color theme="0" tint="-0.24994659260841701"/>
      </right>
      <top/>
      <bottom/>
      <diagonal/>
    </border>
    <border>
      <left style="thin">
        <color theme="0" tint="-0.24994659260841701"/>
      </left>
      <right style="medium">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medium">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left>
      <right style="thin">
        <color theme="0"/>
      </right>
      <top style="thin">
        <color theme="0"/>
      </top>
      <bottom style="thin">
        <color theme="0"/>
      </bottom>
      <diagonal/>
    </border>
    <border>
      <left style="thin">
        <color theme="3" tint="-0.24994659260841701"/>
      </left>
      <right style="thin">
        <color theme="3" tint="-0.24994659260841701"/>
      </right>
      <top style="thin">
        <color theme="3" tint="-0.24994659260841701"/>
      </top>
      <bottom style="thin">
        <color theme="3" tint="-0.24994659260841701"/>
      </bottom>
      <diagonal/>
    </border>
    <border>
      <left style="thin">
        <color theme="3" tint="0.59996337778862885"/>
      </left>
      <right style="thin">
        <color theme="3" tint="0.59996337778862885"/>
      </right>
      <top style="thin">
        <color theme="3" tint="0.59996337778862885"/>
      </top>
      <bottom style="thin">
        <color theme="3" tint="0.59996337778862885"/>
      </bottom>
      <diagonal/>
    </border>
    <border>
      <left style="thin">
        <color rgb="FF808080"/>
      </left>
      <right style="thin">
        <color rgb="FF808080"/>
      </right>
      <top style="thin">
        <color rgb="FF808080"/>
      </top>
      <bottom style="thin">
        <color rgb="FF808080"/>
      </bottom>
      <diagonal/>
    </border>
    <border>
      <left style="hair">
        <color rgb="FFC0C0C0"/>
      </left>
      <right style="hair">
        <color rgb="FFC0C0C0"/>
      </right>
      <top style="thin">
        <color rgb="FF808080"/>
      </top>
      <bottom style="thin">
        <color rgb="FF808080"/>
      </bottom>
      <diagonal/>
    </border>
    <border>
      <left style="medium">
        <color rgb="FFFF0000"/>
      </left>
      <right style="medium">
        <color rgb="FFFF0000"/>
      </right>
      <top style="medium">
        <color rgb="FFFF0000"/>
      </top>
      <bottom style="medium">
        <color rgb="FFFF0000"/>
      </bottom>
      <diagonal/>
    </border>
    <border>
      <left style="thin">
        <color rgb="FF000000"/>
      </left>
      <right style="thin">
        <color rgb="FF000000"/>
      </right>
      <top style="thin">
        <color rgb="FF000000"/>
      </top>
      <bottom style="thin">
        <color rgb="FF000000"/>
      </bottom>
      <diagonal/>
    </border>
    <border>
      <left style="medium">
        <color indexed="64"/>
      </left>
      <right style="medium">
        <color indexed="64"/>
      </right>
      <top style="medium">
        <color indexed="64"/>
      </top>
      <bottom style="medium">
        <color indexed="64"/>
      </bottom>
      <diagonal/>
    </border>
  </borders>
  <cellStyleXfs count="96">
    <xf numFmtId="0" fontId="0" fillId="0" borderId="0"/>
    <xf numFmtId="0" fontId="1" fillId="0" borderId="1" applyNumberFormat="0" applyFill="0" applyProtection="0">
      <alignment horizontal="center" vertical="center"/>
    </xf>
    <xf numFmtId="3" fontId="2" fillId="0" borderId="2" applyFont="0" applyFill="0" applyAlignment="0" applyProtection="0"/>
    <xf numFmtId="3" fontId="2" fillId="0" borderId="2" applyFont="0" applyFill="0" applyAlignment="0" applyProtection="0"/>
    <xf numFmtId="3" fontId="2" fillId="0" borderId="2" applyFont="0" applyFill="0" applyAlignment="0" applyProtection="0"/>
    <xf numFmtId="3" fontId="2" fillId="0" borderId="2" applyFont="0" applyFill="0" applyAlignment="0" applyProtection="0"/>
    <xf numFmtId="3" fontId="2" fillId="0" borderId="2" applyFont="0" applyFill="0" applyAlignment="0" applyProtection="0"/>
    <xf numFmtId="3" fontId="2" fillId="0" borderId="2" applyFont="0" applyFill="0" applyAlignment="0" applyProtection="0"/>
    <xf numFmtId="3" fontId="2" fillId="0" borderId="2" applyFont="0" applyFill="0" applyAlignment="0" applyProtection="0"/>
    <xf numFmtId="3" fontId="2" fillId="0" borderId="2" applyFont="0" applyFill="0" applyAlignment="0" applyProtection="0"/>
    <xf numFmtId="3" fontId="1" fillId="0" borderId="1" applyNumberFormat="0" applyFill="0" applyAlignment="0" applyProtection="0"/>
    <xf numFmtId="0" fontId="1" fillId="0" borderId="1" applyNumberFormat="0" applyFill="0" applyAlignment="0" applyProtection="0"/>
    <xf numFmtId="3" fontId="1" fillId="0" borderId="1" applyNumberFormat="0" applyFill="0" applyAlignment="0" applyProtection="0"/>
    <xf numFmtId="0" fontId="1" fillId="0" borderId="1" applyNumberFormat="0" applyFill="0" applyAlignment="0" applyProtection="0"/>
    <xf numFmtId="0" fontId="1" fillId="0" borderId="1" applyNumberFormat="0" applyFill="0" applyAlignment="0" applyProtection="0"/>
    <xf numFmtId="0" fontId="1" fillId="0" borderId="1" applyNumberFormat="0" applyFill="0" applyAlignment="0" applyProtection="0"/>
    <xf numFmtId="0" fontId="1" fillId="0" borderId="1" applyNumberFormat="0" applyFill="0" applyAlignment="0" applyProtection="0"/>
    <xf numFmtId="0" fontId="1" fillId="0" borderId="1" applyNumberFormat="0" applyFill="0" applyAlignment="0" applyProtection="0"/>
    <xf numFmtId="3" fontId="2" fillId="0" borderId="0" applyNumberFormat="0" applyBorder="0" applyAlignment="0" applyProtection="0"/>
    <xf numFmtId="3" fontId="2" fillId="0" borderId="0" applyNumberFormat="0" applyBorder="0" applyAlignment="0" applyProtection="0"/>
    <xf numFmtId="3" fontId="2" fillId="0" borderId="0" applyNumberFormat="0" applyBorder="0" applyAlignment="0" applyProtection="0"/>
    <xf numFmtId="3" fontId="2" fillId="0" borderId="0" applyNumberFormat="0" applyBorder="0" applyAlignment="0" applyProtection="0"/>
    <xf numFmtId="3" fontId="2" fillId="0" borderId="0" applyNumberFormat="0" applyBorder="0" applyAlignment="0" applyProtection="0"/>
    <xf numFmtId="3" fontId="2" fillId="0" borderId="2" applyNumberFormat="0" applyBorder="0" applyAlignment="0" applyProtection="0"/>
    <xf numFmtId="3" fontId="2" fillId="0" borderId="2" applyNumberFormat="0" applyBorder="0" applyAlignment="0" applyProtection="0"/>
    <xf numFmtId="3" fontId="2" fillId="0" borderId="2" applyNumberFormat="0" applyBorder="0" applyAlignment="0" applyProtection="0"/>
    <xf numFmtId="0" fontId="2" fillId="0" borderId="2" applyNumberFormat="0" applyFill="0" applyAlignment="0" applyProtection="0"/>
    <xf numFmtId="0" fontId="2" fillId="0" borderId="2" applyNumberFormat="0" applyFill="0" applyAlignment="0" applyProtection="0"/>
    <xf numFmtId="0" fontId="2" fillId="0" borderId="2">
      <alignment horizontal="right" vertical="center"/>
    </xf>
    <xf numFmtId="3" fontId="2" fillId="2" borderId="2">
      <alignment horizontal="center" vertical="center"/>
    </xf>
    <xf numFmtId="0" fontId="2" fillId="2" borderId="2">
      <alignment horizontal="right" vertical="center"/>
    </xf>
    <xf numFmtId="0" fontId="1" fillId="0" borderId="3">
      <alignment horizontal="left" vertical="center"/>
    </xf>
    <xf numFmtId="0" fontId="1" fillId="0" borderId="4">
      <alignment horizontal="center" vertical="center"/>
    </xf>
    <xf numFmtId="0" fontId="3" fillId="0" borderId="5">
      <alignment horizontal="center" vertical="center"/>
    </xf>
    <xf numFmtId="0" fontId="2" fillId="3" borderId="2"/>
    <xf numFmtId="3" fontId="4" fillId="0" borderId="2"/>
    <xf numFmtId="3" fontId="5" fillId="0" borderId="2"/>
    <xf numFmtId="0" fontId="1" fillId="0" borderId="4">
      <alignment horizontal="left" vertical="top"/>
    </xf>
    <xf numFmtId="0" fontId="6" fillId="0" borderId="2"/>
    <xf numFmtId="0" fontId="1" fillId="0" borderId="4">
      <alignment horizontal="left" vertical="center"/>
    </xf>
    <xf numFmtId="0" fontId="2" fillId="2" borderId="6"/>
    <xf numFmtId="3" fontId="2" fillId="0" borderId="2">
      <alignment horizontal="right" vertical="center"/>
    </xf>
    <xf numFmtId="0" fontId="1" fillId="0" borderId="4">
      <alignment horizontal="right" vertical="center"/>
    </xf>
    <xf numFmtId="0" fontId="2" fillId="0" borderId="5">
      <alignment horizontal="center" vertical="center"/>
    </xf>
    <xf numFmtId="3" fontId="2" fillId="0" borderId="2"/>
    <xf numFmtId="3" fontId="2" fillId="0" borderId="2"/>
    <xf numFmtId="0" fontId="2" fillId="0" borderId="5">
      <alignment horizontal="center" vertical="center" wrapText="1"/>
    </xf>
    <xf numFmtId="0" fontId="7" fillId="0" borderId="5">
      <alignment horizontal="left" vertical="center" indent="1"/>
    </xf>
    <xf numFmtId="0" fontId="8" fillId="0" borderId="2"/>
    <xf numFmtId="0" fontId="1" fillId="0" borderId="3">
      <alignment horizontal="left" vertical="center"/>
    </xf>
    <xf numFmtId="3" fontId="2" fillId="0" borderId="2">
      <alignment horizontal="center" vertical="center"/>
    </xf>
    <xf numFmtId="0" fontId="1" fillId="0" borderId="4">
      <alignment horizontal="center" vertical="center"/>
    </xf>
    <xf numFmtId="0" fontId="1" fillId="0" borderId="4">
      <alignment horizontal="center" vertical="center"/>
    </xf>
    <xf numFmtId="0" fontId="1" fillId="0" borderId="3">
      <alignment horizontal="left" vertical="center"/>
    </xf>
    <xf numFmtId="0" fontId="1" fillId="0" borderId="3">
      <alignment horizontal="left" vertical="center"/>
    </xf>
    <xf numFmtId="0" fontId="9" fillId="0" borderId="2"/>
    <xf numFmtId="0" fontId="11" fillId="5" borderId="7" applyNumberFormat="0" applyAlignment="0" applyProtection="0">
      <alignment horizontal="left" vertical="center" indent="1"/>
    </xf>
    <xf numFmtId="164" fontId="12" fillId="0" borderId="8" applyNumberFormat="0" applyProtection="0">
      <alignment horizontal="right" vertical="center"/>
    </xf>
    <xf numFmtId="164" fontId="11" fillId="0" borderId="9" applyNumberFormat="0" applyProtection="0">
      <alignment horizontal="right" vertical="center"/>
    </xf>
    <xf numFmtId="164" fontId="12" fillId="6" borderId="7" applyNumberFormat="0" applyAlignment="0" applyProtection="0">
      <alignment horizontal="left" vertical="center" indent="1"/>
    </xf>
    <xf numFmtId="0" fontId="13" fillId="7" borderId="9" applyNumberFormat="0" applyAlignment="0">
      <alignment horizontal="left" vertical="center" indent="1"/>
      <protection locked="0"/>
    </xf>
    <xf numFmtId="0" fontId="13" fillId="8" borderId="9" applyNumberFormat="0" applyAlignment="0" applyProtection="0">
      <alignment horizontal="left" vertical="center" indent="1"/>
    </xf>
    <xf numFmtId="164" fontId="12" fillId="9" borderId="8" applyNumberFormat="0" applyBorder="0">
      <alignment horizontal="right" vertical="center"/>
      <protection locked="0"/>
    </xf>
    <xf numFmtId="0" fontId="13" fillId="7" borderId="9" applyNumberFormat="0" applyAlignment="0">
      <alignment horizontal="left" vertical="center" indent="1"/>
      <protection locked="0"/>
    </xf>
    <xf numFmtId="164" fontId="11" fillId="8" borderId="9" applyNumberFormat="0" applyProtection="0">
      <alignment horizontal="right" vertical="center"/>
    </xf>
    <xf numFmtId="164" fontId="11" fillId="9" borderId="9" applyNumberFormat="0" applyBorder="0">
      <alignment horizontal="right" vertical="center"/>
      <protection locked="0"/>
    </xf>
    <xf numFmtId="164" fontId="14" fillId="10" borderId="10" applyNumberFormat="0" applyBorder="0" applyAlignment="0" applyProtection="0">
      <alignment horizontal="right" vertical="center" indent="1"/>
    </xf>
    <xf numFmtId="164" fontId="15" fillId="11" borderId="10" applyNumberFormat="0" applyBorder="0" applyAlignment="0" applyProtection="0">
      <alignment horizontal="right" vertical="center" indent="1"/>
    </xf>
    <xf numFmtId="164" fontId="15" fillId="12" borderId="10" applyNumberFormat="0" applyBorder="0" applyAlignment="0" applyProtection="0">
      <alignment horizontal="right" vertical="center" indent="1"/>
    </xf>
    <xf numFmtId="164" fontId="16" fillId="13" borderId="10" applyNumberFormat="0" applyBorder="0" applyAlignment="0" applyProtection="0">
      <alignment horizontal="right" vertical="center" indent="1"/>
    </xf>
    <xf numFmtId="164" fontId="16" fillId="14" borderId="10" applyNumberFormat="0" applyBorder="0" applyAlignment="0" applyProtection="0">
      <alignment horizontal="right" vertical="center" indent="1"/>
    </xf>
    <xf numFmtId="164" fontId="16" fillId="15" borderId="10" applyNumberFormat="0" applyBorder="0" applyAlignment="0" applyProtection="0">
      <alignment horizontal="right" vertical="center" indent="1"/>
    </xf>
    <xf numFmtId="164" fontId="17" fillId="16" borderId="10" applyNumberFormat="0" applyBorder="0" applyAlignment="0" applyProtection="0">
      <alignment horizontal="right" vertical="center" indent="1"/>
    </xf>
    <xf numFmtId="164" fontId="17" fillId="17" borderId="10" applyNumberFormat="0" applyBorder="0" applyAlignment="0" applyProtection="0">
      <alignment horizontal="right" vertical="center" indent="1"/>
    </xf>
    <xf numFmtId="164" fontId="17" fillId="18" borderId="10" applyNumberFormat="0" applyBorder="0" applyAlignment="0" applyProtection="0">
      <alignment horizontal="right" vertical="center" indent="1"/>
    </xf>
    <xf numFmtId="0" fontId="18" fillId="0" borderId="7" applyNumberFormat="0" applyFont="0" applyFill="0" applyAlignment="0" applyProtection="0"/>
    <xf numFmtId="164" fontId="19" fillId="6" borderId="0" applyNumberFormat="0" applyAlignment="0" applyProtection="0">
      <alignment horizontal="left" vertical="center" indent="1"/>
    </xf>
    <xf numFmtId="0" fontId="18" fillId="0" borderId="11" applyNumberFormat="0" applyFont="0" applyFill="0" applyAlignment="0" applyProtection="0"/>
    <xf numFmtId="164" fontId="12" fillId="0" borderId="8" applyNumberFormat="0" applyFill="0" applyBorder="0" applyAlignment="0" applyProtection="0">
      <alignment horizontal="right" vertical="center"/>
    </xf>
    <xf numFmtId="164" fontId="12" fillId="6" borderId="7" applyNumberFormat="0" applyAlignment="0" applyProtection="0">
      <alignment horizontal="left" vertical="center" indent="1"/>
    </xf>
    <xf numFmtId="0" fontId="11" fillId="5" borderId="9" applyNumberFormat="0" applyAlignment="0" applyProtection="0">
      <alignment horizontal="left" vertical="center" indent="1"/>
    </xf>
    <xf numFmtId="0" fontId="13" fillId="19" borderId="7" applyNumberFormat="0" applyAlignment="0" applyProtection="0">
      <alignment horizontal="left" vertical="center" indent="1"/>
    </xf>
    <xf numFmtId="0" fontId="13" fillId="20" borderId="7" applyNumberFormat="0" applyAlignment="0" applyProtection="0">
      <alignment horizontal="left" vertical="center" indent="1"/>
    </xf>
    <xf numFmtId="0" fontId="13" fillId="21" borderId="7" applyNumberFormat="0" applyAlignment="0" applyProtection="0">
      <alignment horizontal="left" vertical="center" indent="1"/>
    </xf>
    <xf numFmtId="0" fontId="13" fillId="9" borderId="7" applyNumberFormat="0" applyAlignment="0" applyProtection="0">
      <alignment horizontal="left" vertical="center" indent="1"/>
    </xf>
    <xf numFmtId="0" fontId="13" fillId="8" borderId="9" applyNumberFormat="0" applyAlignment="0" applyProtection="0">
      <alignment horizontal="left" vertical="center" indent="1"/>
    </xf>
    <xf numFmtId="0" fontId="20" fillId="0" borderId="12" applyNumberFormat="0" applyFill="0" applyBorder="0" applyAlignment="0" applyProtection="0"/>
    <xf numFmtId="0" fontId="21" fillId="0" borderId="12" applyNumberFormat="0" applyBorder="0" applyAlignment="0" applyProtection="0"/>
    <xf numFmtId="0" fontId="20" fillId="7" borderId="9" applyNumberFormat="0" applyAlignment="0">
      <alignment horizontal="left" vertical="center" indent="1"/>
      <protection locked="0"/>
    </xf>
    <xf numFmtId="0" fontId="20" fillId="7" borderId="9" applyNumberFormat="0" applyAlignment="0">
      <alignment horizontal="left" vertical="center" indent="1"/>
      <protection locked="0"/>
    </xf>
    <xf numFmtId="0" fontId="20" fillId="8" borderId="9" applyNumberFormat="0" applyAlignment="0" applyProtection="0">
      <alignment horizontal="left" vertical="center" indent="1"/>
    </xf>
    <xf numFmtId="164" fontId="22" fillId="8" borderId="9" applyNumberFormat="0" applyProtection="0">
      <alignment horizontal="right" vertical="center"/>
    </xf>
    <xf numFmtId="164" fontId="23" fillId="9" borderId="8" applyNumberFormat="0" applyBorder="0">
      <alignment horizontal="right" vertical="center"/>
      <protection locked="0"/>
    </xf>
    <xf numFmtId="164" fontId="22" fillId="9" borderId="9" applyNumberFormat="0" applyBorder="0">
      <alignment horizontal="right" vertical="center"/>
      <protection locked="0"/>
    </xf>
    <xf numFmtId="164" fontId="12" fillId="0" borderId="8" applyNumberFormat="0" applyFill="0" applyBorder="0" applyAlignment="0" applyProtection="0">
      <alignment horizontal="right" vertical="center"/>
    </xf>
    <xf numFmtId="0" fontId="32" fillId="0" borderId="0"/>
  </cellStyleXfs>
  <cellXfs count="32">
    <xf numFmtId="0" fontId="0" fillId="0" borderId="0" xfId="0"/>
    <xf numFmtId="0" fontId="0" fillId="0" borderId="0" xfId="0" pivotButton="1"/>
    <xf numFmtId="0" fontId="0" fillId="0" borderId="0" xfId="0" applyAlignment="1">
      <alignment horizontal="left"/>
    </xf>
    <xf numFmtId="0" fontId="0" fillId="4" borderId="0" xfId="0" applyFill="1"/>
    <xf numFmtId="0" fontId="0" fillId="4" borderId="0" xfId="0" applyNumberFormat="1" applyFill="1"/>
    <xf numFmtId="0" fontId="0" fillId="0" borderId="0" xfId="0" applyNumberFormat="1"/>
    <xf numFmtId="0" fontId="24" fillId="0" borderId="0" xfId="0" applyFont="1"/>
    <xf numFmtId="0" fontId="24" fillId="0" borderId="0" xfId="0" applyNumberFormat="1" applyFont="1"/>
    <xf numFmtId="165" fontId="24" fillId="0" borderId="0" xfId="0" applyNumberFormat="1" applyFont="1"/>
    <xf numFmtId="0" fontId="25" fillId="0" borderId="0" xfId="0" applyFont="1"/>
    <xf numFmtId="0" fontId="25" fillId="0" borderId="13" xfId="0" applyFont="1" applyBorder="1" applyAlignment="1">
      <alignment horizontal="left" wrapText="1"/>
    </xf>
    <xf numFmtId="0" fontId="25" fillId="0" borderId="13" xfId="0" applyFont="1" applyBorder="1"/>
    <xf numFmtId="0" fontId="25" fillId="0" borderId="0" xfId="0" applyFont="1" applyBorder="1"/>
    <xf numFmtId="0" fontId="26" fillId="4" borderId="0" xfId="0" applyFont="1" applyFill="1"/>
    <xf numFmtId="0" fontId="27" fillId="0" borderId="0" xfId="0" applyFont="1"/>
    <xf numFmtId="0" fontId="28" fillId="0" borderId="0" xfId="0" applyFont="1" applyAlignment="1">
      <alignment wrapText="1"/>
    </xf>
    <xf numFmtId="0" fontId="28" fillId="0" borderId="0" xfId="0" applyFont="1"/>
    <xf numFmtId="0" fontId="29" fillId="0" borderId="0" xfId="0" applyFont="1"/>
    <xf numFmtId="0" fontId="29" fillId="0" borderId="0" xfId="0" applyFont="1" applyAlignment="1">
      <alignment horizontal="center"/>
    </xf>
    <xf numFmtId="0" fontId="30" fillId="0" borderId="0" xfId="0" applyFont="1" applyAlignment="1">
      <alignment horizontal="center"/>
    </xf>
    <xf numFmtId="166" fontId="25" fillId="0" borderId="0" xfId="0" applyNumberFormat="1" applyFont="1"/>
    <xf numFmtId="166" fontId="25" fillId="4" borderId="0" xfId="0" applyNumberFormat="1" applyFont="1" applyFill="1"/>
    <xf numFmtId="0" fontId="31" fillId="0" borderId="0" xfId="0" applyFont="1"/>
    <xf numFmtId="0" fontId="33" fillId="0" borderId="0" xfId="0" applyFont="1"/>
    <xf numFmtId="0" fontId="30" fillId="0" borderId="0" xfId="0" applyFont="1" applyAlignment="1">
      <alignment horizontal="center" vertical="center" wrapText="1"/>
    </xf>
    <xf numFmtId="0" fontId="25" fillId="0" borderId="0" xfId="0" quotePrefix="1" applyFont="1"/>
    <xf numFmtId="0" fontId="24" fillId="0" borderId="0" xfId="0" applyNumberFormat="1" applyFont="1" applyBorder="1" applyAlignment="1">
      <alignment horizontal="center" vertical="center"/>
    </xf>
    <xf numFmtId="0" fontId="34" fillId="0" borderId="0" xfId="0" pivotButton="1" applyFont="1"/>
    <xf numFmtId="0" fontId="34" fillId="0" borderId="0" xfId="0" applyFont="1"/>
    <xf numFmtId="0" fontId="25" fillId="0" borderId="0" xfId="0" applyFont="1" applyAlignment="1">
      <alignment horizontal="center"/>
    </xf>
    <xf numFmtId="0" fontId="35" fillId="0" borderId="0" xfId="0" applyFont="1"/>
    <xf numFmtId="0" fontId="35" fillId="0" borderId="0" xfId="0" applyFont="1" applyFill="1" applyAlignment="1">
      <alignment horizontal="center" wrapText="1"/>
    </xf>
  </cellXfs>
  <cellStyles count="96">
    <cellStyle name="AF Column - IBM Cognos" xfId="1" xr:uid="{D0A49261-73EB-4C89-BA33-5DF4FBFA06CC}"/>
    <cellStyle name="AF Data - IBM Cognos" xfId="2" xr:uid="{31E70E6A-B4D1-4B3D-96FC-3C70E1FA83F7}"/>
    <cellStyle name="AF Data 0 - IBM Cognos" xfId="3" xr:uid="{881C5D7E-FD0A-47DD-92B8-69787B432E6C}"/>
    <cellStyle name="AF Data 1 - IBM Cognos" xfId="4" xr:uid="{7D3D5178-524A-4245-8341-73ABCC417BD5}"/>
    <cellStyle name="AF Data 2 - IBM Cognos" xfId="5" xr:uid="{B558BC7B-72CC-4977-9BB8-0CA298534466}"/>
    <cellStyle name="AF Data 3 - IBM Cognos" xfId="6" xr:uid="{B3A0082C-FF15-4AA4-AFCA-3E1638ACEE6E}"/>
    <cellStyle name="AF Data 4 - IBM Cognos" xfId="7" xr:uid="{D7F296E4-58BE-4188-8285-5BA8E49662AD}"/>
    <cellStyle name="AF Data 5 - IBM Cognos" xfId="8" xr:uid="{237D517A-C93A-4030-BAE4-EF07FE2BAA65}"/>
    <cellStyle name="AF Data Leaf - IBM Cognos" xfId="9" xr:uid="{E0F81E87-480F-45B3-B03B-605965D16A5E}"/>
    <cellStyle name="AF Header - IBM Cognos" xfId="10" xr:uid="{A34A9091-B258-4C59-A7E9-E247E21CF1F5}"/>
    <cellStyle name="AF Header 0 - IBM Cognos" xfId="11" xr:uid="{38840870-1A32-4A68-8AA2-CBE2D66508F6}"/>
    <cellStyle name="AF Header 1 - IBM Cognos" xfId="12" xr:uid="{2FDA2587-7736-4734-9C1B-5922700D0E74}"/>
    <cellStyle name="AF Header 2 - IBM Cognos" xfId="13" xr:uid="{3BEA2FAD-6901-4562-92C1-9CEC69CEDB82}"/>
    <cellStyle name="AF Header 3 - IBM Cognos" xfId="14" xr:uid="{4CC85457-BAE0-4214-9303-5311663D9490}"/>
    <cellStyle name="AF Header 4 - IBM Cognos" xfId="15" xr:uid="{D3CD432B-A459-4694-AB54-3D425DBF79ED}"/>
    <cellStyle name="AF Header 5 - IBM Cognos" xfId="16" xr:uid="{321B04C2-BA9C-4E7B-8837-1C0543FFE21A}"/>
    <cellStyle name="AF Header Leaf - IBM Cognos" xfId="17" xr:uid="{C628DF5E-0B31-42BC-BE8B-7D4627F8D9E4}"/>
    <cellStyle name="AF Row - IBM Cognos" xfId="18" xr:uid="{86610965-1938-4CC4-86C5-334882352E77}"/>
    <cellStyle name="AF Row 0 - IBM Cognos" xfId="19" xr:uid="{3E6DEE0B-E8D8-42A2-A38A-2F7953AC1E2D}"/>
    <cellStyle name="AF Row 1 - IBM Cognos" xfId="20" xr:uid="{9C13C785-11A1-4F00-ADFE-41F334B4ED5F}"/>
    <cellStyle name="AF Row 2 - IBM Cognos" xfId="21" xr:uid="{1A08972C-F677-4CED-B552-1FC3F351FA7C}"/>
    <cellStyle name="AF Row 3 - IBM Cognos" xfId="22" xr:uid="{120D034B-12DF-4EED-A8D2-2D48D55B6612}"/>
    <cellStyle name="AF Row 4 - IBM Cognos" xfId="23" xr:uid="{B0BC83C2-467F-45D8-B4F8-B3DD32977B41}"/>
    <cellStyle name="AF Row 5 - IBM Cognos" xfId="24" xr:uid="{7AF48DF1-448B-4295-9EFB-64D38EC4BEE5}"/>
    <cellStyle name="AF Row Leaf - IBM Cognos" xfId="25" xr:uid="{AA4762CC-DF68-49E1-98F8-4DD170C4985D}"/>
    <cellStyle name="AF Subnm - IBM Cognos" xfId="26" xr:uid="{D12177FA-91A6-4BC5-BC7F-76A12A5CA8F7}"/>
    <cellStyle name="AF Title - IBM Cognos" xfId="27" xr:uid="{43FABB5C-8717-4C52-AD10-0EC5A9A35726}"/>
    <cellStyle name="Calculated Column - IBM Cognos" xfId="28" xr:uid="{7348B354-72E9-44C4-B162-3D806CBDEE02}"/>
    <cellStyle name="Calculated Column Name - IBM Cognos" xfId="29" xr:uid="{789B1D43-B4DB-44B7-8EDC-6318D4C87D73}"/>
    <cellStyle name="Calculated Row - IBM Cognos" xfId="30" xr:uid="{E3FCBAFC-421E-4F6A-843D-8D72EFFEAE7F}"/>
    <cellStyle name="Calculated Row Name - IBM Cognos" xfId="31" xr:uid="{84A5F684-A6C9-40E6-AA6A-2D6CCC025F46}"/>
    <cellStyle name="Column Name - IBM Cognos" xfId="32" xr:uid="{D8F5B948-02AA-4278-98A0-A7E4E1D54B05}"/>
    <cellStyle name="Column Template - IBM Cognos" xfId="33" xr:uid="{CEA400E8-BCF1-4C73-B46E-C168C20D0A1D}"/>
    <cellStyle name="Differs From Base - IBM Cognos" xfId="34" xr:uid="{89293AFA-A927-4DE3-BC2F-CEF1222D1368}"/>
    <cellStyle name="Edit - IBM Cognos" xfId="35" xr:uid="{0F6BC9A2-049F-41D4-B786-458BAD0D5F93}"/>
    <cellStyle name="Formula - IBM Cognos" xfId="36" xr:uid="{E9B9E203-3A8B-4D1E-B090-183019B5D122}"/>
    <cellStyle name="Group Name - IBM Cognos" xfId="37" xr:uid="{847301F4-F5CD-48D7-AB38-F1130CD43865}"/>
    <cellStyle name="Hold Values - IBM Cognos" xfId="38" xr:uid="{9AB6A887-15C9-4AA5-A1C2-7434FADC2CA0}"/>
    <cellStyle name="List Name - IBM Cognos" xfId="39" xr:uid="{14CFD020-F8A5-483F-A1CD-5DF91E95F273}"/>
    <cellStyle name="Locked - IBM Cognos" xfId="40" xr:uid="{A5C54D61-153E-402B-8B42-E337EDFCC559}"/>
    <cellStyle name="Measure - IBM Cognos" xfId="41" xr:uid="{08164D94-20EC-4D22-8605-D7FD1FDD2574}"/>
    <cellStyle name="Measure Header - IBM Cognos" xfId="42" xr:uid="{B0BDD256-F500-4E20-A828-094AB7818B80}"/>
    <cellStyle name="Measure Name - IBM Cognos" xfId="43" xr:uid="{00E63636-6DFA-45CF-81F0-C688733E1C2C}"/>
    <cellStyle name="Measure Summary - IBM Cognos" xfId="44" xr:uid="{3C5A628D-5179-4D74-8A7B-F38B7C5A59D2}"/>
    <cellStyle name="Measure Summary TM1 - IBM Cognos" xfId="45" xr:uid="{F636711D-007B-41C0-9EF8-099BB4571EA2}"/>
    <cellStyle name="Measure Template - IBM Cognos" xfId="46" xr:uid="{96E2EAB1-B54E-4DAD-BCEC-D83C63831438}"/>
    <cellStyle name="More - IBM Cognos" xfId="47" xr:uid="{52D33076-9638-43CC-816F-1B3ED419163B}"/>
    <cellStyle name="Normal" xfId="0" builtinId="0" customBuiltin="1"/>
    <cellStyle name="Normal 3" xfId="95" xr:uid="{F46AFD33-82B1-48BD-BC26-2F87FFA08EE0}"/>
    <cellStyle name="Pending Change - IBM Cognos" xfId="48" xr:uid="{4DFFDB17-8825-454C-878B-D58831117175}"/>
    <cellStyle name="Row Name - IBM Cognos" xfId="49" xr:uid="{CA303FA2-0E72-4A42-B4C5-73F932CE19D4}"/>
    <cellStyle name="Row Template - IBM Cognos" xfId="50" xr:uid="{DA87393D-4E82-4F7B-BD0E-E37046F92AD7}"/>
    <cellStyle name="SAPBorder" xfId="75" xr:uid="{C066DC53-F2DE-4D33-8D48-A810EDCE2FC9}"/>
    <cellStyle name="SAPDataCell" xfId="57" xr:uid="{E354F40A-5491-4968-A4F6-056BF1F1794B}"/>
    <cellStyle name="SAPDataRemoved" xfId="76" xr:uid="{73B63571-F3E3-4FD9-8681-B2BED2981A8F}"/>
    <cellStyle name="SAPDataTotalCell" xfId="58" xr:uid="{8BF56B63-9C24-4A19-A67D-DBE2D7FC2E2F}"/>
    <cellStyle name="SAPDimensionCell" xfId="56" xr:uid="{69336C73-BFAB-483B-8C5B-32FC5AC3238F}"/>
    <cellStyle name="SAPEditableDataCell" xfId="60" xr:uid="{6B1A68E4-AB72-437B-A0DF-E19AFC567783}"/>
    <cellStyle name="SAPEditableDataTotalCell" xfId="63" xr:uid="{5BAA9DBA-4CB1-4836-BFD7-0EDDC56DC2D8}"/>
    <cellStyle name="SAPEmphasized" xfId="86" xr:uid="{6355B849-C1D1-42A7-B7AF-3CCE60818E82}"/>
    <cellStyle name="SAPEmphasizedEditableDataCell" xfId="88" xr:uid="{DE26D670-6CC3-49FC-BB8C-CAD855C7B6BA}"/>
    <cellStyle name="SAPEmphasizedEditableDataTotalCell" xfId="89" xr:uid="{E2DAB7ED-6491-4B33-981A-D82B621A66A6}"/>
    <cellStyle name="SAPEmphasizedLockedDataCell" xfId="92" xr:uid="{AF883F4A-5479-44B0-8272-81A0EB1C37CD}"/>
    <cellStyle name="SAPEmphasizedLockedDataTotalCell" xfId="93" xr:uid="{43A61A8F-6B7C-4A75-B0F2-F97C5EACD994}"/>
    <cellStyle name="SAPEmphasizedReadonlyDataCell" xfId="90" xr:uid="{A0C761D4-1B7D-4634-A489-F10C4885FF5D}"/>
    <cellStyle name="SAPEmphasizedReadonlyDataTotalCell" xfId="91" xr:uid="{CA0826B6-C683-4B44-9B7B-F6657AA21376}"/>
    <cellStyle name="SAPEmphasizedTotal" xfId="87" xr:uid="{9DC96674-A02A-410F-89F2-CE288540EBB4}"/>
    <cellStyle name="SAPError" xfId="77" xr:uid="{09D51D63-89C6-4B92-985E-2FA9E796F454}"/>
    <cellStyle name="SAPExceptionLevel1" xfId="66" xr:uid="{290B9673-DD8F-4B24-8BF2-7BC0A3991F75}"/>
    <cellStyle name="SAPExceptionLevel2" xfId="67" xr:uid="{C49F23D5-846E-4BB7-B195-95499C72AB8B}"/>
    <cellStyle name="SAPExceptionLevel3" xfId="68" xr:uid="{D4DA1B45-4694-4882-8B5A-C59F17401554}"/>
    <cellStyle name="SAPExceptionLevel4" xfId="69" xr:uid="{9247085A-5B25-4FAC-9F0A-4360866A9F2F}"/>
    <cellStyle name="SAPExceptionLevel5" xfId="70" xr:uid="{5A7F1396-A2F2-4227-B29C-29B57FA23015}"/>
    <cellStyle name="SAPExceptionLevel6" xfId="71" xr:uid="{42DEE717-14EA-4BED-8A02-042B4140D473}"/>
    <cellStyle name="SAPExceptionLevel7" xfId="72" xr:uid="{B4169D2B-05A4-4DA9-9F86-A20085C696A1}"/>
    <cellStyle name="SAPExceptionLevel8" xfId="73" xr:uid="{C4B499F8-037B-43A0-A6E9-139EBE2C8B71}"/>
    <cellStyle name="SAPExceptionLevel9" xfId="74" xr:uid="{753D2240-1007-44C0-B56C-CCC050D508E5}"/>
    <cellStyle name="SAPFormula" xfId="94" xr:uid="{A80D7B82-2FDF-4E10-B850-A4D8186BC092}"/>
    <cellStyle name="SAPGroupingFillCell" xfId="59" xr:uid="{61390EFF-A93F-4704-9C48-A752564BBAC7}"/>
    <cellStyle name="SAPHierarchyCell0" xfId="81" xr:uid="{D460837A-3ED0-4263-A2B0-E8F0888C1165}"/>
    <cellStyle name="SAPHierarchyCell1" xfId="82" xr:uid="{7EA595A8-71CD-44F2-BF6C-331E5C280521}"/>
    <cellStyle name="SAPHierarchyCell2" xfId="83" xr:uid="{01D62C81-F39B-4E34-A1D6-CD80757C402D}"/>
    <cellStyle name="SAPHierarchyCell3" xfId="84" xr:uid="{A38CA921-7C5C-4F92-90C7-16D298A8BB3F}"/>
    <cellStyle name="SAPHierarchyCell4" xfId="85" xr:uid="{E0BD0587-C0F1-4DF9-8C04-7436E4259E58}"/>
    <cellStyle name="SAPLockedDataCell" xfId="62" xr:uid="{0606E861-5D1D-4A42-8C55-D6D67526F11E}"/>
    <cellStyle name="SAPLockedDataTotalCell" xfId="65" xr:uid="{939AD8B7-0439-4D98-BB5A-A3C5A061884B}"/>
    <cellStyle name="SAPMemberCell" xfId="79" xr:uid="{087254CF-DA13-44B5-9744-765334D76CA7}"/>
    <cellStyle name="SAPMemberTotalCell" xfId="80" xr:uid="{48E2D425-5A30-4A25-8233-4D54A87D8AAE}"/>
    <cellStyle name="SAPMessageText" xfId="78" xr:uid="{C2EB48D8-52BC-4037-B370-A7020D8E724C}"/>
    <cellStyle name="SAPReadonlyDataCell" xfId="61" xr:uid="{EF8DA8CB-AA8F-4D43-8D73-2B542A68AC08}"/>
    <cellStyle name="SAPReadonlyDataTotalCell" xfId="64" xr:uid="{3AF2B0D4-6260-4425-A051-97FA822CA43A}"/>
    <cellStyle name="Summary Column Name - IBM Cognos" xfId="51" xr:uid="{21C4ECA4-9552-47DF-8F1F-6A9AC1B68A49}"/>
    <cellStyle name="Summary Column Name TM1 - IBM Cognos" xfId="52" xr:uid="{14BD4895-BD5A-48C3-89EB-E92AB5009C6E}"/>
    <cellStyle name="Summary Row Name - IBM Cognos" xfId="53" xr:uid="{DBC21575-7662-4699-90CD-8A2627C4A231}"/>
    <cellStyle name="Summary Row Name TM1 - IBM Cognos" xfId="54" xr:uid="{6FC3B5C6-440E-4D72-9218-3F6CAFE867C0}"/>
    <cellStyle name="Unsaved Change - IBM Cognos" xfId="55" xr:uid="{B4CB6D7E-60B5-40EB-9D96-C94822C20E79}"/>
  </cellStyles>
  <dxfs count="71">
    <dxf>
      <font>
        <b val="0"/>
        <i val="0"/>
        <strike val="0"/>
        <condense val="0"/>
        <extend val="0"/>
        <outline val="0"/>
        <shadow val="0"/>
        <u val="none"/>
        <vertAlign val="baseline"/>
        <sz val="12"/>
        <color theme="1"/>
        <name val="Verdana"/>
        <family val="2"/>
        <scheme val="none"/>
      </font>
      <numFmt numFmtId="0" formatCode="General"/>
    </dxf>
    <dxf>
      <font>
        <b val="0"/>
        <i val="0"/>
        <strike val="0"/>
        <condense val="0"/>
        <extend val="0"/>
        <outline val="0"/>
        <shadow val="0"/>
        <u val="none"/>
        <vertAlign val="baseline"/>
        <sz val="12"/>
        <color theme="1"/>
        <name val="Verdana"/>
        <family val="2"/>
        <scheme val="none"/>
      </font>
      <numFmt numFmtId="0" formatCode="General"/>
    </dxf>
    <dxf>
      <font>
        <b val="0"/>
        <i val="0"/>
        <strike val="0"/>
        <condense val="0"/>
        <extend val="0"/>
        <outline val="0"/>
        <shadow val="0"/>
        <u val="none"/>
        <vertAlign val="baseline"/>
        <sz val="12"/>
        <color theme="1"/>
        <name val="Verdana"/>
        <family val="2"/>
        <scheme val="none"/>
      </font>
      <numFmt numFmtId="0" formatCode="General"/>
    </dxf>
    <dxf>
      <font>
        <b val="0"/>
        <i val="0"/>
        <strike val="0"/>
        <condense val="0"/>
        <extend val="0"/>
        <outline val="0"/>
        <shadow val="0"/>
        <u val="none"/>
        <vertAlign val="baseline"/>
        <sz val="12"/>
        <color theme="1"/>
        <name val="Verdana"/>
        <family val="2"/>
        <scheme val="none"/>
      </font>
    </dxf>
    <dxf>
      <font>
        <b val="0"/>
        <i val="0"/>
        <strike val="0"/>
        <condense val="0"/>
        <extend val="0"/>
        <outline val="0"/>
        <shadow val="0"/>
        <u val="none"/>
        <vertAlign val="baseline"/>
        <sz val="12"/>
        <color theme="1"/>
        <name val="Verdana"/>
        <family val="2"/>
        <scheme val="none"/>
      </font>
      <numFmt numFmtId="0" formatCode="General"/>
    </dxf>
    <dxf>
      <font>
        <b val="0"/>
        <i val="0"/>
        <strike val="0"/>
        <condense val="0"/>
        <extend val="0"/>
        <outline val="0"/>
        <shadow val="0"/>
        <u val="none"/>
        <vertAlign val="baseline"/>
        <sz val="12"/>
        <color theme="1"/>
        <name val="Verdana"/>
        <family val="2"/>
        <scheme val="none"/>
      </font>
      <numFmt numFmtId="165" formatCode="m/d/yyyy"/>
    </dxf>
    <dxf>
      <font>
        <b val="0"/>
        <i val="0"/>
        <strike val="0"/>
        <condense val="0"/>
        <extend val="0"/>
        <outline val="0"/>
        <shadow val="0"/>
        <u val="none"/>
        <vertAlign val="baseline"/>
        <sz val="12"/>
        <color theme="1"/>
        <name val="Verdana"/>
        <family val="2"/>
        <scheme val="none"/>
      </font>
      <numFmt numFmtId="165" formatCode="m/d/yyyy"/>
    </dxf>
    <dxf>
      <font>
        <b val="0"/>
        <i val="0"/>
        <strike val="0"/>
        <condense val="0"/>
        <extend val="0"/>
        <outline val="0"/>
        <shadow val="0"/>
        <u val="none"/>
        <vertAlign val="baseline"/>
        <sz val="12"/>
        <color theme="1"/>
        <name val="Verdana"/>
        <family val="2"/>
        <scheme val="none"/>
      </font>
      <numFmt numFmtId="165" formatCode="m/d/yyyy"/>
    </dxf>
    <dxf>
      <font>
        <b val="0"/>
        <i val="0"/>
        <strike val="0"/>
        <condense val="0"/>
        <extend val="0"/>
        <outline val="0"/>
        <shadow val="0"/>
        <u val="none"/>
        <vertAlign val="baseline"/>
        <sz val="12"/>
        <color theme="1"/>
        <name val="Verdana"/>
        <family val="2"/>
        <scheme val="none"/>
      </font>
      <numFmt numFmtId="0" formatCode="General"/>
    </dxf>
    <dxf>
      <font>
        <b val="0"/>
        <i val="0"/>
        <strike val="0"/>
        <condense val="0"/>
        <extend val="0"/>
        <outline val="0"/>
        <shadow val="0"/>
        <u val="none"/>
        <vertAlign val="baseline"/>
        <sz val="12"/>
        <color theme="1"/>
        <name val="Verdana"/>
        <family val="2"/>
        <scheme val="none"/>
      </font>
      <numFmt numFmtId="0" formatCode="General"/>
    </dxf>
    <dxf>
      <font>
        <b val="0"/>
        <i val="0"/>
        <strike val="0"/>
        <condense val="0"/>
        <extend val="0"/>
        <outline val="0"/>
        <shadow val="0"/>
        <u val="none"/>
        <vertAlign val="baseline"/>
        <sz val="12"/>
        <color theme="1"/>
        <name val="Verdana"/>
        <family val="2"/>
        <scheme val="none"/>
      </font>
      <numFmt numFmtId="0" formatCode="General"/>
    </dxf>
    <dxf>
      <font>
        <b val="0"/>
        <i val="0"/>
        <strike val="0"/>
        <condense val="0"/>
        <extend val="0"/>
        <outline val="0"/>
        <shadow val="0"/>
        <u val="none"/>
        <vertAlign val="baseline"/>
        <sz val="12"/>
        <color theme="1"/>
        <name val="Verdana"/>
        <family val="2"/>
        <scheme val="none"/>
      </font>
      <numFmt numFmtId="0" formatCode="General"/>
    </dxf>
    <dxf>
      <font>
        <b val="0"/>
        <i val="0"/>
        <strike val="0"/>
        <condense val="0"/>
        <extend val="0"/>
        <outline val="0"/>
        <shadow val="0"/>
        <u val="none"/>
        <vertAlign val="baseline"/>
        <sz val="12"/>
        <color theme="1"/>
        <name val="Verdana"/>
        <family val="2"/>
        <scheme val="none"/>
      </font>
      <numFmt numFmtId="0" formatCode="General"/>
    </dxf>
    <dxf>
      <font>
        <b val="0"/>
        <i val="0"/>
        <strike val="0"/>
        <condense val="0"/>
        <extend val="0"/>
        <outline val="0"/>
        <shadow val="0"/>
        <u val="none"/>
        <vertAlign val="baseline"/>
        <sz val="12"/>
        <color theme="1"/>
        <name val="Verdana"/>
        <family val="2"/>
        <scheme val="none"/>
      </font>
      <numFmt numFmtId="0" formatCode="General"/>
    </dxf>
    <dxf>
      <font>
        <b val="0"/>
        <i val="0"/>
        <strike val="0"/>
        <condense val="0"/>
        <extend val="0"/>
        <outline val="0"/>
        <shadow val="0"/>
        <u val="none"/>
        <vertAlign val="baseline"/>
        <sz val="12"/>
        <color theme="1"/>
        <name val="Verdana"/>
        <family val="2"/>
        <scheme val="none"/>
      </font>
      <numFmt numFmtId="0" formatCode="General"/>
    </dxf>
    <dxf>
      <font>
        <b val="0"/>
        <i val="0"/>
        <strike val="0"/>
        <condense val="0"/>
        <extend val="0"/>
        <outline val="0"/>
        <shadow val="0"/>
        <u val="none"/>
        <vertAlign val="baseline"/>
        <sz val="12"/>
        <color theme="1"/>
        <name val="Verdana"/>
        <family val="2"/>
        <scheme val="none"/>
      </font>
      <numFmt numFmtId="0" formatCode="General"/>
    </dxf>
    <dxf>
      <font>
        <b val="0"/>
        <i val="0"/>
        <strike val="0"/>
        <condense val="0"/>
        <extend val="0"/>
        <outline val="0"/>
        <shadow val="0"/>
        <u val="none"/>
        <vertAlign val="baseline"/>
        <sz val="12"/>
        <color theme="1"/>
        <name val="Verdana"/>
        <family val="2"/>
        <scheme val="none"/>
      </font>
      <numFmt numFmtId="0" formatCode="General"/>
    </dxf>
    <dxf>
      <font>
        <b val="0"/>
        <i val="0"/>
        <strike val="0"/>
        <condense val="0"/>
        <extend val="0"/>
        <outline val="0"/>
        <shadow val="0"/>
        <u val="none"/>
        <vertAlign val="baseline"/>
        <sz val="12"/>
        <color theme="1"/>
        <name val="Verdana"/>
        <family val="2"/>
        <scheme val="none"/>
      </font>
      <numFmt numFmtId="0" formatCode="General"/>
    </dxf>
    <dxf>
      <font>
        <b val="0"/>
        <i val="0"/>
        <strike val="0"/>
        <condense val="0"/>
        <extend val="0"/>
        <outline val="0"/>
        <shadow val="0"/>
        <u val="none"/>
        <vertAlign val="baseline"/>
        <sz val="12"/>
        <color theme="1"/>
        <name val="Verdana"/>
        <family val="2"/>
        <scheme val="none"/>
      </font>
      <numFmt numFmtId="0" formatCode="General"/>
    </dxf>
    <dxf>
      <font>
        <color rgb="FF9C0006"/>
      </font>
      <fill>
        <patternFill>
          <bgColor rgb="FFFFC7CE"/>
        </patternFill>
      </fill>
    </dxf>
    <dxf>
      <fill>
        <patternFill>
          <bgColor rgb="FFFF0000"/>
        </patternFill>
      </fill>
    </dxf>
    <dxf>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FFFF00"/>
        </patternFill>
      </fill>
    </dxf>
    <dxf>
      <numFmt numFmtId="0" formatCode="General"/>
      <fill>
        <patternFill patternType="solid">
          <fgColor indexed="64"/>
          <bgColor rgb="FFFFFF00"/>
        </patternFill>
      </fill>
    </dxf>
    <dxf>
      <numFmt numFmtId="0" formatCode="General"/>
      <fill>
        <patternFill patternType="solid">
          <fgColor indexed="64"/>
          <bgColor rgb="FFFFFF00"/>
        </patternFill>
      </fill>
    </dxf>
    <dxf>
      <numFmt numFmtId="0" formatCode="General"/>
      <fill>
        <patternFill patternType="solid">
          <fgColor indexed="64"/>
          <bgColor rgb="FFFFFF00"/>
        </patternFill>
      </fill>
    </dxf>
    <dxf>
      <font>
        <sz val="8"/>
      </font>
    </dxf>
    <dxf>
      <font>
        <sz val="8"/>
      </font>
    </dxf>
    <dxf>
      <font>
        <sz val="8"/>
      </font>
    </dxf>
    <dxf>
      <font>
        <name val="Altos"/>
        <scheme val="none"/>
      </font>
    </dxf>
    <dxf>
      <font>
        <name val="Altos"/>
        <scheme val="none"/>
      </font>
    </dxf>
    <dxf>
      <font>
        <name val="Altos"/>
        <scheme val="none"/>
      </font>
    </dxf>
    <dxf>
      <font>
        <b val="0"/>
        <i val="0"/>
        <strike val="0"/>
        <condense val="0"/>
        <extend val="0"/>
        <outline val="0"/>
        <shadow val="0"/>
        <u val="none"/>
        <vertAlign val="baseline"/>
        <sz val="8"/>
        <color theme="1"/>
        <name val="Verdana"/>
        <family val="2"/>
        <scheme val="none"/>
      </font>
    </dxf>
    <dxf>
      <font>
        <b val="0"/>
        <i val="0"/>
        <strike val="0"/>
        <condense val="0"/>
        <extend val="0"/>
        <outline val="0"/>
        <shadow val="0"/>
        <u val="none"/>
        <vertAlign val="baseline"/>
        <sz val="8"/>
        <color theme="1"/>
        <name val="Verdana"/>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8"/>
        <color theme="1"/>
        <name val="Verdana"/>
        <family val="2"/>
        <scheme val="none"/>
      </font>
    </dxf>
    <dxf>
      <font>
        <b/>
        <i val="0"/>
        <strike val="0"/>
        <condense val="0"/>
        <extend val="0"/>
        <outline val="0"/>
        <shadow val="0"/>
        <u val="none"/>
        <vertAlign val="baseline"/>
        <sz val="8"/>
        <color theme="1"/>
        <name val="Verdana"/>
        <family val="2"/>
        <scheme val="none"/>
      </font>
      <alignment horizontal="center" vertical="bottom" textRotation="0" wrapText="0" indent="0" justifyLastLine="0" shrinkToFit="0" readingOrder="0"/>
    </dxf>
    <dxf>
      <font>
        <b val="0"/>
        <i val="0"/>
        <strike val="0"/>
        <condense val="0"/>
        <extend val="0"/>
        <outline val="0"/>
        <shadow val="0"/>
        <u val="none"/>
        <vertAlign val="baseline"/>
        <sz val="8"/>
        <color theme="1"/>
        <name val="Verdana"/>
        <family val="2"/>
        <scheme val="none"/>
      </font>
      <alignment horizontal="center" vertical="bottom" textRotation="0" wrapText="0" indent="0" justifyLastLine="0" shrinkToFit="0" readingOrder="0"/>
    </dxf>
    <dxf>
      <font>
        <b val="0"/>
        <i val="0"/>
        <strike val="0"/>
        <condense val="0"/>
        <extend val="0"/>
        <outline val="0"/>
        <shadow val="0"/>
        <u val="none"/>
        <vertAlign val="baseline"/>
        <sz val="8"/>
        <color theme="1"/>
        <name val="Verdana"/>
        <family val="2"/>
        <scheme val="none"/>
      </font>
      <alignment horizontal="center" vertical="bottom" textRotation="0" wrapText="0" indent="0" justifyLastLine="0" shrinkToFit="0" readingOrder="0"/>
    </dxf>
    <dxf>
      <font>
        <b val="0"/>
        <i val="0"/>
        <strike val="0"/>
        <condense val="0"/>
        <extend val="0"/>
        <outline val="0"/>
        <shadow val="0"/>
        <u val="none"/>
        <vertAlign val="baseline"/>
        <sz val="8"/>
        <color theme="1"/>
        <name val="Verdana"/>
        <family val="2"/>
        <scheme val="none"/>
      </font>
      <alignment horizontal="center" vertical="bottom" textRotation="0" wrapText="0" indent="0" justifyLastLine="0" shrinkToFit="0" readingOrder="0"/>
    </dxf>
    <dxf>
      <font>
        <b val="0"/>
        <i val="0"/>
        <strike val="0"/>
        <condense val="0"/>
        <extend val="0"/>
        <outline val="0"/>
        <shadow val="0"/>
        <u val="none"/>
        <vertAlign val="baseline"/>
        <sz val="8"/>
        <color theme="1"/>
        <name val="Verdana"/>
        <family val="2"/>
        <scheme val="none"/>
      </font>
      <alignment horizontal="center" vertical="bottom" textRotation="0" wrapText="0" indent="0" justifyLastLine="0" shrinkToFit="0" readingOrder="0"/>
    </dxf>
    <dxf>
      <font>
        <b val="0"/>
        <i val="0"/>
        <strike val="0"/>
        <condense val="0"/>
        <extend val="0"/>
        <outline val="0"/>
        <shadow val="0"/>
        <u val="none"/>
        <vertAlign val="baseline"/>
        <sz val="8"/>
        <color theme="1"/>
        <name val="Verdana"/>
        <family val="2"/>
        <scheme val="none"/>
      </font>
      <alignment horizontal="center" vertical="bottom" textRotation="0" wrapText="0" indent="0" justifyLastLine="0" shrinkToFit="0" readingOrder="0"/>
    </dxf>
    <dxf>
      <font>
        <b val="0"/>
        <i val="0"/>
        <strike val="0"/>
        <condense val="0"/>
        <extend val="0"/>
        <outline val="0"/>
        <shadow val="0"/>
        <u val="none"/>
        <vertAlign val="baseline"/>
        <sz val="8"/>
        <color theme="1"/>
        <name val="Verdana"/>
        <family val="2"/>
        <scheme val="none"/>
      </font>
      <alignment horizontal="center" vertical="bottom" textRotation="0" wrapText="0" indent="0" justifyLastLine="0" shrinkToFit="0" readingOrder="0"/>
    </dxf>
    <dxf>
      <font>
        <b/>
        <i val="0"/>
        <strike val="0"/>
        <condense val="0"/>
        <extend val="0"/>
        <outline val="0"/>
        <shadow val="0"/>
        <u val="none"/>
        <vertAlign val="baseline"/>
        <sz val="8"/>
        <color theme="1"/>
        <name val="Verdana"/>
        <family val="2"/>
        <scheme val="none"/>
      </font>
      <alignment horizontal="center" vertical="center" textRotation="0" wrapText="1" indent="0" justifyLastLine="0" shrinkToFit="0" readingOrder="0"/>
    </dxf>
    <dxf>
      <alignment horizontal="center"/>
    </dxf>
    <dxf>
      <fill>
        <patternFill>
          <bgColor auto="1"/>
        </patternFill>
      </fill>
    </dxf>
    <dxf>
      <alignment wrapText="1"/>
    </dxf>
    <dxf>
      <font>
        <sz val="8"/>
      </font>
    </dxf>
    <dxf>
      <font>
        <sz val="8"/>
      </font>
    </dxf>
    <dxf>
      <font>
        <sz val="8"/>
      </font>
    </dxf>
    <dxf>
      <font>
        <sz val="8"/>
      </font>
    </dxf>
    <dxf>
      <font>
        <sz val="8"/>
      </font>
    </dxf>
    <dxf>
      <font>
        <name val="Verdana"/>
        <scheme val="none"/>
      </font>
    </dxf>
    <dxf>
      <font>
        <name val="Verdana"/>
        <scheme val="none"/>
      </font>
    </dxf>
    <dxf>
      <font>
        <name val="Verdana"/>
        <scheme val="none"/>
      </font>
    </dxf>
    <dxf>
      <font>
        <name val="Verdana"/>
        <scheme val="none"/>
      </font>
    </dxf>
    <dxf>
      <font>
        <name val="Verdana"/>
        <scheme val="none"/>
      </font>
    </dxf>
    <dxf>
      <font>
        <strike val="0"/>
        <outline val="0"/>
        <shadow val="0"/>
        <u val="none"/>
        <vertAlign val="baseline"/>
        <sz val="12"/>
        <color theme="1"/>
        <name val="Verdana"/>
        <family val="2"/>
        <scheme val="none"/>
      </font>
    </dxf>
    <dxf>
      <font>
        <strike val="0"/>
        <outline val="0"/>
        <shadow val="0"/>
        <u val="none"/>
        <vertAlign val="baseline"/>
        <sz val="12"/>
        <color theme="1"/>
        <name val="Verdana"/>
        <family val="2"/>
        <scheme val="none"/>
      </font>
    </dxf>
  </dxfs>
  <tableStyles count="0" defaultTableStyle="TableStyleMedium2" defaultPivotStyle="PivotStyleLight16"/>
  <colors>
    <mruColors>
      <color rgb="FF006100"/>
      <color rgb="FFC6EFCE"/>
      <color rgb="FF92D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[GCOH Cheatsheet.xlsm]Pivot!PivotTable2</c:name>
    <c:fmtId val="2"/>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Verdana" panose="020B0604030504040204" pitchFamily="34" charset="0"/>
                <a:ea typeface="Verdana" panose="020B0604030504040204" pitchFamily="34" charset="0"/>
                <a:cs typeface="+mn-cs"/>
              </a:defRPr>
            </a:pPr>
            <a:r>
              <a:rPr lang="en-PH"/>
              <a:t>Average Aging of Pending Tickets by Status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Verdana" panose="020B0604030504040204" pitchFamily="34" charset="0"/>
              <a:ea typeface="Verdana" panose="020B0604030504040204" pitchFamily="34" charset="0"/>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Verdana" panose="020B0604030504040204" pitchFamily="34" charset="0"/>
                  <a:ea typeface="Verdana" panose="020B0604030504040204" pitchFamily="34" charset="0"/>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Verdana" panose="020B0604030504040204" pitchFamily="34" charset="0"/>
                  <a:ea typeface="Verdana" panose="020B0604030504040204" pitchFamily="34" charset="0"/>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Verdana" panose="020B0604030504040204" pitchFamily="34" charset="0"/>
                  <a:ea typeface="Verdana" panose="020B0604030504040204" pitchFamily="34" charset="0"/>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Verdana" panose="020B0604030504040204" pitchFamily="34" charset="0"/>
                  <a:ea typeface="Verdana" panose="020B0604030504040204" pitchFamily="34" charset="0"/>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alpha val="85000"/>
            </a:schemeClr>
          </a:solidFill>
          <a:ln w="9525" cap="flat" cmpd="sng" algn="ctr">
            <a:solidFill>
              <a:schemeClr val="lt1">
                <a:alpha val="50000"/>
              </a:schemeClr>
            </a:solidFill>
            <a:round/>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alpha val="85000"/>
            </a:schemeClr>
          </a:solidFill>
          <a:ln w="9525" cap="flat" cmpd="sng" algn="ctr">
            <a:solidFill>
              <a:schemeClr val="lt1">
                <a:alpha val="50000"/>
              </a:schemeClr>
            </a:solidFill>
            <a:round/>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Verdana" panose="020B0604030504040204" pitchFamily="34" charset="0"/>
                  <a:ea typeface="Verdana" panose="020B0604030504040204" pitchFamily="34" charset="0"/>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Verdana" panose="020B0604030504040204" pitchFamily="34" charset="0"/>
                  <a:ea typeface="Verdana" panose="020B0604030504040204" pitchFamily="34" charset="0"/>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Verdana" panose="020B0604030504040204" pitchFamily="34" charset="0"/>
                  <a:ea typeface="Verdana" panose="020B0604030504040204" pitchFamily="34" charset="0"/>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Verdana" panose="020B0604030504040204" pitchFamily="34" charset="0"/>
                  <a:ea typeface="Verdana" panose="020B0604030504040204" pitchFamily="34" charset="0"/>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Pivot!$C$4:$C$5</c:f>
              <c:strCache>
                <c:ptCount val="1"/>
                <c:pt idx="0">
                  <c:v>New</c:v>
                </c:pt>
              </c:strCache>
            </c:strRef>
          </c:tx>
          <c:spPr>
            <a:solidFill>
              <a:schemeClr val="accent1">
                <a:alpha val="85000"/>
              </a:schemeClr>
            </a:solidFill>
            <a:ln w="9525" cap="flat" cmpd="sng" algn="ctr">
              <a:solidFill>
                <a:schemeClr val="lt1">
                  <a:alpha val="50000"/>
                </a:schemeClr>
              </a:solidFill>
              <a:round/>
            </a:ln>
            <a:effectLst/>
          </c:spPr>
          <c:invertIfNegative val="0"/>
          <c:cat>
            <c:strRef>
              <c:f>Pivot!$B$6:$B$13</c:f>
              <c:strCache>
                <c:ptCount val="9"/>
                <c:pt idx="0">
                  <c:v>FR7428161</c:v>
                </c:pt>
                <c:pt idx="1">
                  <c:v>FR7437769</c:v>
                </c:pt>
                <c:pt idx="2">
                  <c:v>FR7458107</c:v>
                </c:pt>
                <c:pt idx="3">
                  <c:v>FR7465457</c:v>
                </c:pt>
                <c:pt idx="4">
                  <c:v>FR7465429</c:v>
                </c:pt>
                <c:pt idx="5">
                  <c:v>FR7466373</c:v>
                </c:pt>
                <c:pt idx="6">
                  <c:v>FR7467264</c:v>
                </c:pt>
                <c:pt idx="7">
                  <c:v>FR7467597</c:v>
                </c:pt>
                <c:pt idx="8">
                  <c:v>FR7468738</c:v>
                </c:pt>
              </c:strCache>
            </c:strRef>
          </c:cat>
          <c:val>
            <c:numRef>
              <c:f>Pivot!$C$6:$C$13</c:f>
              <c:numCache>
                <c:formatCode>General</c:formatCode>
                <c:ptCount val="9"/>
                <c:pt idx="7">
                  <c:v>2</c:v>
                </c:pt>
              </c:numCache>
            </c:numRef>
          </c:val>
          <c:extLst>
            <c:ext xmlns:c16="http://schemas.microsoft.com/office/drawing/2014/chart" uri="{C3380CC4-5D6E-409C-BE32-E72D297353CC}">
              <c16:uniqueId val="{00000006-4451-4CF7-AE2F-97EEE6627966}"/>
            </c:ext>
          </c:extLst>
        </c:ser>
        <c:ser>
          <c:idx val="1"/>
          <c:order val="1"/>
          <c:tx>
            <c:strRef>
              <c:f>Pivot!$D$4:$D$5</c:f>
              <c:strCache>
                <c:ptCount val="1"/>
                <c:pt idx="0">
                  <c:v>Not for mapping/Invalid</c:v>
                </c:pt>
              </c:strCache>
            </c:strRef>
          </c:tx>
          <c:spPr>
            <a:solidFill>
              <a:schemeClr val="accent2">
                <a:alpha val="85000"/>
              </a:schemeClr>
            </a:solidFill>
            <a:ln w="9525" cap="flat" cmpd="sng" algn="ctr">
              <a:solidFill>
                <a:schemeClr val="lt1">
                  <a:alpha val="50000"/>
                </a:schemeClr>
              </a:solidFill>
              <a:round/>
            </a:ln>
            <a:effectLst/>
          </c:spPr>
          <c:invertIfNegative val="0"/>
          <c:cat>
            <c:strRef>
              <c:f>Pivot!$B$6:$B$13</c:f>
              <c:strCache>
                <c:ptCount val="9"/>
                <c:pt idx="0">
                  <c:v>FR7428161</c:v>
                </c:pt>
                <c:pt idx="1">
                  <c:v>FR7437769</c:v>
                </c:pt>
                <c:pt idx="2">
                  <c:v>FR7458107</c:v>
                </c:pt>
                <c:pt idx="3">
                  <c:v>FR7465457</c:v>
                </c:pt>
                <c:pt idx="4">
                  <c:v>FR7465429</c:v>
                </c:pt>
                <c:pt idx="5">
                  <c:v>FR7466373</c:v>
                </c:pt>
                <c:pt idx="6">
                  <c:v>FR7467264</c:v>
                </c:pt>
                <c:pt idx="7">
                  <c:v>FR7467597</c:v>
                </c:pt>
                <c:pt idx="8">
                  <c:v>FR7468738</c:v>
                </c:pt>
              </c:strCache>
            </c:strRef>
          </c:cat>
          <c:val>
            <c:numRef>
              <c:f>Pivot!$D$6:$D$13</c:f>
              <c:numCache>
                <c:formatCode>General</c:formatCode>
                <c:ptCount val="9"/>
                <c:pt idx="0">
                  <c:v>11</c:v>
                </c:pt>
              </c:numCache>
            </c:numRef>
          </c:val>
          <c:extLst>
            <c:ext xmlns:c16="http://schemas.microsoft.com/office/drawing/2014/chart" uri="{C3380CC4-5D6E-409C-BE32-E72D297353CC}">
              <c16:uniqueId val="{00000000-FFCC-473D-A411-8F351615FDF7}"/>
            </c:ext>
          </c:extLst>
        </c:ser>
        <c:ser>
          <c:idx val="2"/>
          <c:order val="2"/>
          <c:tx>
            <c:strRef>
              <c:f>Pivot!$E$4:$E$5</c:f>
              <c:strCache>
                <c:ptCount val="1"/>
                <c:pt idx="0">
                  <c:v>Waiting for Tm1 Replication</c:v>
                </c:pt>
              </c:strCache>
            </c:strRef>
          </c:tx>
          <c:spPr>
            <a:solidFill>
              <a:schemeClr val="accent3">
                <a:alpha val="85000"/>
              </a:schemeClr>
            </a:solidFill>
            <a:ln w="9525" cap="flat" cmpd="sng" algn="ctr">
              <a:solidFill>
                <a:schemeClr val="lt1">
                  <a:alpha val="50000"/>
                </a:schemeClr>
              </a:solidFill>
              <a:round/>
            </a:ln>
            <a:effectLst/>
          </c:spPr>
          <c:invertIfNegative val="0"/>
          <c:cat>
            <c:strRef>
              <c:f>Pivot!$B$6:$B$13</c:f>
              <c:strCache>
                <c:ptCount val="9"/>
                <c:pt idx="0">
                  <c:v>FR7428161</c:v>
                </c:pt>
                <c:pt idx="1">
                  <c:v>FR7437769</c:v>
                </c:pt>
                <c:pt idx="2">
                  <c:v>FR7458107</c:v>
                </c:pt>
                <c:pt idx="3">
                  <c:v>FR7465457</c:v>
                </c:pt>
                <c:pt idx="4">
                  <c:v>FR7465429</c:v>
                </c:pt>
                <c:pt idx="5">
                  <c:v>FR7466373</c:v>
                </c:pt>
                <c:pt idx="6">
                  <c:v>FR7467264</c:v>
                </c:pt>
                <c:pt idx="7">
                  <c:v>FR7467597</c:v>
                </c:pt>
                <c:pt idx="8">
                  <c:v>FR7468738</c:v>
                </c:pt>
              </c:strCache>
            </c:strRef>
          </c:cat>
          <c:val>
            <c:numRef>
              <c:f>Pivot!$E$6:$E$13</c:f>
              <c:numCache>
                <c:formatCode>General</c:formatCode>
                <c:ptCount val="9"/>
                <c:pt idx="0">
                  <c:v>11</c:v>
                </c:pt>
                <c:pt idx="3">
                  <c:v>2</c:v>
                </c:pt>
                <c:pt idx="4">
                  <c:v>2</c:v>
                </c:pt>
                <c:pt idx="6">
                  <c:v>2</c:v>
                </c:pt>
                <c:pt idx="7">
                  <c:v>2</c:v>
                </c:pt>
              </c:numCache>
            </c:numRef>
          </c:val>
          <c:extLst>
            <c:ext xmlns:c16="http://schemas.microsoft.com/office/drawing/2014/chart" uri="{C3380CC4-5D6E-409C-BE32-E72D297353CC}">
              <c16:uniqueId val="{00000000-244C-48EB-BC5A-F017F1EDD919}"/>
            </c:ext>
          </c:extLst>
        </c:ser>
        <c:ser>
          <c:idx val="3"/>
          <c:order val="3"/>
          <c:tx>
            <c:strRef>
              <c:f>Pivot!$F$4:$F$5</c:f>
              <c:strCache>
                <c:ptCount val="1"/>
                <c:pt idx="0">
                  <c:v>Waiting for MDGF approval</c:v>
                </c:pt>
              </c:strCache>
            </c:strRef>
          </c:tx>
          <c:spPr>
            <a:solidFill>
              <a:schemeClr val="accent4">
                <a:alpha val="85000"/>
              </a:schemeClr>
            </a:solidFill>
            <a:ln w="9525" cap="flat" cmpd="sng" algn="ctr">
              <a:solidFill>
                <a:schemeClr val="lt1">
                  <a:alpha val="50000"/>
                </a:schemeClr>
              </a:solidFill>
              <a:round/>
            </a:ln>
            <a:effectLst/>
          </c:spPr>
          <c:invertIfNegative val="0"/>
          <c:cat>
            <c:strRef>
              <c:f>Pivot!$B$6:$B$13</c:f>
              <c:strCache>
                <c:ptCount val="9"/>
                <c:pt idx="0">
                  <c:v>FR7428161</c:v>
                </c:pt>
                <c:pt idx="1">
                  <c:v>FR7437769</c:v>
                </c:pt>
                <c:pt idx="2">
                  <c:v>FR7458107</c:v>
                </c:pt>
                <c:pt idx="3">
                  <c:v>FR7465457</c:v>
                </c:pt>
                <c:pt idx="4">
                  <c:v>FR7465429</c:v>
                </c:pt>
                <c:pt idx="5">
                  <c:v>FR7466373</c:v>
                </c:pt>
                <c:pt idx="6">
                  <c:v>FR7467264</c:v>
                </c:pt>
                <c:pt idx="7">
                  <c:v>FR7467597</c:v>
                </c:pt>
                <c:pt idx="8">
                  <c:v>FR7468738</c:v>
                </c:pt>
              </c:strCache>
            </c:strRef>
          </c:cat>
          <c:val>
            <c:numRef>
              <c:f>Pivot!$F$6:$F$13</c:f>
              <c:numCache>
                <c:formatCode>General</c:formatCode>
                <c:ptCount val="9"/>
                <c:pt idx="1">
                  <c:v>9</c:v>
                </c:pt>
                <c:pt idx="2">
                  <c:v>4</c:v>
                </c:pt>
                <c:pt idx="5">
                  <c:v>2</c:v>
                </c:pt>
                <c:pt idx="6">
                  <c:v>2</c:v>
                </c:pt>
                <c:pt idx="7">
                  <c:v>2</c:v>
                </c:pt>
                <c:pt idx="8">
                  <c:v>#N/A</c:v>
                </c:pt>
              </c:numCache>
            </c:numRef>
          </c:val>
          <c:extLst>
            <c:ext xmlns:c16="http://schemas.microsoft.com/office/drawing/2014/chart" uri="{C3380CC4-5D6E-409C-BE32-E72D297353CC}">
              <c16:uniqueId val="{00000000-E375-4BC6-9C2A-CA445D10C264}"/>
            </c:ext>
          </c:extLst>
        </c:ser>
        <c:ser>
          <c:idx val="4"/>
          <c:order val="4"/>
          <c:tx>
            <c:strRef>
              <c:f>Pivot!$G$4:$G$5</c:f>
              <c:strCache>
                <c:ptCount val="1"/>
                <c:pt idx="0">
                  <c:v>Duplicated Parent</c:v>
                </c:pt>
              </c:strCache>
            </c:strRef>
          </c:tx>
          <c:spPr>
            <a:solidFill>
              <a:schemeClr val="accent5">
                <a:alpha val="85000"/>
              </a:schemeClr>
            </a:solidFill>
            <a:ln w="9525" cap="flat" cmpd="sng" algn="ctr">
              <a:solidFill>
                <a:schemeClr val="lt1">
                  <a:alpha val="50000"/>
                </a:schemeClr>
              </a:solidFill>
              <a:round/>
            </a:ln>
            <a:effectLst/>
          </c:spPr>
          <c:invertIfNegative val="0"/>
          <c:cat>
            <c:strRef>
              <c:f>Pivot!$B$6:$B$13</c:f>
              <c:strCache>
                <c:ptCount val="9"/>
                <c:pt idx="0">
                  <c:v>FR7428161</c:v>
                </c:pt>
                <c:pt idx="1">
                  <c:v>FR7437769</c:v>
                </c:pt>
                <c:pt idx="2">
                  <c:v>FR7458107</c:v>
                </c:pt>
                <c:pt idx="3">
                  <c:v>FR7465457</c:v>
                </c:pt>
                <c:pt idx="4">
                  <c:v>FR7465429</c:v>
                </c:pt>
                <c:pt idx="5">
                  <c:v>FR7466373</c:v>
                </c:pt>
                <c:pt idx="6">
                  <c:v>FR7467264</c:v>
                </c:pt>
                <c:pt idx="7">
                  <c:v>FR7467597</c:v>
                </c:pt>
                <c:pt idx="8">
                  <c:v>FR7468738</c:v>
                </c:pt>
              </c:strCache>
            </c:strRef>
          </c:cat>
          <c:val>
            <c:numRef>
              <c:f>Pivot!$G$6:$G$13</c:f>
              <c:numCache>
                <c:formatCode>General</c:formatCode>
                <c:ptCount val="9"/>
              </c:numCache>
            </c:numRef>
          </c:val>
          <c:extLst>
            <c:ext xmlns:c16="http://schemas.microsoft.com/office/drawing/2014/chart" uri="{C3380CC4-5D6E-409C-BE32-E72D297353CC}">
              <c16:uniqueId val="{00000001-E375-4BC6-9C2A-CA445D10C264}"/>
            </c:ext>
          </c:extLst>
        </c:ser>
        <c:dLbls>
          <c:showLegendKey val="0"/>
          <c:showVal val="0"/>
          <c:showCatName val="0"/>
          <c:showSerName val="0"/>
          <c:showPercent val="0"/>
          <c:showBubbleSize val="0"/>
        </c:dLbls>
        <c:gapWidth val="150"/>
        <c:axId val="368779103"/>
        <c:axId val="1880389775"/>
      </c:barChart>
      <c:catAx>
        <c:axId val="368779103"/>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Verdana" panose="020B0604030504040204" pitchFamily="34" charset="0"/>
                <a:ea typeface="Verdana" panose="020B0604030504040204" pitchFamily="34" charset="0"/>
                <a:cs typeface="+mn-cs"/>
              </a:defRPr>
            </a:pPr>
            <a:endParaRPr lang="en-US"/>
          </a:p>
        </c:txPr>
        <c:crossAx val="1880389775"/>
        <c:crosses val="autoZero"/>
        <c:auto val="1"/>
        <c:lblAlgn val="ctr"/>
        <c:lblOffset val="100"/>
        <c:noMultiLvlLbl val="0"/>
      </c:catAx>
      <c:valAx>
        <c:axId val="1880389775"/>
        <c:scaling>
          <c:orientation val="minMax"/>
          <c:max val="5"/>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Verdana" panose="020B0604030504040204" pitchFamily="34" charset="0"/>
                <a:ea typeface="Verdana" panose="020B0604030504040204" pitchFamily="34" charset="0"/>
                <a:cs typeface="+mn-cs"/>
              </a:defRPr>
            </a:pPr>
            <a:endParaRPr lang="en-US"/>
          </a:p>
        </c:txPr>
        <c:crossAx val="368779103"/>
        <c:crosses val="autoZero"/>
        <c:crossBetween val="between"/>
        <c:minorUnit val="1"/>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Verdana" panose="020B0604030504040204" pitchFamily="34" charset="0"/>
              <a:ea typeface="Verdana" panose="020B0604030504040204" pitchFamily="34" charset="0"/>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latin typeface="Verdana" panose="020B0604030504040204" pitchFamily="34" charset="0"/>
          <a:ea typeface="Verdana" panose="020B060403050404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customXml" Target="../ink/ink1.xml"/><Relationship Id="rId2" Type="http://schemas.openxmlformats.org/officeDocument/2006/relationships/image" Target="../media/image7.svg"/><Relationship Id="rId1" Type="http://schemas.openxmlformats.org/officeDocument/2006/relationships/image" Target="../media/image6.png"/><Relationship Id="rId4" Type="http://schemas.openxmlformats.org/officeDocument/2006/relationships/image" Target="../media/image7.png"/></Relationships>
</file>

<file path=xl/drawings/_rels/drawing3.xml.rels><?xml version="1.0" encoding="UTF-8" standalone="yes"?>
<Relationships xmlns="http://schemas.openxmlformats.org/package/2006/relationships"><Relationship Id="rId2" Type="http://schemas.openxmlformats.org/officeDocument/2006/relationships/image" Target="../media/image9.svg"/><Relationship Id="rId1" Type="http://schemas.openxmlformats.org/officeDocument/2006/relationships/image" Target="../media/image8.png"/></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30</xdr:row>
      <xdr:rowOff>95250</xdr:rowOff>
    </xdr:from>
    <xdr:to>
      <xdr:col>0</xdr:col>
      <xdr:colOff>4590476</xdr:colOff>
      <xdr:row>32</xdr:row>
      <xdr:rowOff>28538</xdr:rowOff>
    </xdr:to>
    <xdr:pic>
      <xdr:nvPicPr>
        <xdr:cNvPr id="2" name="Picture 1">
          <a:extLst>
            <a:ext uri="{FF2B5EF4-FFF2-40B4-BE49-F238E27FC236}">
              <a16:creationId xmlns:a16="http://schemas.microsoft.com/office/drawing/2014/main" id="{CAE8BEBA-6984-D9EC-DB7D-B33E3A5D880B}"/>
            </a:ext>
          </a:extLst>
        </xdr:cNvPr>
        <xdr:cNvPicPr>
          <a:picLocks noChangeAspect="1"/>
        </xdr:cNvPicPr>
      </xdr:nvPicPr>
      <xdr:blipFill>
        <a:blip xmlns:r="http://schemas.openxmlformats.org/officeDocument/2006/relationships" r:embed="rId1"/>
        <a:stretch>
          <a:fillRect/>
        </a:stretch>
      </xdr:blipFill>
      <xdr:spPr>
        <a:xfrm>
          <a:off x="0" y="5419725"/>
          <a:ext cx="4590476" cy="295238"/>
        </a:xfrm>
        <a:prstGeom prst="rect">
          <a:avLst/>
        </a:prstGeom>
      </xdr:spPr>
    </xdr:pic>
    <xdr:clientData/>
  </xdr:twoCellAnchor>
  <xdr:twoCellAnchor editAs="oneCell">
    <xdr:from>
      <xdr:col>0</xdr:col>
      <xdr:colOff>0</xdr:colOff>
      <xdr:row>37</xdr:row>
      <xdr:rowOff>28575</xdr:rowOff>
    </xdr:from>
    <xdr:to>
      <xdr:col>1</xdr:col>
      <xdr:colOff>2906494</xdr:colOff>
      <xdr:row>56</xdr:row>
      <xdr:rowOff>133845</xdr:rowOff>
    </xdr:to>
    <xdr:pic>
      <xdr:nvPicPr>
        <xdr:cNvPr id="5" name="Picture 4">
          <a:extLst>
            <a:ext uri="{FF2B5EF4-FFF2-40B4-BE49-F238E27FC236}">
              <a16:creationId xmlns:a16="http://schemas.microsoft.com/office/drawing/2014/main" id="{8220FC5A-71BB-033B-B6A6-68B9BD19B56B}"/>
            </a:ext>
          </a:extLst>
        </xdr:cNvPr>
        <xdr:cNvPicPr>
          <a:picLocks noChangeAspect="1"/>
        </xdr:cNvPicPr>
      </xdr:nvPicPr>
      <xdr:blipFill>
        <a:blip xmlns:r="http://schemas.openxmlformats.org/officeDocument/2006/relationships" r:embed="rId2"/>
        <a:stretch>
          <a:fillRect/>
        </a:stretch>
      </xdr:blipFill>
      <xdr:spPr>
        <a:xfrm>
          <a:off x="0" y="6619875"/>
          <a:ext cx="9812119" cy="3543795"/>
        </a:xfrm>
        <a:prstGeom prst="rect">
          <a:avLst/>
        </a:prstGeom>
        <a:ln w="6350">
          <a:solidFill>
            <a:schemeClr val="tx1"/>
          </a:solidFill>
        </a:ln>
      </xdr:spPr>
    </xdr:pic>
    <xdr:clientData/>
  </xdr:twoCellAnchor>
  <xdr:twoCellAnchor editAs="oneCell">
    <xdr:from>
      <xdr:col>0</xdr:col>
      <xdr:colOff>0</xdr:colOff>
      <xdr:row>59</xdr:row>
      <xdr:rowOff>0</xdr:rowOff>
    </xdr:from>
    <xdr:to>
      <xdr:col>0</xdr:col>
      <xdr:colOff>4363059</xdr:colOff>
      <xdr:row>71</xdr:row>
      <xdr:rowOff>303</xdr:rowOff>
    </xdr:to>
    <xdr:pic>
      <xdr:nvPicPr>
        <xdr:cNvPr id="7" name="Picture 6">
          <a:extLst>
            <a:ext uri="{FF2B5EF4-FFF2-40B4-BE49-F238E27FC236}">
              <a16:creationId xmlns:a16="http://schemas.microsoft.com/office/drawing/2014/main" id="{4563041C-0C56-07F4-A00C-5329B8B11258}"/>
            </a:ext>
          </a:extLst>
        </xdr:cNvPr>
        <xdr:cNvPicPr>
          <a:picLocks noChangeAspect="1"/>
        </xdr:cNvPicPr>
      </xdr:nvPicPr>
      <xdr:blipFill>
        <a:blip xmlns:r="http://schemas.openxmlformats.org/officeDocument/2006/relationships" r:embed="rId3"/>
        <a:stretch>
          <a:fillRect/>
        </a:stretch>
      </xdr:blipFill>
      <xdr:spPr>
        <a:xfrm>
          <a:off x="0" y="10572750"/>
          <a:ext cx="4363059" cy="2172003"/>
        </a:xfrm>
        <a:prstGeom prst="rect">
          <a:avLst/>
        </a:prstGeom>
      </xdr:spPr>
    </xdr:pic>
    <xdr:clientData/>
  </xdr:twoCellAnchor>
  <xdr:twoCellAnchor editAs="oneCell">
    <xdr:from>
      <xdr:col>0</xdr:col>
      <xdr:colOff>0</xdr:colOff>
      <xdr:row>96</xdr:row>
      <xdr:rowOff>0</xdr:rowOff>
    </xdr:from>
    <xdr:to>
      <xdr:col>11</xdr:col>
      <xdr:colOff>135743</xdr:colOff>
      <xdr:row>117</xdr:row>
      <xdr:rowOff>114846</xdr:rowOff>
    </xdr:to>
    <xdr:pic>
      <xdr:nvPicPr>
        <xdr:cNvPr id="3" name="Picture 2">
          <a:extLst>
            <a:ext uri="{FF2B5EF4-FFF2-40B4-BE49-F238E27FC236}">
              <a16:creationId xmlns:a16="http://schemas.microsoft.com/office/drawing/2014/main" id="{FE48BC52-6CB8-4C99-B499-170251B97F40}"/>
            </a:ext>
          </a:extLst>
        </xdr:cNvPr>
        <xdr:cNvPicPr>
          <a:picLocks noChangeAspect="1"/>
        </xdr:cNvPicPr>
      </xdr:nvPicPr>
      <xdr:blipFill>
        <a:blip xmlns:r="http://schemas.openxmlformats.org/officeDocument/2006/relationships" r:embed="rId4"/>
        <a:stretch>
          <a:fillRect/>
        </a:stretch>
      </xdr:blipFill>
      <xdr:spPr>
        <a:xfrm>
          <a:off x="0" y="18554700"/>
          <a:ext cx="17147393" cy="3915321"/>
        </a:xfrm>
        <a:prstGeom prst="rect">
          <a:avLst/>
        </a:prstGeom>
      </xdr:spPr>
    </xdr:pic>
    <xdr:clientData/>
  </xdr:twoCellAnchor>
  <xdr:twoCellAnchor>
    <xdr:from>
      <xdr:col>0</xdr:col>
      <xdr:colOff>95250</xdr:colOff>
      <xdr:row>123</xdr:row>
      <xdr:rowOff>114300</xdr:rowOff>
    </xdr:from>
    <xdr:to>
      <xdr:col>2</xdr:col>
      <xdr:colOff>304800</xdr:colOff>
      <xdr:row>134</xdr:row>
      <xdr:rowOff>161925</xdr:rowOff>
    </xdr:to>
    <xdr:pic>
      <xdr:nvPicPr>
        <xdr:cNvPr id="4" name="Picture 3">
          <a:extLst>
            <a:ext uri="{FF2B5EF4-FFF2-40B4-BE49-F238E27FC236}">
              <a16:creationId xmlns:a16="http://schemas.microsoft.com/office/drawing/2014/main" id="{33DA8312-C1FC-67EE-236C-7872B8B0BDB7}"/>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5250" y="23555325"/>
          <a:ext cx="10572750" cy="2038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13607</xdr:colOff>
      <xdr:row>0</xdr:row>
      <xdr:rowOff>68036</xdr:rowOff>
    </xdr:from>
    <xdr:to>
      <xdr:col>0</xdr:col>
      <xdr:colOff>925286</xdr:colOff>
      <xdr:row>0</xdr:row>
      <xdr:rowOff>979715</xdr:rowOff>
    </xdr:to>
    <xdr:pic macro="[0]!RefreshCO_Click">
      <xdr:nvPicPr>
        <xdr:cNvPr id="3" name="RefreshCO" descr="Repeat with solid fill">
          <a:extLst>
            <a:ext uri="{FF2B5EF4-FFF2-40B4-BE49-F238E27FC236}">
              <a16:creationId xmlns:a16="http://schemas.microsoft.com/office/drawing/2014/main" id="{7386F6E3-043E-46EB-F0E3-0EEA335A1EC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3607" y="68036"/>
          <a:ext cx="911679" cy="911679"/>
        </a:xfrm>
        <a:prstGeom prst="rect">
          <a:avLst/>
        </a:prstGeom>
      </xdr:spPr>
    </xdr:pic>
    <xdr:clientData/>
  </xdr:twoCellAnchor>
  <xdr:twoCellAnchor editAs="oneCell">
    <xdr:from>
      <xdr:col>4</xdr:col>
      <xdr:colOff>108492</xdr:colOff>
      <xdr:row>0</xdr:row>
      <xdr:rowOff>0</xdr:rowOff>
    </xdr:from>
    <xdr:to>
      <xdr:col>4</xdr:col>
      <xdr:colOff>154211</xdr:colOff>
      <xdr:row>0</xdr:row>
      <xdr:rowOff>45719</xdr:rowOff>
    </xdr:to>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12" name="Ink 11">
              <a:extLst>
                <a:ext uri="{FF2B5EF4-FFF2-40B4-BE49-F238E27FC236}">
                  <a16:creationId xmlns:a16="http://schemas.microsoft.com/office/drawing/2014/main" id="{A6A56CE5-F010-12E1-960B-AE9179CD5993}"/>
                </a:ext>
              </a:extLst>
            </xdr14:cNvPr>
            <xdr14:cNvContentPartPr/>
          </xdr14:nvContentPartPr>
          <xdr14:nvPr macro=""/>
          <xdr14:xfrm>
            <a:off x="9579063" y="0"/>
            <a:ext cx="45719" cy="45719"/>
          </xdr14:xfrm>
        </xdr:contentPart>
      </mc:Choice>
      <mc:Fallback xmlns="">
        <xdr:pic>
          <xdr:nvPicPr>
            <xdr:cNvPr id="12" name="Ink 11">
              <a:extLst>
                <a:ext uri="{FF2B5EF4-FFF2-40B4-BE49-F238E27FC236}">
                  <a16:creationId xmlns:a16="http://schemas.microsoft.com/office/drawing/2014/main" id="{A6A56CE5-F010-12E1-960B-AE9179CD5993}"/>
                </a:ext>
              </a:extLst>
            </xdr:cNvPr>
            <xdr:cNvPicPr/>
          </xdr:nvPicPr>
          <xdr:blipFill>
            <a:blip xmlns:r="http://schemas.openxmlformats.org/officeDocument/2006/relationships" r:embed="rId4"/>
            <a:stretch>
              <a:fillRect/>
            </a:stretch>
          </xdr:blipFill>
          <xdr:spPr>
            <a:xfrm>
              <a:off x="5637960" y="698760"/>
              <a:ext cx="18000" cy="18000"/>
            </a:xfrm>
            <a:prstGeom prst="rect">
              <a:avLst/>
            </a:prstGeom>
          </xdr:spPr>
        </xdr:pic>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114299</xdr:colOff>
      <xdr:row>1</xdr:row>
      <xdr:rowOff>85724</xdr:rowOff>
    </xdr:from>
    <xdr:to>
      <xdr:col>0</xdr:col>
      <xdr:colOff>504824</xdr:colOff>
      <xdr:row>3</xdr:row>
      <xdr:rowOff>76199</xdr:rowOff>
    </xdr:to>
    <xdr:pic macro="[0]!RefreshPiv_Click">
      <xdr:nvPicPr>
        <xdr:cNvPr id="3" name="RefreshPiv" descr="Repeat with solid fill">
          <a:extLst>
            <a:ext uri="{FF2B5EF4-FFF2-40B4-BE49-F238E27FC236}">
              <a16:creationId xmlns:a16="http://schemas.microsoft.com/office/drawing/2014/main" id="{9D3B66DC-FE0D-BBB7-AF63-26854507407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14299" y="219074"/>
          <a:ext cx="390525" cy="3905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609599</xdr:colOff>
      <xdr:row>1</xdr:row>
      <xdr:rowOff>0</xdr:rowOff>
    </xdr:from>
    <xdr:to>
      <xdr:col>21</xdr:col>
      <xdr:colOff>180974</xdr:colOff>
      <xdr:row>35</xdr:row>
      <xdr:rowOff>0</xdr:rowOff>
    </xdr:to>
    <xdr:graphicFrame macro="">
      <xdr:nvGraphicFramePr>
        <xdr:cNvPr id="2" name="Chart 1">
          <a:extLst>
            <a:ext uri="{FF2B5EF4-FFF2-40B4-BE49-F238E27FC236}">
              <a16:creationId xmlns:a16="http://schemas.microsoft.com/office/drawing/2014/main" id="{049DEDE0-8DCD-454B-8F58-F026030197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2-07T12:05:11.419"/>
    </inkml:context>
    <inkml:brush xml:id="br0">
      <inkml:brushProperty name="width" value="0.05" units="cm"/>
      <inkml:brushProperty name="height" value="0.05" units="cm"/>
      <inkml:brushProperty name="color" value="#E71224"/>
    </inkml:brush>
  </inkml:definitions>
  <inkml:trace contextRef="#ctx0" brushRef="#br0">1 1 24575</inkml:trace>
</inkm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land Earvin Combalicer" refreshedDate="45846.052969675926" createdVersion="8" refreshedVersion="8" minRefreshableVersion="3" recordCount="2" xr:uid="{579CA73E-00EE-4D6F-9F20-DD8CBC36B4B6}">
  <cacheSource type="worksheet">
    <worksheetSource ref="B3:L5" sheet="Overview"/>
  </cacheSource>
  <cacheFields count="11">
    <cacheField name="Ticket" numFmtId="0">
      <sharedItems containsBlank="1" count="28">
        <s v="FR7428161"/>
        <s v="FR7437769"/>
        <s v="FR7436498" u="1"/>
        <m u="1"/>
        <s v="FR7416050" u="1"/>
        <s v="FR7417161" u="1"/>
        <s v="FR7400262" u="1"/>
        <s v="FR7403248" u="1"/>
        <s v="FR7382732" u="1"/>
        <s v="FR7385123" u="1"/>
        <s v="FR7374774" u="1"/>
        <s v="FR7375562" u="1"/>
        <s v="FR7368372" u="1"/>
        <s v="FR7368448" u="1"/>
        <s v="FR7314300" u="1"/>
        <s v="FR7366903" u="1"/>
        <s v="FR7352279" u="1"/>
        <s v="FR7345542" u="1"/>
        <s v="FR7335136" u="1"/>
        <s v="FR7339023" u="1"/>
        <s v="FR7318069" u="1"/>
        <s v="FR7328669" u="1"/>
        <s v="FR7322183" u="1"/>
        <s v="FR7317802" u="1"/>
        <s v="FR7319903" u="1"/>
        <s v="FR7320399" u="1"/>
        <s v="FR7317532" u="1"/>
        <s v="FR7319861" u="1"/>
      </sharedItems>
    </cacheField>
    <cacheField name="Waiting for Tm1 Replication" numFmtId="0">
      <sharedItems containsSemiMixedTypes="0" containsString="0" containsNumber="1" containsInteger="1" minValue="0" maxValue="1"/>
    </cacheField>
    <cacheField name="Waiting for MDGF approval" numFmtId="0">
      <sharedItems containsSemiMixedTypes="0" containsString="0" containsNumber="1" containsInteger="1" minValue="0" maxValue="2"/>
    </cacheField>
    <cacheField name="Waiting for Requestor" numFmtId="0">
      <sharedItems containsSemiMixedTypes="0" containsString="0" containsNumber="1" containsInteger="1" minValue="0" maxValue="0"/>
    </cacheField>
    <cacheField name="New" numFmtId="0">
      <sharedItems containsSemiMixedTypes="0" containsString="0" containsNumber="1" containsInteger="1" minValue="0" maxValue="0"/>
    </cacheField>
    <cacheField name="Cancelled" numFmtId="0">
      <sharedItems containsSemiMixedTypes="0" containsString="0" containsNumber="1" containsInteger="1" minValue="0" maxValue="0"/>
    </cacheField>
    <cacheField name="Not for mapping/Invalid" numFmtId="0">
      <sharedItems containsSemiMixedTypes="0" containsString="0" containsNumber="1" containsInteger="1" minValue="0" maxValue="1"/>
    </cacheField>
    <cacheField name="MAPPED" numFmtId="0">
      <sharedItems containsSemiMixedTypes="0" containsString="0" containsNumber="1" containsInteger="1" minValue="0" maxValue="0"/>
    </cacheField>
    <cacheField name="Overall Status" numFmtId="0">
      <sharedItems count="2">
        <s v="Pending"/>
        <s v="OK" u="1"/>
      </sharedItems>
    </cacheField>
    <cacheField name="Total Count of Resolved Objects" numFmtId="0">
      <sharedItems containsSemiMixedTypes="0" containsString="0" containsNumber="1" containsInteger="1" minValue="0" maxValue="0"/>
    </cacheField>
    <cacheField name="Resolution Comments" numFmtId="0">
      <sharedItems count="3">
        <s v=""/>
        <s v="17 objects have been successfully mapped." u="1"/>
        <s v="Object has been successfully mapped."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land Earvin Combalicer" refreshedDate="45846.05296990741" createdVersion="8" refreshedVersion="8" minRefreshableVersion="3" recordCount="342" xr:uid="{2954B314-9C7A-436B-A083-C1C69A923D83}">
  <cacheSource type="worksheet">
    <worksheetSource name="Proc"/>
  </cacheSource>
  <cacheFields count="19">
    <cacheField name="App" numFmtId="0">
      <sharedItems containsBlank="1" count="553">
        <s v="FR7428161"/>
        <s v="FR7437769"/>
        <s v="FR7458107"/>
        <s v="FR7465457"/>
        <s v="FR7465429"/>
        <s v="FR7466373"/>
        <s v="FR7467264"/>
        <s v="FR7467597"/>
        <s v="FR7468738"/>
        <s v="FR7457278" u="1"/>
        <s v="FR7453635" u="1"/>
        <s v="FR7436498" u="1"/>
        <s v="FR7449455" u="1"/>
        <s v="FR7446458" u="1"/>
        <s v="FR7425378" u="1"/>
        <s v="FR7426909" u="1"/>
        <s v="FR7416050" u="1"/>
        <s v="FR7417161" u="1"/>
        <s v="FR7417823" u="1"/>
        <s v="FR7418685" u="1"/>
        <s v="FR7418966" u="1"/>
        <s v="FR7332565" u="1"/>
        <s v="FR7403248" u="1"/>
        <s v="FR7400262" u="1"/>
        <s v="FR7382732" u="1"/>
        <s v="FR7385123" u="1"/>
        <s v="FR7391800" u="1"/>
        <s v="FR7396570" u="1"/>
        <s v="FR7400920" u="1"/>
        <s v="FR7380686" u="1"/>
        <s v="FR7382702" u="1"/>
        <s v="FR7374774" u="1"/>
        <s v="FR7375562" u="1"/>
        <s v="FR7376495" u="1"/>
        <s v="FR7368372" u="1"/>
        <s v="FR7368448" u="1"/>
        <s v="FR7369412" u="1"/>
        <s v="FR7365034" u="1"/>
        <s v="FR7314300" u="1"/>
        <s v="FR7366903" u="1"/>
        <s v="FR7352279" u="1"/>
        <s v="FR7351855" u="1"/>
        <s v="FR7354774" u="1"/>
        <s v="FR7354787" u="1"/>
        <s v="FR7356287" u="1"/>
        <s v="FR7357071" u="1"/>
        <s v="FR7357987" u="1"/>
        <s v="FR7345542" u="1"/>
        <s v="FR7345953" u="1"/>
        <s v="FR7352048" u="1"/>
        <s v="FR7352478" u="1"/>
        <s v="FR7352779" u="1"/>
        <s v="FR7335136" u="1"/>
        <s v="FR7339023" u="1"/>
        <s v="FR7339740" u="1"/>
        <s v="FR7337019" u="1"/>
        <s v="FR7337931" u="1"/>
        <s v="FR7337981" u="1"/>
        <s v="FR7335135" u="1"/>
        <s v="FR7336709" u="1"/>
        <s v="FR7336726" u="1"/>
        <s v="FR7318069" u="1"/>
        <s v="FR7328669" u="1"/>
        <s v="FR7327207" u="1"/>
        <s v="FR7330120" u="1"/>
        <s v="FR7322183" u="1"/>
        <s v="FR7324585" u="1"/>
        <s v="FR7324504" u="1"/>
        <s v="FR7317802" u="1"/>
        <s v="FR7319903" u="1"/>
        <s v="FR7320399" u="1"/>
        <s v="FR7320867" u="1"/>
        <s v="FR7317532" u="1"/>
        <s v="FR7319861" u="1"/>
        <s v="FR7294729" u="1"/>
        <s v="FR7298409" u="1"/>
        <s v="FR7298416" u="1"/>
        <s v="FR7298556" u="1"/>
        <s v="FR7300233" u="1"/>
        <s v="FR7303087" u="1"/>
        <s v="FR7311725" u="1"/>
        <s v="FR7311374" u="1"/>
        <s v="FR7311013" u="1"/>
        <s v="FR7293986" u="1"/>
        <s v="FR7293971" u="1"/>
        <s v="FR7283426" u="1"/>
        <s v="FR7283753" u="1"/>
        <s v="FR7287236" u="1"/>
        <s v="FR7280962" u="1"/>
        <s v="FR7271136" u="1"/>
        <s v="FR7274431" u="1"/>
        <s v="FR7272340" u="1"/>
        <s v="FR7269207" u="1"/>
        <s v="FR7267269" u="1"/>
        <s v="FR7265072" u="1"/>
        <s v="FR7253856" u="1"/>
        <s v="FR7253315" u="1"/>
        <s v="FR7252687" u="1"/>
        <s v="FR7250776" u="1"/>
        <s v="FR7249989" u="1"/>
        <s v="FR7261475" u="1"/>
        <s v="FR7262991" u="1"/>
        <s v="FR7259193" u="1"/>
        <s v="FR7239447" u="1"/>
        <s v="FR7240736" u="1"/>
        <s v="FR7240668" u="1"/>
        <m u="1"/>
        <s v="FR7228078" u="1"/>
        <s v="FR7230888" u="1"/>
        <s v="FR7231993" u="1"/>
        <s v="FR7233618" u="1"/>
        <s v="FR7234075" u="1"/>
        <s v="FR7235227" u="1"/>
        <s v="FR7235300" u="1"/>
        <s v="FR7236462" u="1"/>
        <s v="FR7228501" u="1"/>
        <s v="FR7226507" u="1"/>
        <s v="FR7220448" u="1"/>
        <s v="FR7218977" u="1"/>
        <s v="FR7202707" u="1"/>
        <s v="FR7214613" u="1"/>
        <s v="FR7212236" u="1"/>
        <s v="FR7207432" u="1"/>
        <s v="FR7214943" u="1"/>
        <s v="FR7202557" u="1"/>
        <s v="FR7218063" u="1"/>
        <s v="FR7216772" u="1"/>
        <s v="FR7216010" u="1"/>
        <s v="FR7215342" u="1"/>
        <s v="FR7218317" u="1"/>
        <s v="FR7202501" u="1"/>
        <s v="FR7132388" u="1"/>
        <s v="FR7198716" u="1"/>
        <s v="FR7198162" u="1"/>
        <s v="FR7198155" u="1"/>
        <s v="FR7197616" u="1"/>
        <s v="FR7205291" u="1"/>
        <s v="FR7203070" u="1"/>
        <s v="FR7203031" u="1"/>
        <s v="FR7202987" u="1"/>
        <s v="FR7202977" u="1"/>
        <s v="FR7202906" u="1"/>
        <s v="FR7202684" u="1"/>
        <s v="FR7205855" u="1"/>
        <s v="FR7201312" u="1"/>
        <s v="FR7194402" u="1"/>
        <s v="FR7182430" u="1"/>
        <s v="FR7189136" u="1"/>
        <s v="FR7136872" u="1"/>
        <s v="FR7182563" u="1"/>
        <s v="FR7169133" u="1"/>
        <s v="FR7170138" u="1"/>
        <s v="FR7129327" u="1"/>
        <s v="FR7170711" u="1"/>
        <s v="FR7170712" u="1"/>
        <s v="FR7173355" u="1"/>
        <s v="FR7174669" u="1"/>
        <s v="FR7148336" u="1"/>
        <s v="FR7168978" u="1"/>
        <s v="FR7161411" u="1"/>
        <s v="FR7161858" u="1"/>
        <s v="FR7154481" u="1"/>
        <s v="FR7150528" u="1"/>
        <s v="FR7150280" u="1"/>
        <s v="FR7127941" u="1"/>
        <s v="FR7148376" u="1"/>
        <s v="FR7136272" u="1"/>
        <s v="FR7140268" u="1"/>
        <s v="FR7135273" u="1"/>
        <s v="FR7130985" u="1"/>
        <s v="FR7126485" u="1"/>
        <s v="FR7131332" u="1"/>
        <s v="FR7130653" u="1"/>
        <s v="FR7126398" u="1"/>
        <s v="FR7127745" u="1"/>
        <s v="FR7123793" u="1"/>
        <s v="FR7122508" u="1"/>
        <s v="FR7122316" u="1"/>
        <s v="FR7121444" u="1"/>
        <s v="FR7121419" u="1"/>
        <s v="FR7118997" u="1"/>
        <s v="FR7105779" u="1"/>
        <s v="FR7114891" u="1"/>
        <s v="FR7114300" u="1"/>
        <s v="FR7113391" u="1"/>
        <s v="FR7113612" u="1"/>
        <s v="FR7119096" u="1"/>
        <s v="FR7108808" u="1"/>
        <s v="FR7108798" u="1"/>
        <s v="FR7109966" u="1"/>
        <s v="FR7102758" u="1"/>
        <s v="FR7105221" u="1"/>
        <s v="FR7049840" u="1"/>
        <s v="FR7079666" u="1"/>
        <s v="FR7084367" u="1"/>
        <s v="FR7099869" u="1"/>
        <s v="FR7099781" u="1"/>
        <s v="FR7098702" u="1"/>
        <s v="FR7093701" u="1"/>
        <s v="FR7091332" u="1"/>
        <s v="FR7088415" u="1"/>
        <s v="FR7089970" u="1"/>
        <s v="FR7088452" u="1"/>
        <s v="FR7081100" u="1"/>
        <s v="FR7088907" u="1"/>
        <s v="FR7083726" u="1"/>
        <s v="FR7084082" u="1"/>
        <s v="FR7040071" u="1"/>
        <s v="FR7064092" u="1"/>
        <s v="FR7070747" u="1"/>
        <s v="FR7076100" u="1"/>
        <s v="FR7067731" u="1"/>
        <s v="FR7025313" u="1"/>
        <s v="FR7061005" u="1"/>
        <s v="FR7052459" u="1"/>
        <s v="FR7057938" u="1"/>
        <s v="FR7057554" u="1"/>
        <s v="FR7048767" u="1"/>
        <s v="FR7051681" u="1"/>
        <s v="FR7051498" u="1"/>
        <s v="FR7047510" u="1"/>
        <s v="FR7047182" u="1"/>
        <s v="FR7046557" u="1"/>
        <s v="FR7044542" u="1"/>
        <s v="FR7040650" u="1"/>
        <s v="FR7040552" u="1"/>
        <s v="FR7043643" u="1"/>
        <s v="FR6995568" u="1"/>
        <s v="FR7000149" u="1"/>
        <s v="FR7006542" u="1"/>
        <s v="FR7010909" u="1"/>
        <s v="FR7024407" u="1"/>
        <s v="FR7025837" u="1"/>
        <s v="FR7031618" u="1"/>
        <s v="FR7032783" u="1"/>
        <s v="FR6982382" u="1"/>
        <s v="FR7018001" u="1"/>
        <s v="FR7013508" u="1"/>
        <s v="FR7022004" u="1"/>
        <s v="FR7022142" u="1"/>
        <s v="FR7010037" u="1"/>
        <s v="FR7007038" u="1"/>
        <s v="FR7000977" u="1"/>
        <s v="FR6966061" u="1"/>
        <s v="FR6970242" u="1"/>
        <s v="FR6974751" u="1"/>
        <s v="FR6975197" u="1"/>
        <s v="FR6978118" u="1"/>
        <s v="FR6978512" u="1"/>
        <s v="FR6981254" u="1"/>
        <s v="FR6981168" u="1"/>
        <s v="FR6984381" u="1"/>
        <s v="FR6986301" u="1"/>
        <s v="FR6988197" u="1"/>
        <s v="FR6982139" u="1"/>
        <s v="FR6981021" u="1"/>
        <s v="FR6977108" u="1"/>
        <s v="FR6977069" u="1"/>
        <s v="FR6956164" u="1"/>
        <s v="FR6947443" u="1"/>
        <s v="FR6950020" u="1"/>
        <s v="FR6948171" u="1"/>
        <s v="FR6951585" u="1"/>
        <s v="FR6951651" u="1"/>
        <s v="FR6945251" u="1"/>
        <s v="FR6945187" u="1"/>
        <s v="FR6939441" u="1"/>
        <s v="FR6943059" u="1"/>
        <s v="FR6940622" u="1"/>
        <s v="FR6936351" u="1"/>
        <s v="FR6936387" u="1"/>
        <s v="FR6936463" u="1"/>
        <s v="FR6932189" u="1"/>
        <s v="FR6935264" u="1"/>
        <s v="FR6936400" u="1"/>
        <s v="FR6932105" u="1"/>
        <s v="FR6921228" u="1"/>
        <s v="FR6921705" u="1"/>
        <s v="FR6918427" u="1"/>
        <s v="FR6922887" u="1"/>
        <s v="FR6913258" u="1"/>
        <s v="FR6914306" u="1"/>
        <s v="FR6918406" u="1"/>
        <s v="FR6902348" u="1"/>
        <s v="FR6906257" u="1"/>
        <s v="FR6871129" u="1"/>
        <s v="FR6894113" u="1"/>
        <s v="FR6894591" u="1"/>
        <s v="FR6902334" u="1"/>
        <s v="FR6901662" u="1"/>
        <s v="FR6894369" u="1"/>
        <s v="FR6894814" u="1"/>
        <s v="FR6897580" u="1"/>
        <s v="FR6883935" u="1"/>
        <s v="FR6887626" u="1"/>
        <s v="FR6882174" u="1"/>
        <s v="FR6882615" u="1"/>
        <s v="FR6884430" u="1"/>
        <s v="FR6884469" u="1"/>
        <s v="FR6877297" u="1"/>
        <s v="FR6879708" u="1"/>
        <s v="FR6879586" u="1"/>
        <s v="FR6880746" u="1"/>
        <s v="FR6881096" u="1"/>
        <s v="FR6874797" u="1"/>
        <s v="FR6868579" u="1"/>
        <s v="FR6872519" u="1"/>
        <s v="FR6872557" u="1"/>
        <s v="FR6873117" u="1"/>
        <s v="FR6873213" u="1"/>
        <s v="FR6856959" u="1"/>
        <s v="FR6860447" u="1"/>
        <s v="FR6863456" u="1"/>
        <s v="FR6859744" u="1"/>
        <s v="FR6853589" u="1"/>
        <s v="FR6854224" u="1"/>
        <s v="FR6853204" u="1"/>
        <s v="FR6855404" u="1"/>
        <s v="FR6849995" u="1"/>
        <s v="FR6849303" u="1"/>
        <s v="FR6851290" u="1"/>
        <s v="FR6852471" u="1"/>
        <s v="FR6846790" u="1"/>
        <s v="FR6846991" u="1"/>
        <s v="FR6846939" u="1"/>
        <s v="FR6836102" u="1"/>
        <s v="FR6840440" u="1"/>
        <s v="FR6839555" u="1"/>
        <s v="FR6832408" u="1"/>
        <s v="FR6834010" u="1"/>
        <s v="FR6834066" u="1"/>
        <s v="FR6833917" u="1"/>
        <s v="FR6822543" u="1"/>
        <s v="FR6829522" u="1"/>
        <s v="FR6828826" u="1"/>
        <s v="FR6821748" u="1"/>
        <s v="FR6820003" u="1"/>
        <s v="FR6821258" u="1"/>
        <s v="FR6815694" u="1"/>
        <s v="FR6814212" u="1"/>
        <s v="FR6808895" u="1"/>
        <s v="FR6810200" u="1"/>
        <s v="FR6804074" u="1"/>
        <s v="FR6801143" u="1"/>
        <s v="FR6807080" u="1"/>
        <s v="FR6803175" u="1"/>
        <s v="FR6803170" u="1"/>
        <s v="FR6803164" u="1"/>
        <s v="FR6797115" u="1"/>
        <s v="FR6799659" u="1"/>
        <s v="FR6789692" u="1"/>
        <s v="FR6791671" u="1"/>
        <s v="FR6792398" u="1"/>
        <s v="FR6793509" u="1"/>
        <s v="FR6797100" u="1"/>
        <s v="FR6788166" u="1"/>
        <s v="FR6785419" u="1"/>
        <s v="FR6787753" u="1"/>
        <s v="FR6789118" u="1"/>
        <s v="FR6782480" u="1"/>
        <s v="FR6782758" u="1"/>
        <s v="FR6784332" u="1"/>
        <s v="FR6785827" u="1"/>
        <s v="FR6780343" u="1"/>
        <s v="FR6769550" u="1"/>
        <s v="FR6774574" u="1"/>
        <s v="FR6773357" u="1"/>
        <s v="FR6772879" u="1"/>
        <s v="FR6772647" u="1"/>
        <s v="FR6773139" u="1"/>
        <s v="FR6772993" u="1"/>
        <s v="FR6768057" u="1"/>
        <s v="FR6770520" u="1"/>
        <s v="FR6770731" u="1"/>
        <s v="FR6754422" u="1"/>
        <s v="FR6755682" u="1"/>
        <s v="FR6750332" u="1"/>
        <s v="FR6751071" u="1"/>
        <s v="FR6755026" u="1"/>
        <s v="FR6756778" u="1"/>
        <s v="FR6748068" u="1"/>
        <s v="FR6751919" u="1"/>
        <s v="FR6743557" u="1"/>
        <s v="FR6736927" u="1"/>
        <s v="FR6719798" u="1"/>
        <s v="FR6733855" u="1"/>
        <s v="FR6736114" u="1"/>
        <s v="FR6736321" u="1"/>
        <s v="FR6737534" u="1"/>
        <s v="FR6741477" u="1"/>
        <s v="FR6742841" u="1"/>
        <s v="FR6743876" u="1"/>
        <s v="FR6732007" u="1"/>
        <s v="FR6728982" u="1"/>
        <s v="FR6727491" u="1"/>
        <s v="FR6717924" u="1"/>
        <s v="FR6722175" u="1"/>
        <s v="FR6724704" u="1"/>
        <s v="FR6724812" u="1"/>
        <s v="FR6724968" u="1"/>
        <s v="FR6722025" u="1"/>
        <s v="FR6688459" u="1"/>
        <s v="FR6718994" u="1"/>
        <s v="FR6720769" u="1"/>
        <s v="FR6714292" u="1"/>
        <s v="FR6712028" u="1"/>
        <s v="FR6713480" u="1"/>
        <s v="FR6717290" u="1"/>
        <s v="FR6711755" u="1"/>
        <s v="FR6708425" u="1"/>
        <s v="FR6713786" u="1"/>
        <s v="FR6704501" u="1"/>
        <s v="FR6703333" u="1"/>
        <s v="FR6693670" u="1"/>
        <s v="FR6694770" u="1"/>
        <s v="FR6695256" u="1"/>
        <s v="FR6695513" u="1"/>
        <s v="FR6697237" u="1"/>
        <s v="FR6698769" u="1"/>
        <s v="FR6691720" u="1"/>
        <s v="FR6690795" u="1"/>
        <s v="FR6687036" u="1"/>
        <s v="FR6669097" u="1"/>
        <s v="FR6681416" u="1"/>
        <s v="FR6685913" u="1"/>
        <s v="FR6643296" u="1"/>
        <s v="FR6669064" u="1"/>
        <s v="FR6673044" u="1"/>
        <s v="FR6674287" u="1"/>
        <s v="FR6676281" u="1"/>
        <s v="FR6677519" u="1"/>
        <s v="FR6660348" u="1"/>
        <s v="FR6667673" u="1"/>
        <s v="FR6673210" u="1"/>
        <s v="FR6662315" u="1"/>
        <s v="FR6659477" u="1"/>
        <s v="FR6658025" u="1"/>
        <s v="FR6654244" u="1"/>
        <s v="FR6639364" u="1"/>
        <s v="FR6646928" u="1"/>
        <s v="FR6619161" u="1"/>
        <s v="FR6620647" u="1"/>
        <s v="FR6636570" u="1"/>
        <s v="FR6638264" u="1"/>
        <s v="FR6646244" u="1"/>
        <s v="FR6640346" u="1"/>
        <s v="FR6644669" u="1"/>
        <s v="FR6634677" u="1"/>
        <s v="FR6635604" u="1"/>
        <s v="FR6637076" u="1"/>
        <s v="FR6620365" u="1"/>
        <s v="FR6612399" u="1"/>
        <s v="FR6629779" u="1"/>
        <s v="FR6630393" u="1"/>
        <s v="FR6630342" u="1"/>
        <s v="FR6631474" u="1"/>
        <s v="FR6631905" u="1"/>
        <s v="FR6626358" u="1"/>
        <s v="FR6626363" u="1"/>
        <s v="FR6627117" u="1"/>
        <s v="FR6627152" u="1"/>
        <s v="FR6627262" u="1"/>
        <s v="FR6621256" u="1"/>
        <s v="FR6620262" u="1"/>
        <s v="FR6620779" u="1"/>
        <s v="FR6620631" u="1"/>
        <s v="FR6620235" u="1"/>
        <s v="FR6615180" u="1"/>
        <s v="FR6615392" u="1"/>
        <s v="FR6617644" u="1"/>
        <s v="FR6605720" u="1"/>
        <s v="FR6615154" u="1"/>
        <s v="FR6616681" u="1"/>
        <s v="FR6617152" u="1"/>
        <s v="FR6606096" u="1"/>
        <s v="FR6606166" u="1"/>
        <s v="FR6611775" u="1"/>
        <s v="FR6612506" u="1"/>
        <s v="FR6612946" u="1"/>
        <s v="FR6607760" u="1"/>
        <s v="FR6607196" u="1"/>
        <s v="FR6607210" u="1"/>
        <s v="FR6607213" u="1"/>
        <s v="FR6608595" u="1"/>
        <s v="FR6597152" u="1"/>
        <s v="FR6598626" u="1"/>
        <s v="FR6599290" u="1"/>
        <s v="FR6602133" u="1"/>
        <s v="FR6603780" u="1"/>
        <s v="FR6604326" u="1"/>
        <s v="FR6581829" u="1"/>
        <s v="FR6581260" u="1"/>
        <s v="FR6558977" u="1"/>
        <s v="FR6575042" u="1"/>
        <s v="FR6578157" u="1"/>
        <s v="FR6582143" u="1"/>
        <s v="FR6581370" u="1"/>
        <s v="FR6582151" u="1"/>
        <s v="FR6582164" u="1"/>
        <s v="FR6582308" u="1"/>
        <s v="FR6571568" u="1"/>
        <s v="FR6581183" u="1"/>
        <s v="FR6560552" u="1"/>
        <s v="FR6564433" u="1"/>
        <s v="FR6560612" u="1"/>
        <s v="FR6563283" u="1"/>
        <s v="FR6560625" u="1"/>
        <s v="FR6560635" u="1"/>
        <s v="FR6564494" u="1"/>
        <s v="FR6564993" u="1"/>
        <s v="FR6544468" u="1"/>
        <s v="FR6558447" u="1"/>
        <s v="FR6551247" u="1"/>
        <s v="FR6547543" u="1"/>
        <s v="FR6555352" u="1"/>
        <s v="FR6547971" u="1"/>
        <s v="FR6548313" u="1"/>
        <s v="FR6541967" u="1"/>
        <s v="FR6543710" u="1"/>
        <s v="FR6544187" u="1"/>
        <s v="FR6545671" u="1"/>
        <s v="FR6547774" u="1"/>
        <s v="FR6547719" u="1"/>
        <s v="FR6547771" u="1"/>
        <s v="FR6538446" u="1"/>
        <s v="FR6539220" u="1"/>
        <s v="FR6540389" u="1"/>
        <s v="FR6542169" u="1"/>
        <s v="FR6533176" u="1"/>
        <s v="FR6532125" u="1"/>
        <s v="FR6536559" u="1"/>
        <s v="FR6536938" u="1"/>
        <s v="FR6530731" u="1"/>
        <s v="FR6524416" u="1"/>
        <s v="FR6524905" u="1"/>
        <s v="FR6528476" u="1"/>
        <s v="FR6521979" u="1"/>
        <s v="FR6507413" u="1"/>
        <s v="FR6520312" u="1"/>
        <s v="FR6520854" u="1"/>
        <s v="FR6520074" u="1"/>
        <s v="FR6511691" u="1"/>
        <s v="FR6518603" u="1"/>
        <s v="FR6507586" u="1"/>
        <s v="FR6513445" u="1"/>
        <s v="FR6513462" u="1"/>
        <s v="FR6516887" u="1"/>
        <s v="FR6507467" u="1"/>
        <s v="FR6509566" u="1"/>
        <s v="FR6509417" u="1"/>
        <s v="FR6505184" u="1"/>
        <s v="FR6503651" u="1"/>
        <s v="FR6506336" u="1"/>
      </sharedItems>
    </cacheField>
    <cacheField name="Filter" numFmtId="0">
      <sharedItems/>
    </cacheField>
    <cacheField name="Status" numFmtId="0">
      <sharedItems containsBlank="1" count="8">
        <s v="Not for mapping/Invalid"/>
        <s v="Waiting for Tm1 Replication"/>
        <s v="Waiting for MDGF approval"/>
        <s v="New"/>
        <s v="Duplicated Parent"/>
        <s v="Waiting for Requestor" u="1"/>
        <m u="1"/>
        <s v="Cancelled" u="1"/>
      </sharedItems>
    </cacheField>
    <cacheField name="Obj" numFmtId="0">
      <sharedItems/>
    </cacheField>
    <cacheField name="Requested" numFmtId="0">
      <sharedItems/>
    </cacheField>
    <cacheField name="CurrentParent" numFmtId="0">
      <sharedItems containsBlank="1"/>
    </cacheField>
    <cacheField name="type" numFmtId="0">
      <sharedItems containsBlank="1"/>
    </cacheField>
    <cacheField name="LFF_ID" numFmtId="0">
      <sharedItems/>
    </cacheField>
    <cacheField name="Analysis" numFmtId="0">
      <sharedItems containsBlank="1"/>
    </cacheField>
    <cacheField name="Sector" numFmtId="0">
      <sharedItems/>
    </cacheField>
    <cacheField name="Forecast" numFmtId="0">
      <sharedItems containsNonDate="0" containsString="0" containsBlank="1"/>
    </cacheField>
    <cacheField name="DateOpened" numFmtId="165">
      <sharedItems containsSemiMixedTypes="0" containsNonDate="0" containsDate="1" containsString="0" minDate="2024-07-29T00:00:00" maxDate="2025-07-04T00:00:00" count="199">
        <d v="2025-06-20T00:00:00"/>
        <d v="2025-06-24T00:00:00"/>
        <d v="2025-07-01T00:00:00"/>
        <d v="2025-07-03T00:00:00"/>
        <d v="2025-06-30T00:00:00" u="1"/>
        <d v="2025-06-27T00:00:00" u="1"/>
        <d v="2025-06-26T00:00:00" u="1"/>
        <d v="2025-06-17T00:00:00" u="1"/>
        <d v="2025-05-16T00:00:00" u="1"/>
        <d v="2025-06-11T00:00:00" u="1"/>
        <d v="2025-06-10T00:00:00" u="1"/>
        <d v="2025-06-03T00:00:00" u="1"/>
        <d v="2025-06-06T00:00:00" u="1"/>
        <d v="2025-06-02T00:00:00" u="1"/>
        <d v="2025-05-29T00:00:00" u="1"/>
        <d v="2025-05-28T00:00:00" u="1"/>
        <d v="2025-05-09T00:00:00" u="1"/>
        <d v="2025-05-23T00:00:00" u="1"/>
        <d v="2025-05-24T00:00:00" u="1"/>
        <d v="2025-05-26T00:00:00" u="1"/>
        <d v="2025-05-21T00:00:00" u="1"/>
        <d v="2025-05-19T00:00:00" u="1"/>
        <d v="2025-05-20T00:00:00" u="1"/>
        <d v="2025-05-13T00:00:00" u="1"/>
        <d v="2025-05-15T00:00:00" u="1"/>
        <d v="2025-05-14T00:00:00" u="1"/>
        <d v="2025-05-12T00:00:00" u="1"/>
        <d v="2025-05-02T00:00:00" u="1"/>
        <d v="2025-05-05T00:00:00" u="1"/>
        <d v="2025-05-06T00:00:00" u="1"/>
        <d v="2025-05-08T00:00:00" u="1"/>
        <d v="2025-04-29T00:00:00" u="1"/>
        <d v="2025-04-30T00:00:00" u="1"/>
        <d v="2025-04-28T00:00:00" u="1"/>
        <d v="2025-04-24T00:00:00" u="1"/>
        <d v="2025-04-25T00:00:00" u="1"/>
        <d v="2025-04-23T00:00:00" u="1"/>
        <d v="2025-04-22T00:00:00" u="1"/>
        <d v="2025-04-16T00:00:00" u="1"/>
        <d v="2025-04-15T00:00:00" u="1"/>
        <d v="2025-04-21T00:00:00" u="1"/>
        <d v="2025-04-18T00:00:00" u="1"/>
        <d v="2025-04-10T00:00:00" u="1"/>
        <d v="2025-04-11T00:00:00" u="1"/>
        <d v="2025-04-07T00:00:00" u="1"/>
        <d v="2025-04-08T00:00:00" u="1"/>
        <d v="2025-04-09T00:00:00" u="1"/>
        <d v="2025-04-03T00:00:00" u="1"/>
        <d v="2025-03-28T00:00:00" u="1"/>
        <d v="2025-04-02T00:00:00" u="1"/>
        <d v="2025-04-01T00:00:00" u="1"/>
        <d v="2025-03-31T00:00:00" u="1"/>
        <d v="2025-03-04T00:00:00" u="1"/>
        <d v="2025-03-27T00:00:00" u="1"/>
        <d v="2025-03-26T00:00:00" u="1"/>
        <d v="2025-03-21T00:00:00" u="1"/>
        <d v="2025-03-25T00:00:00" u="1"/>
        <d v="2025-03-05T00:00:00" u="1"/>
        <d v="2025-03-18T00:00:00" u="1"/>
        <d v="2025-03-03T00:00:00" u="1"/>
        <d v="2025-03-19T00:00:00" u="1"/>
        <d v="2025-03-10T00:00:00" u="1"/>
        <d v="2025-03-14T00:00:00" u="1"/>
        <d v="2025-03-12T00:00:00" u="1"/>
        <d v="2025-03-11T00:00:00" u="1"/>
        <d v="2025-03-06T00:00:00" u="1"/>
        <d v="2025-02-28T00:00:00" u="1"/>
        <d v="2025-02-27T00:00:00" u="1"/>
        <d v="2025-02-24T00:00:00" u="1"/>
        <d v="2025-02-26T00:00:00" u="1"/>
        <d v="2025-02-25T00:00:00" u="1"/>
        <d v="2025-02-21T00:00:00" u="1"/>
        <d v="2025-02-03T00:00:00" u="1"/>
        <d v="2025-02-13T00:00:00" u="1"/>
        <d v="2025-02-14T00:00:00" u="1"/>
        <d v="2025-02-20T00:00:00" u="1"/>
        <d v="2025-02-19T00:00:00" u="1"/>
        <d v="2025-02-18T00:00:00" u="1"/>
        <d v="2025-02-17T00:00:00" u="1"/>
        <d v="2025-01-30T00:00:00" u="1"/>
        <d v="2025-02-07T00:00:00" u="1"/>
        <d v="2025-02-11T00:00:00" u="1"/>
        <d v="2025-02-12T00:00:00" u="1"/>
        <d v="2025-02-10T00:00:00" u="1"/>
        <d v="2025-01-24T00:00:00" u="1"/>
        <d v="2025-02-06T00:00:00" u="1"/>
        <d v="2025-02-04T00:00:00" u="1"/>
        <d v="2025-02-05T00:00:00" u="1"/>
        <d v="2025-02-02T00:00:00" u="1"/>
        <d v="2025-01-31T00:00:00" u="1"/>
        <d v="2025-01-14T00:00:00" u="1"/>
        <d v="2025-01-15T00:00:00" u="1"/>
        <d v="2025-01-17T00:00:00" u="1"/>
        <d v="2025-01-20T00:00:00" u="1"/>
        <d v="2025-01-28T00:00:00" u="1"/>
        <d v="2025-01-08T00:00:00" u="1"/>
        <d v="2025-01-22T00:00:00" u="1"/>
        <d v="2025-01-21T00:00:00" u="1"/>
        <d v="2025-01-23T00:00:00" u="1"/>
        <d v="2025-01-02T00:00:00" u="1"/>
        <d v="2025-01-03T00:00:00" u="1"/>
        <d v="2025-01-06T00:00:00" u="1"/>
        <d v="2025-01-07T00:00:00" u="1"/>
        <d v="2025-01-09T00:00:00" u="1"/>
        <d v="2025-01-10T00:00:00" u="1"/>
        <d v="2024-12-26T00:00:00" u="1"/>
        <d v="2024-12-20T00:00:00" u="1"/>
        <d v="2024-12-21T00:00:00" u="1"/>
        <d v="2024-12-23T00:00:00" u="1"/>
        <d v="2024-12-19T00:00:00" u="1"/>
        <d v="2024-12-18T00:00:00" u="1"/>
        <d v="2024-12-17T00:00:00" u="1"/>
        <d v="2024-12-16T00:00:00" u="1"/>
        <d v="2024-12-12T00:00:00" u="1"/>
        <d v="2024-12-11T00:00:00" u="1"/>
        <d v="2024-12-10T00:00:00" u="1"/>
        <d v="2024-12-05T00:00:00" u="1"/>
        <d v="2024-12-06T00:00:00" u="1"/>
        <d v="2024-11-26T00:00:00" u="1"/>
        <d v="2024-12-03T00:00:00" u="1"/>
        <d v="2024-12-04T00:00:00" u="1"/>
        <d v="2024-11-29T00:00:00" u="1"/>
        <d v="2024-12-02T00:00:00" u="1"/>
        <d v="2024-11-27T00:00:00" u="1"/>
        <d v="2024-11-28T00:00:00" u="1"/>
        <d v="2024-11-25T00:00:00" u="1"/>
        <d v="2024-11-20T00:00:00" u="1"/>
        <d v="2024-11-21T00:00:00" u="1"/>
        <d v="2024-11-22T00:00:00" u="1"/>
        <d v="2024-11-19T00:00:00" u="1"/>
        <d v="2024-11-18T00:00:00" u="1"/>
        <d v="2024-11-13T00:00:00" u="1"/>
        <d v="2024-11-14T00:00:00" u="1"/>
        <d v="2024-11-11T00:00:00" u="1"/>
        <d v="2024-11-12T00:00:00" u="1"/>
        <d v="2024-11-08T00:00:00" u="1"/>
        <d v="2024-11-07T00:00:00" u="1"/>
        <d v="2024-11-06T00:00:00" u="1"/>
        <d v="2024-11-05T00:00:00" u="1"/>
        <d v="2024-11-04T00:00:00" u="1"/>
        <d v="2024-11-01T00:00:00" u="1"/>
        <d v="2024-10-31T00:00:00" u="1"/>
        <d v="2024-10-30T00:00:00" u="1"/>
        <d v="2024-10-28T00:00:00" u="1"/>
        <d v="2024-10-29T00:00:00" u="1"/>
        <d v="2024-10-25T00:00:00" u="1"/>
        <d v="2024-10-24T00:00:00" u="1"/>
        <d v="2024-10-21T00:00:00" u="1"/>
        <d v="2024-10-22T00:00:00" u="1"/>
        <d v="2024-10-23T00:00:00" u="1"/>
        <d v="2024-10-15T00:00:00" u="1"/>
        <d v="2024-10-14T00:00:00" u="1"/>
        <d v="2024-10-11T00:00:00" u="1"/>
        <d v="2024-10-10T00:00:00" u="1"/>
        <d v="2024-10-08T00:00:00" u="1"/>
        <d v="2024-10-01T00:00:00" u="1"/>
        <d v="2024-10-07T00:00:00" u="1"/>
        <d v="2024-10-09T00:00:00" u="1"/>
        <d v="2024-10-04T00:00:00" u="1"/>
        <d v="2024-10-02T00:00:00" u="1"/>
        <d v="2024-10-03T00:00:00" u="1"/>
        <d v="2024-09-20T00:00:00" u="1"/>
        <d v="2024-09-30T00:00:00" u="1"/>
        <d v="2024-09-27T00:00:00" u="1"/>
        <d v="2024-09-26T00:00:00" u="1"/>
        <d v="2024-09-23T00:00:00" u="1"/>
        <d v="2024-09-24T00:00:00" u="1"/>
        <d v="2024-09-25T00:00:00" u="1"/>
        <d v="2024-09-13T00:00:00" u="1"/>
        <d v="2024-09-18T00:00:00" u="1"/>
        <d v="2024-09-04T00:00:00" u="1"/>
        <d v="2024-09-16T00:00:00" u="1"/>
        <d v="2024-09-17T00:00:00" u="1"/>
        <d v="2024-09-10T00:00:00" u="1"/>
        <d v="2024-09-12T00:00:00" u="1"/>
        <d v="2024-09-11T00:00:00" u="1"/>
        <d v="2024-09-09T00:00:00" u="1"/>
        <d v="2024-09-03T00:00:00" u="1"/>
        <d v="2024-09-05T00:00:00" u="1"/>
        <d v="2024-08-27T00:00:00" u="1"/>
        <d v="2024-09-02T00:00:00" u="1"/>
        <d v="2024-08-23T00:00:00" u="1"/>
        <d v="2024-08-30T00:00:00" u="1"/>
        <d v="2024-08-29T00:00:00" u="1"/>
        <d v="2024-08-26T00:00:00" u="1"/>
        <d v="2024-08-21T00:00:00" u="1"/>
        <d v="2024-08-22T00:00:00" u="1"/>
        <d v="2024-08-19T00:00:00" u="1"/>
        <d v="2024-08-20T00:00:00" u="1"/>
        <d v="2024-08-12T00:00:00" u="1"/>
        <d v="2024-08-02T00:00:00" u="1"/>
        <d v="2024-08-08T00:00:00" u="1"/>
        <d v="2024-08-09T00:00:00" u="1"/>
        <d v="2024-08-07T00:00:00" u="1"/>
        <d v="2024-08-05T00:00:00" u="1"/>
        <d v="2024-07-29T00:00:00" u="1"/>
        <d v="2024-07-31T00:00:00" u="1"/>
        <d v="2024-07-30T00:00:00" u="1"/>
        <d v="2024-08-01T00:00:00" u="1"/>
      </sharedItems>
    </cacheField>
    <cacheField name="DateMapped" numFmtId="165">
      <sharedItems containsNonDate="0" containsString="0" containsBlank="1"/>
    </cacheField>
    <cacheField name="DateClosed" numFmtId="165">
      <sharedItems containsNonDate="0" containsString="0" containsBlank="1"/>
    </cacheField>
    <cacheField name="Delayed?" numFmtId="0">
      <sharedItems/>
    </cacheField>
    <cacheField name="DaysAgeing" numFmtId="0">
      <sharedItems containsSemiMixedTypes="0" containsString="0" containsNumber="1" containsInteger="1" minValue="2" maxValue="11"/>
    </cacheField>
    <cacheField name="Author" numFmtId="0">
      <sharedItems/>
    </cacheField>
    <cacheField name="TM1" numFmtId="0">
      <sharedItems/>
    </cacheField>
    <cacheField name="RESOLVED?" numFmtId="0">
      <sharedItems containsBlank="1" count="10">
        <s v="Not for mapping/Invalid"/>
        <s v="Waiting for Tm1 Replication"/>
        <s v="Waiting for MDGF approval"/>
        <s v="New"/>
        <s v="Duplicated Parent"/>
        <s v="MAPPED" u="1"/>
        <s v="Waiting for Requestor" u="1"/>
        <m u="1"/>
        <s v="Cancelled" u="1"/>
        <e v="#VALUE!"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x v="0"/>
    <n v="1"/>
    <n v="0"/>
    <n v="0"/>
    <n v="0"/>
    <n v="0"/>
    <n v="1"/>
    <n v="0"/>
    <x v="0"/>
    <n v="0"/>
    <x v="0"/>
  </r>
  <r>
    <x v="1"/>
    <n v="0"/>
    <n v="2"/>
    <n v="0"/>
    <n v="0"/>
    <n v="0"/>
    <n v="0"/>
    <n v="0"/>
    <x v="0"/>
    <n v="0"/>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2">
  <r>
    <x v="0"/>
    <s v="open"/>
    <x v="0"/>
    <s v="PEMERAL_6403H2018040201__1001 SI_Project Chronos/H.20180402.01.1001"/>
    <s v="H201804020"/>
    <m/>
    <s v="Non-LFF"/>
    <s v=""/>
    <s v="PCB doesn't recognize the object."/>
    <s v="HC"/>
    <m/>
    <x v="0"/>
    <m/>
    <m/>
    <s v="yep"/>
    <n v="11"/>
    <s v="Erjo Miguel Tagle"/>
    <s v="RECALC_0_341_"/>
    <x v="0"/>
  </r>
  <r>
    <x v="0"/>
    <s v="open"/>
    <x v="1"/>
    <s v="ITEMPNA_001040000036"/>
    <s v="H000000974"/>
    <m/>
    <s v="Non-LFF"/>
    <s v=""/>
    <m/>
    <s v="HC"/>
    <m/>
    <x v="0"/>
    <m/>
    <m/>
    <s v="yep"/>
    <n v="11"/>
    <s v="Erjo Miguel Tagle"/>
    <s v="RECALC_0_309_"/>
    <x v="1"/>
  </r>
  <r>
    <x v="1"/>
    <s v="open"/>
    <x v="2"/>
    <s v="CLFF_7210$$$2123OF0033 "/>
    <s v="G000001325"/>
    <s v="G000001290"/>
    <s v="LFF (MDG-F)"/>
    <s v="2123OF0033"/>
    <s v="Changes were saved for change request 25497069"/>
    <s v="MGF"/>
    <m/>
    <x v="1"/>
    <m/>
    <m/>
    <s v="yep"/>
    <n v="9"/>
    <s v="Jojeff Tagnong"/>
    <s v="RECALC_0_279_"/>
    <x v="2"/>
  </r>
  <r>
    <x v="1"/>
    <s v="open"/>
    <x v="2"/>
    <s v="CLFF_1000$$$CH75GM8300 "/>
    <s v="G000000218"/>
    <s v="G000000630"/>
    <s v="LFF (MDG-F)"/>
    <s v="CH75GM8300"/>
    <s v="Changes were saved for change request 25497069"/>
    <s v="MGF"/>
    <m/>
    <x v="1"/>
    <m/>
    <m/>
    <s v="yep"/>
    <n v="9"/>
    <s v="Jojeff Tagnong"/>
    <s v="RECALC_0_281_"/>
    <x v="2"/>
  </r>
  <r>
    <x v="2"/>
    <s v="open"/>
    <x v="2"/>
    <s v="CLFF_1000$$$DE65GIT032"/>
    <s v="G000000256"/>
    <s v="DFLTPGCOH_BF-C2_001242"/>
    <s v="LFF (MDG-F)"/>
    <s v="DE65GIT032"/>
    <s v="Changes were saved for change request 25518301"/>
    <s v="MGF"/>
    <m/>
    <x v="2"/>
    <m/>
    <m/>
    <s v="on track"/>
    <n v="4"/>
    <s v="Jay-R Lizardo"/>
    <s v="RECALC_0_231_"/>
    <x v="2"/>
  </r>
  <r>
    <x v="3"/>
    <s v="open"/>
    <x v="1"/>
    <s v="CFLTFLE_22450000002707 EXL - Mfg Admin"/>
    <s v="L000013786 "/>
    <s v="L000013153"/>
    <s v="Non-LFF"/>
    <s v=""/>
    <m/>
    <s v="LS"/>
    <m/>
    <x v="3"/>
    <m/>
    <m/>
    <s v="on track"/>
    <n v="2"/>
    <s v="Ruby Grace Garcia"/>
    <s v="RECALC_0_173_"/>
    <x v="1"/>
  </r>
  <r>
    <x v="4"/>
    <s v="open"/>
    <x v="1"/>
    <s v="CEMERAL_70007001586020 REG Glob Dist Sust &amp; Enhance"/>
    <s v="L000013796"/>
    <s v="L000009969 "/>
    <s v="Non-LFF"/>
    <s v=""/>
    <m/>
    <s v="LS"/>
    <m/>
    <x v="3"/>
    <m/>
    <m/>
    <s v="on track"/>
    <n v="2"/>
    <s v="Ruby Grace Garcia"/>
    <s v="RECALC_0_340_"/>
    <x v="1"/>
  </r>
  <r>
    <x v="5"/>
    <s v="open"/>
    <x v="2"/>
    <s v="CLFF_1000$$$DE20122000"/>
    <s v="G000000400"/>
    <s v="G000000502"/>
    <s v="LFF (MDG-F)"/>
    <s v="DE20122000"/>
    <s v="Changes were saved for change request 25524013"/>
    <s v="MGF"/>
    <m/>
    <x v="3"/>
    <m/>
    <m/>
    <s v="on track"/>
    <n v="2"/>
    <s v="Manuel Walther"/>
    <s v="RECALC_0_308_"/>
    <x v="2"/>
  </r>
  <r>
    <x v="5"/>
    <s v="open"/>
    <x v="2"/>
    <s v="CLFF_1000$$$DE20123000"/>
    <s v="G000000400"/>
    <s v="G000000850"/>
    <s v="LFF (MDG-F)"/>
    <s v="DE20123000"/>
    <s v="Changes were saved for change request 25524013"/>
    <s v="MGF"/>
    <m/>
    <x v="3"/>
    <m/>
    <m/>
    <s v="on track"/>
    <n v="2"/>
    <s v="Manuel Walther"/>
    <s v="RECALC_0_122_"/>
    <x v="2"/>
  </r>
  <r>
    <x v="5"/>
    <s v="open"/>
    <x v="2"/>
    <s v="CLFF_1000$$$DE10515800"/>
    <s v="G000000998"/>
    <s v="G000001068"/>
    <s v="LFF (MDG-F)"/>
    <s v="DE10515800"/>
    <s v="Changes were saved for change request 25524013"/>
    <s v="MGF"/>
    <m/>
    <x v="3"/>
    <m/>
    <m/>
    <s v="on track"/>
    <n v="2"/>
    <s v="Manuel Walther"/>
    <s v="RECALC_0_280_"/>
    <x v="2"/>
  </r>
  <r>
    <x v="5"/>
    <s v="open"/>
    <x v="2"/>
    <s v="CLFF_1000$$$DE10538021"/>
    <s v="G000000998"/>
    <s v="G000001068"/>
    <s v="LFF (MDG-F)"/>
    <s v="DE10538021"/>
    <s v="Changes were saved for change request 25524013"/>
    <s v="MGF"/>
    <m/>
    <x v="3"/>
    <m/>
    <m/>
    <s v="on track"/>
    <n v="2"/>
    <s v="Manuel Walther"/>
    <s v="RECALC_0_89_"/>
    <x v="2"/>
  </r>
  <r>
    <x v="5"/>
    <s v="open"/>
    <x v="2"/>
    <s v="CLFF_1000$$$DE10566000"/>
    <s v="G000000998"/>
    <s v="G000001068"/>
    <s v="LFF (MDG-F)"/>
    <s v="DE10566000"/>
    <s v="Changes were saved for change request 25524013"/>
    <s v="MGF"/>
    <m/>
    <x v="3"/>
    <m/>
    <m/>
    <s v="on track"/>
    <n v="2"/>
    <s v="Manuel Walther"/>
    <s v="RECALC_0_33_"/>
    <x v="2"/>
  </r>
  <r>
    <x v="5"/>
    <s v="open"/>
    <x v="2"/>
    <s v="CLFF_1000$$$DE10537833"/>
    <s v="G000000997"/>
    <s v="G000001032"/>
    <s v="LFF (MDG-F)"/>
    <s v="DE10537833"/>
    <s v="Changes were saved for change request 25524013"/>
    <s v="MGF"/>
    <m/>
    <x v="3"/>
    <m/>
    <m/>
    <s v="on track"/>
    <n v="2"/>
    <s v="Manuel Walther"/>
    <s v="RECALC_0_339_"/>
    <x v="2"/>
  </r>
  <r>
    <x v="5"/>
    <s v="open"/>
    <x v="2"/>
    <s v="CLFF_1000$$$DE10538012"/>
    <s v="G000000997"/>
    <s v="G000001032"/>
    <s v="LFF (MDG-F)"/>
    <s v="DE10538012"/>
    <s v="Changes were saved for change request 25524013"/>
    <s v="MGF"/>
    <m/>
    <x v="3"/>
    <m/>
    <m/>
    <s v="on track"/>
    <n v="2"/>
    <s v="Manuel Walther"/>
    <s v="RECALC_0_307_"/>
    <x v="2"/>
  </r>
  <r>
    <x v="5"/>
    <s v="open"/>
    <x v="2"/>
    <s v="CLFF_1000$$$DE10538014"/>
    <s v="G000000997"/>
    <s v="G000001032"/>
    <s v="LFF (MDG-F)"/>
    <s v="DE10538014"/>
    <s v="Changes were saved for change request 25524013"/>
    <s v="MGF"/>
    <m/>
    <x v="3"/>
    <m/>
    <m/>
    <s v="on track"/>
    <n v="2"/>
    <s v="Manuel Walther"/>
    <s v="RECALC_0_278_"/>
    <x v="2"/>
  </r>
  <r>
    <x v="5"/>
    <s v="open"/>
    <x v="2"/>
    <s v="CLFF_1000$$$DE10538015"/>
    <s v="G000000997"/>
    <s v="G000001032"/>
    <s v="LFF (MDG-F)"/>
    <s v="DE10538015"/>
    <s v="Changes were saved for change request 25524013"/>
    <s v="MGF"/>
    <m/>
    <x v="3"/>
    <m/>
    <m/>
    <s v="on track"/>
    <n v="2"/>
    <s v="Manuel Walther"/>
    <s v="RECALC_0_251_"/>
    <x v="2"/>
  </r>
  <r>
    <x v="5"/>
    <s v="open"/>
    <x v="2"/>
    <s v="CLFF_1000$$$DE10538017"/>
    <s v="G000000997"/>
    <s v="G000001032"/>
    <s v="LFF (MDG-F)"/>
    <s v="DE10538017"/>
    <s v="Changes were saved for change request 25524013"/>
    <s v="MGF"/>
    <m/>
    <x v="3"/>
    <m/>
    <m/>
    <s v="on track"/>
    <n v="2"/>
    <s v="Manuel Walther"/>
    <s v="RECALC_0_200_"/>
    <x v="2"/>
  </r>
  <r>
    <x v="5"/>
    <s v="open"/>
    <x v="2"/>
    <s v="CLFF_1000$$$DE10538018"/>
    <s v="G000000997"/>
    <s v="G000001032"/>
    <s v="LFF (MDG-F)"/>
    <s v="DE10538018"/>
    <s v="Changes were saved for change request 25524013"/>
    <s v="MGF"/>
    <m/>
    <x v="3"/>
    <m/>
    <m/>
    <s v="on track"/>
    <n v="2"/>
    <s v="Manuel Walther"/>
    <s v="RECALC_0_141_"/>
    <x v="2"/>
  </r>
  <r>
    <x v="5"/>
    <s v="open"/>
    <x v="2"/>
    <s v="CLFF_1000$$$DE10538132"/>
    <s v="G000000997"/>
    <s v="G000001032"/>
    <s v="LFF (MDG-F)"/>
    <s v="DE10538132"/>
    <s v="Changes were saved for change request 25524013"/>
    <s v="MGF"/>
    <m/>
    <x v="3"/>
    <m/>
    <m/>
    <s v="on track"/>
    <n v="2"/>
    <s v="Manuel Walther"/>
    <s v="RECALC_0_338_"/>
    <x v="2"/>
  </r>
  <r>
    <x v="5"/>
    <s v="open"/>
    <x v="2"/>
    <s v="CLFF_1000$$$DE10538101"/>
    <s v="G000000996"/>
    <s v="G000001071"/>
    <s v="LFF (MDG-F)"/>
    <s v="DE10538101"/>
    <s v="Changes were saved for change request 25524013"/>
    <s v="MGF"/>
    <m/>
    <x v="3"/>
    <m/>
    <m/>
    <s v="on track"/>
    <n v="2"/>
    <s v="Manuel Walther"/>
    <s v="RECALC_0_306_"/>
    <x v="2"/>
  </r>
  <r>
    <x v="5"/>
    <s v="open"/>
    <x v="2"/>
    <s v="CLFF_1000$$$DE10538102"/>
    <s v="G000000996"/>
    <s v="G000001073"/>
    <s v="LFF (MDG-F)"/>
    <s v="DE10538102"/>
    <s v="Changes were saved for change request 25524013"/>
    <s v="MGF"/>
    <m/>
    <x v="3"/>
    <m/>
    <m/>
    <s v="on track"/>
    <n v="2"/>
    <s v="Manuel Walther"/>
    <s v="RECALC_0_116_"/>
    <x v="2"/>
  </r>
  <r>
    <x v="5"/>
    <s v="open"/>
    <x v="2"/>
    <s v="CLFF_1000$$$DE10538104"/>
    <s v="G000000996"/>
    <s v="G000001071"/>
    <s v="LFF (MDG-F)"/>
    <s v="DE10538104"/>
    <s v="Changes were saved for change request 25524013"/>
    <s v="MGF"/>
    <m/>
    <x v="3"/>
    <m/>
    <m/>
    <s v="on track"/>
    <n v="2"/>
    <s v="Manuel Walther"/>
    <s v="RECALC_0_88_"/>
    <x v="2"/>
  </r>
  <r>
    <x v="5"/>
    <s v="open"/>
    <x v="2"/>
    <s v="CLFF_1000$$$DE10538109"/>
    <s v="G000000880"/>
    <s v="G000001054"/>
    <s v="LFF (MDG-F)"/>
    <s v="DE10538109"/>
    <s v="Changes were saved for change request 25524013"/>
    <s v="MGF"/>
    <m/>
    <x v="3"/>
    <m/>
    <m/>
    <s v="on track"/>
    <n v="2"/>
    <s v="Manuel Walther"/>
    <s v="RECALC_0_32_"/>
    <x v="2"/>
  </r>
  <r>
    <x v="5"/>
    <s v="open"/>
    <x v="2"/>
    <s v="CLFF_1000$$$DE10538116"/>
    <s v="G000000996"/>
    <s v="G000001071"/>
    <s v="LFF (MDG-F)"/>
    <s v="DE10538116"/>
    <s v="Changes were saved for change request 25524013"/>
    <s v="MGF"/>
    <m/>
    <x v="3"/>
    <m/>
    <m/>
    <s v="on track"/>
    <n v="2"/>
    <s v="Manuel Walther"/>
    <s v="RECALC_0_277_"/>
    <x v="2"/>
  </r>
  <r>
    <x v="5"/>
    <s v="open"/>
    <x v="2"/>
    <s v="CLFF_1000$$$DE10538123"/>
    <s v="G000000880"/>
    <s v="G000001053"/>
    <s v="LFF (MDG-F)"/>
    <s v="DE10538123"/>
    <s v="Changes were saved for change request 25524013"/>
    <s v="MGF"/>
    <m/>
    <x v="3"/>
    <m/>
    <m/>
    <s v="on track"/>
    <n v="2"/>
    <s v="Manuel Walther"/>
    <s v="RECALC_0_337_"/>
    <x v="2"/>
  </r>
  <r>
    <x v="5"/>
    <s v="open"/>
    <x v="2"/>
    <s v="CLFF_1000$$$DE10538128"/>
    <s v="G000000915"/>
    <s v="G000001071"/>
    <s v="LFF (MDG-F)"/>
    <s v="DE10538128"/>
    <s v="Changes were saved for change request 25524013"/>
    <s v="MGF"/>
    <m/>
    <x v="3"/>
    <m/>
    <m/>
    <s v="on track"/>
    <n v="2"/>
    <s v="Manuel Walther"/>
    <s v="RECALC_0_305_"/>
    <x v="2"/>
  </r>
  <r>
    <x v="5"/>
    <s v="open"/>
    <x v="2"/>
    <s v="CLFF_1000$$$DE10538146"/>
    <s v="G000000880"/>
    <s v="G000001053"/>
    <s v="LFF (MDG-F)"/>
    <s v="DE10538146"/>
    <s v="Changes were saved for change request 25524013"/>
    <s v="MGF"/>
    <m/>
    <x v="3"/>
    <m/>
    <m/>
    <s v="on track"/>
    <n v="2"/>
    <s v="Manuel Walther"/>
    <s v="RECALC_0_230_"/>
    <x v="2"/>
  </r>
  <r>
    <x v="5"/>
    <s v="open"/>
    <x v="2"/>
    <s v="CLFF_1000$$$DE10538150"/>
    <s v="G000000880"/>
    <s v="G000001053"/>
    <s v="LFF (MDG-F)"/>
    <s v="DE10538150"/>
    <s v="Changes were saved for change request 25524013"/>
    <s v="MGF"/>
    <m/>
    <x v="3"/>
    <m/>
    <m/>
    <s v="on track"/>
    <n v="2"/>
    <s v="Manuel Walther"/>
    <s v="RECALC_0_199_"/>
    <x v="2"/>
  </r>
  <r>
    <x v="5"/>
    <s v="open"/>
    <x v="2"/>
    <s v="CLFF_1000$$$DE10538152"/>
    <s v="G000000996"/>
    <s v="G000001073"/>
    <s v="LFF (MDG-F)"/>
    <s v="DE10538152"/>
    <s v="Changes were saved for change request 25524013"/>
    <s v="MGF"/>
    <m/>
    <x v="3"/>
    <m/>
    <m/>
    <s v="on track"/>
    <n v="2"/>
    <s v="Manuel Walther"/>
    <s v="RECALC_0_140_"/>
    <x v="2"/>
  </r>
  <r>
    <x v="5"/>
    <s v="open"/>
    <x v="2"/>
    <s v="CLFF_1000$$$DE10538157"/>
    <s v="G000000996"/>
    <s v="G000001072"/>
    <s v="LFF (MDG-F)"/>
    <s v="DE10538157"/>
    <s v="Changes were saved for change request 25524013"/>
    <s v="MGF"/>
    <m/>
    <x v="3"/>
    <m/>
    <m/>
    <s v="on track"/>
    <n v="2"/>
    <s v="Manuel Walther"/>
    <s v="RECALC_0_115_"/>
    <x v="2"/>
  </r>
  <r>
    <x v="5"/>
    <s v="open"/>
    <x v="2"/>
    <s v="CLFF_1000$$$DE10538158"/>
    <s v="G000000996"/>
    <s v="G000001073"/>
    <s v="LFF (MDG-F)"/>
    <s v="DE10538158"/>
    <s v="Changes were saved for change request 25524013"/>
    <s v="MGF"/>
    <m/>
    <x v="3"/>
    <m/>
    <m/>
    <s v="on track"/>
    <n v="2"/>
    <s v="Manuel Walther"/>
    <s v="RECALC_0_336_"/>
    <x v="2"/>
  </r>
  <r>
    <x v="5"/>
    <s v="open"/>
    <x v="2"/>
    <s v="CLFF_1000$$$DE10538159"/>
    <s v="G000000996"/>
    <s v="G000001073"/>
    <s v="LFF (MDG-F)"/>
    <s v="DE10538159"/>
    <s v="Changes were saved for change request 25524013"/>
    <s v="MGF"/>
    <m/>
    <x v="3"/>
    <m/>
    <m/>
    <s v="on track"/>
    <n v="2"/>
    <s v="Manuel Walther"/>
    <s v="RECALC_0_304_"/>
    <x v="2"/>
  </r>
  <r>
    <x v="5"/>
    <s v="open"/>
    <x v="2"/>
    <s v="CLFF_1000$$$DE10538179"/>
    <s v="G000000996"/>
    <s v="G000001073"/>
    <s v="LFF (MDG-F)"/>
    <s v="DE10538179"/>
    <s v="Changes were saved for change request 25524013"/>
    <s v="MGF"/>
    <m/>
    <x v="3"/>
    <m/>
    <m/>
    <s v="on track"/>
    <n v="2"/>
    <s v="Manuel Walther"/>
    <s v="RECALC_0_57_"/>
    <x v="2"/>
  </r>
  <r>
    <x v="5"/>
    <s v="open"/>
    <x v="2"/>
    <s v="CLFF_1000$$$DE10538180"/>
    <s v="G000000915"/>
    <s v="G000001073"/>
    <s v="LFF (MDG-F)"/>
    <s v="DE10538180"/>
    <s v="Changes were saved for change request 25524013"/>
    <s v="MGF"/>
    <m/>
    <x v="3"/>
    <m/>
    <m/>
    <s v="on track"/>
    <n v="2"/>
    <s v="Manuel Walther"/>
    <s v="RECALC_0_31_"/>
    <x v="2"/>
  </r>
  <r>
    <x v="5"/>
    <s v="open"/>
    <x v="2"/>
    <s v="CLFF_1000$$$DE10538181"/>
    <s v="G000000996"/>
    <s v="G000001073"/>
    <s v="LFF (MDG-F)"/>
    <s v="DE10538181"/>
    <s v="Changes were saved for change request 25524013"/>
    <s v="MGF"/>
    <m/>
    <x v="3"/>
    <m/>
    <m/>
    <s v="on track"/>
    <n v="2"/>
    <s v="Manuel Walther"/>
    <s v="RECALC_0_276_"/>
    <x v="2"/>
  </r>
  <r>
    <x v="5"/>
    <s v="open"/>
    <x v="2"/>
    <s v="CLFF_1000$$$DE10538182"/>
    <s v="G000000996"/>
    <s v="G000001071"/>
    <s v="LFF (MDG-F)"/>
    <s v="DE10538182"/>
    <s v="Changes were saved for change request 25524013"/>
    <s v="MGF"/>
    <m/>
    <x v="3"/>
    <m/>
    <m/>
    <s v="on track"/>
    <n v="2"/>
    <s v="Manuel Walther"/>
    <s v="RECALC_0_229_"/>
    <x v="2"/>
  </r>
  <r>
    <x v="5"/>
    <s v="open"/>
    <x v="2"/>
    <s v="CLFF_1000$$$DE10538183"/>
    <s v="G000000996"/>
    <s v="G000001071"/>
    <s v="LFF (MDG-F)"/>
    <s v="DE10538183"/>
    <s v="Changes were saved for change request 25524013"/>
    <s v="MGF"/>
    <m/>
    <x v="3"/>
    <m/>
    <m/>
    <s v="on track"/>
    <n v="2"/>
    <s v="Manuel Walther"/>
    <s v="RECALC_0_335_"/>
    <x v="2"/>
  </r>
  <r>
    <x v="5"/>
    <s v="open"/>
    <x v="2"/>
    <s v="CLFF_1000$$$DE10538187"/>
    <s v="G000000915"/>
    <s v="G000001071"/>
    <s v="LFF (MDG-F)"/>
    <s v="DE10538187"/>
    <s v="Changes were saved for change request 25524013"/>
    <s v="MGF"/>
    <m/>
    <x v="3"/>
    <m/>
    <m/>
    <s v="on track"/>
    <n v="2"/>
    <s v="Manuel Walther"/>
    <s v="RECALC_0_303_"/>
    <x v="2"/>
  </r>
  <r>
    <x v="5"/>
    <s v="open"/>
    <x v="2"/>
    <s v="CLFF_1000$$$DE10538188"/>
    <s v="G000000996"/>
    <s v="G000001071"/>
    <s v="LFF (MDG-F)"/>
    <s v="DE10538188"/>
    <s v="Changes were saved for change request 25524013"/>
    <s v="MGF"/>
    <m/>
    <x v="3"/>
    <m/>
    <m/>
    <s v="on track"/>
    <n v="2"/>
    <s v="Manuel Walther"/>
    <s v="RECALC_0_172_"/>
    <x v="2"/>
  </r>
  <r>
    <x v="5"/>
    <s v="open"/>
    <x v="2"/>
    <s v="CLFF_1000$$$DE10538189"/>
    <s v="G000000996"/>
    <s v="G000001071"/>
    <s v="LFF (MDG-F)"/>
    <s v="DE10538189"/>
    <s v="Changes were saved for change request 25524013"/>
    <s v="MGF"/>
    <m/>
    <x v="3"/>
    <m/>
    <m/>
    <s v="on track"/>
    <n v="2"/>
    <s v="Manuel Walther"/>
    <s v="RECALC_0_139_"/>
    <x v="2"/>
  </r>
  <r>
    <x v="5"/>
    <s v="open"/>
    <x v="2"/>
    <s v="CLFF_1000$$$DE10538196"/>
    <s v="G000000996"/>
    <s v="G000001073"/>
    <s v="LFF (MDG-F)"/>
    <s v="DE10538196"/>
    <s v="Changes were saved for change request 25524013"/>
    <s v="MGF"/>
    <m/>
    <x v="3"/>
    <m/>
    <m/>
    <s v="on track"/>
    <n v="2"/>
    <s v="Manuel Walther"/>
    <s v="RECALC_0_114_"/>
    <x v="2"/>
  </r>
  <r>
    <x v="5"/>
    <s v="open"/>
    <x v="2"/>
    <s v="CLFF_1000$$$DE10538236"/>
    <s v="G000000880"/>
    <s v="G000001053"/>
    <s v="LFF (MDG-F)"/>
    <s v="DE10538236"/>
    <s v="Changes were saved for change request 25524013"/>
    <s v="MGF"/>
    <m/>
    <x v="3"/>
    <m/>
    <m/>
    <s v="on track"/>
    <n v="2"/>
    <s v="Manuel Walther"/>
    <s v="RECALC_0_56_"/>
    <x v="2"/>
  </r>
  <r>
    <x v="5"/>
    <s v="open"/>
    <x v="2"/>
    <s v="CLFF_1000$$$DE10538470"/>
    <s v="G000000996"/>
    <s v="G000001071"/>
    <s v="LFF (MDG-F)"/>
    <s v="DE10538470"/>
    <s v="Changes were saved for change request 25524013"/>
    <s v="MGF"/>
    <m/>
    <x v="3"/>
    <m/>
    <m/>
    <s v="on track"/>
    <n v="2"/>
    <s v="Manuel Walther"/>
    <s v="RECALC_0_334_"/>
    <x v="2"/>
  </r>
  <r>
    <x v="5"/>
    <s v="open"/>
    <x v="2"/>
    <s v="CLFF_1000$$$DE10538472"/>
    <s v="G000000915"/>
    <s v="G000001071"/>
    <s v="LFF (MDG-F)"/>
    <s v="DE10538472"/>
    <s v="Changes were saved for change request 25524013"/>
    <s v="MGF"/>
    <m/>
    <x v="3"/>
    <m/>
    <m/>
    <s v="on track"/>
    <n v="2"/>
    <s v="Manuel Walther"/>
    <s v="RECALC_0_302_"/>
    <x v="2"/>
  </r>
  <r>
    <x v="5"/>
    <s v="open"/>
    <x v="2"/>
    <s v="CLFF_1000$$$DE10538473"/>
    <s v="G000000915"/>
    <s v="G000001071"/>
    <s v="LFF (MDG-F)"/>
    <s v="DE10538473"/>
    <s v="Changes were saved for change request 25524013"/>
    <s v="MGF"/>
    <m/>
    <x v="3"/>
    <m/>
    <m/>
    <s v="on track"/>
    <n v="2"/>
    <s v="Manuel Walther"/>
    <s v="RECALC_0_10_"/>
    <x v="2"/>
  </r>
  <r>
    <x v="5"/>
    <s v="open"/>
    <x v="2"/>
    <s v="CLFF_1000$$$DE10538762"/>
    <s v="G000000996"/>
    <s v="G000001073"/>
    <s v="LFF (MDG-F)"/>
    <s v="DE10538762"/>
    <s v="Changes were saved for change request 25524013"/>
    <s v="MGF"/>
    <m/>
    <x v="3"/>
    <m/>
    <m/>
    <s v="on track"/>
    <n v="2"/>
    <s v="Manuel Walther"/>
    <s v="RECALC_0_275_"/>
    <x v="2"/>
  </r>
  <r>
    <x v="5"/>
    <s v="open"/>
    <x v="2"/>
    <s v="CLFF_1000$$$DE10538961"/>
    <s v="G000000996"/>
    <s v="G000001071"/>
    <s v="LFF (MDG-F)"/>
    <s v="DE10538961"/>
    <s v="Changes were saved for change request 25524013"/>
    <s v="MGF"/>
    <m/>
    <x v="3"/>
    <m/>
    <m/>
    <s v="on track"/>
    <n v="2"/>
    <s v="Manuel Walther"/>
    <s v="RECALC_0_228_"/>
    <x v="2"/>
  </r>
  <r>
    <x v="5"/>
    <s v="open"/>
    <x v="2"/>
    <s v="CLFF_1000$$$DE10538962"/>
    <s v="G000000996"/>
    <s v="G000001071"/>
    <s v="LFF (MDG-F)"/>
    <s v="DE10538962"/>
    <s v="Changes were saved for change request 25524013"/>
    <s v="MGF"/>
    <m/>
    <x v="3"/>
    <m/>
    <m/>
    <s v="on track"/>
    <n v="2"/>
    <s v="Manuel Walther"/>
    <s v="RECALC_0_171_"/>
    <x v="2"/>
  </r>
  <r>
    <x v="5"/>
    <s v="open"/>
    <x v="2"/>
    <s v="CLFF_1000$$$DE10538963"/>
    <s v="G000000880"/>
    <s v="G000001053"/>
    <s v="LFF (MDG-F)"/>
    <s v="DE10538963"/>
    <s v="Changes were saved for change request 25524013"/>
    <s v="MGF"/>
    <m/>
    <x v="3"/>
    <m/>
    <m/>
    <s v="on track"/>
    <n v="2"/>
    <s v="Manuel Walther"/>
    <s v="RECALC_0_333_"/>
    <x v="2"/>
  </r>
  <r>
    <x v="5"/>
    <s v="open"/>
    <x v="2"/>
    <s v="CLFF_1000$$$DE10538964"/>
    <s v="G000000880"/>
    <s v="G000001053"/>
    <s v="LFF (MDG-F)"/>
    <s v="DE10538964"/>
    <s v="Changes were saved for change request 25524013"/>
    <s v="MGF"/>
    <m/>
    <x v="3"/>
    <m/>
    <m/>
    <s v="on track"/>
    <n v="2"/>
    <s v="Manuel Walther"/>
    <s v="RECALC_0_301_"/>
    <x v="2"/>
  </r>
  <r>
    <x v="5"/>
    <s v="open"/>
    <x v="2"/>
    <s v="CLFF_1000$$$DE10538965"/>
    <s v="G000000880"/>
    <s v="G000001053"/>
    <s v="LFF (MDG-F)"/>
    <s v="DE10538965"/>
    <s v="Changes were saved for change request 25524013"/>
    <s v="MGF"/>
    <m/>
    <x v="3"/>
    <m/>
    <m/>
    <s v="on track"/>
    <n v="2"/>
    <s v="Manuel Walther"/>
    <s v="RECALC_0_121_"/>
    <x v="2"/>
  </r>
  <r>
    <x v="5"/>
    <s v="open"/>
    <x v="2"/>
    <s v="CLFF_1000$$$DE10538966"/>
    <s v="G000000880"/>
    <s v="G000001053"/>
    <s v="LFF (MDG-F)"/>
    <s v="DE10538966"/>
    <s v="Changes were saved for change request 25524013"/>
    <s v="MGF"/>
    <m/>
    <x v="3"/>
    <m/>
    <m/>
    <s v="on track"/>
    <n v="2"/>
    <s v="Manuel Walther"/>
    <s v="RECALC_0_113_"/>
    <x v="2"/>
  </r>
  <r>
    <x v="5"/>
    <s v="open"/>
    <x v="2"/>
    <s v="CLFF_1000$$$DE10538967"/>
    <s v="G000000880"/>
    <s v="G000001053"/>
    <s v="LFF (MDG-F)"/>
    <s v="DE10538967"/>
    <s v="Changes were saved for change request 25524013"/>
    <s v="MGF"/>
    <m/>
    <x v="3"/>
    <m/>
    <m/>
    <s v="on track"/>
    <n v="2"/>
    <s v="Manuel Walther"/>
    <s v="RECALC_0_55_"/>
    <x v="2"/>
  </r>
  <r>
    <x v="5"/>
    <s v="open"/>
    <x v="2"/>
    <s v="CLFF_1000$$$DE10538968"/>
    <s v="G000000880"/>
    <s v="G000001053"/>
    <s v="LFF (MDG-F)"/>
    <s v="DE10538968"/>
    <s v="Changes were saved for change request 25524013"/>
    <s v="MGF"/>
    <m/>
    <x v="3"/>
    <m/>
    <m/>
    <s v="on track"/>
    <n v="2"/>
    <s v="Manuel Walther"/>
    <s v="RECALC_0_9_"/>
    <x v="2"/>
  </r>
  <r>
    <x v="5"/>
    <s v="open"/>
    <x v="2"/>
    <s v="CLFF_1000$$$DE10538969"/>
    <s v="G000000880"/>
    <s v="G000001053"/>
    <s v="LFF (MDG-F)"/>
    <s v="DE10538969"/>
    <s v="Changes were saved for change request 25524013"/>
    <s v="MGF"/>
    <m/>
    <x v="3"/>
    <m/>
    <m/>
    <s v="on track"/>
    <n v="2"/>
    <s v="Manuel Walther"/>
    <s v="RECALC_0_332_"/>
    <x v="2"/>
  </r>
  <r>
    <x v="5"/>
    <s v="open"/>
    <x v="2"/>
    <s v="CLFF_1000$$$DE10538970"/>
    <s v="G000000880"/>
    <s v="G000001053"/>
    <s v="LFF (MDG-F)"/>
    <s v="DE10538970"/>
    <s v="Changes were saved for change request 25524013"/>
    <s v="MGF"/>
    <m/>
    <x v="3"/>
    <m/>
    <m/>
    <s v="on track"/>
    <n v="2"/>
    <s v="Manuel Walther"/>
    <s v="RECALC_0_300_"/>
    <x v="2"/>
  </r>
  <r>
    <x v="5"/>
    <s v="open"/>
    <x v="2"/>
    <s v="CLFF_1000$$$DE10538971"/>
    <s v="G000000880"/>
    <s v="G000001053"/>
    <s v="LFF (MDG-F)"/>
    <s v="DE10538971"/>
    <s v="Changes were saved for change request 25524013"/>
    <s v="MGF"/>
    <m/>
    <x v="3"/>
    <m/>
    <m/>
    <s v="on track"/>
    <n v="2"/>
    <s v="Manuel Walther"/>
    <s v="RECALC_0_250_"/>
    <x v="2"/>
  </r>
  <r>
    <x v="5"/>
    <s v="open"/>
    <x v="2"/>
    <s v="CLFF_1000$$$DE10538972"/>
    <s v="G000000880"/>
    <s v="G000001053"/>
    <s v="LFF (MDG-F)"/>
    <s v="DE10538972"/>
    <s v="Changes were saved for change request 25524013"/>
    <s v="MGF"/>
    <m/>
    <x v="3"/>
    <m/>
    <m/>
    <s v="on track"/>
    <n v="2"/>
    <s v="Manuel Walther"/>
    <s v="RECALC_0_227_"/>
    <x v="2"/>
  </r>
  <r>
    <x v="5"/>
    <s v="open"/>
    <x v="2"/>
    <s v="CLFF_1000$$$DE10538973"/>
    <s v="G000000880"/>
    <s v="G000001053"/>
    <s v="LFF (MDG-F)"/>
    <s v="DE10538973"/>
    <s v="Changes were saved for change request 25524013"/>
    <s v="MGF"/>
    <m/>
    <x v="3"/>
    <m/>
    <m/>
    <s v="on track"/>
    <n v="2"/>
    <s v="Manuel Walther"/>
    <s v="RECALC_0_170_"/>
    <x v="2"/>
  </r>
  <r>
    <x v="5"/>
    <s v="open"/>
    <x v="2"/>
    <s v="CLFF_1000$$$DE10538974"/>
    <s v="G000000880"/>
    <s v="G000001053"/>
    <s v="LFF (MDG-F)"/>
    <s v="DE10538974"/>
    <s v="Changes were saved for change request 25524013"/>
    <s v="MGF"/>
    <m/>
    <x v="3"/>
    <m/>
    <m/>
    <s v="on track"/>
    <n v="2"/>
    <s v="Manuel Walther"/>
    <s v="RECALC_0_120_"/>
    <x v="2"/>
  </r>
  <r>
    <x v="5"/>
    <s v="open"/>
    <x v="2"/>
    <s v="CLFF_1000$$$DE10538975"/>
    <s v="G000000880"/>
    <s v="G000001053"/>
    <s v="LFF (MDG-F)"/>
    <s v="DE10538975"/>
    <s v="Changes were saved for change request 25524013"/>
    <s v="MGF"/>
    <m/>
    <x v="3"/>
    <m/>
    <m/>
    <s v="on track"/>
    <n v="2"/>
    <s v="Manuel Walther"/>
    <s v="RECALC_0_331_"/>
    <x v="2"/>
  </r>
  <r>
    <x v="5"/>
    <s v="open"/>
    <x v="2"/>
    <s v="CLFF_1000$$$DE10538977"/>
    <s v="G000000880"/>
    <s v="G000001053"/>
    <s v="LFF (MDG-F)"/>
    <s v="DE10538977"/>
    <s v="Changes were saved for change request 25524013"/>
    <s v="MGF"/>
    <m/>
    <x v="3"/>
    <m/>
    <m/>
    <s v="on track"/>
    <n v="2"/>
    <s v="Manuel Walther"/>
    <s v="RECALC_0_299_"/>
    <x v="2"/>
  </r>
  <r>
    <x v="5"/>
    <s v="open"/>
    <x v="2"/>
    <s v="CLFF_1000$$$DE10538979"/>
    <s v="G000000996"/>
    <s v="G000001072"/>
    <s v="LFF (MDG-F)"/>
    <s v="DE10538979"/>
    <s v="Changes were saved for change request 25524013"/>
    <s v="MGF"/>
    <m/>
    <x v="3"/>
    <m/>
    <m/>
    <s v="on track"/>
    <n v="2"/>
    <s v="Manuel Walther"/>
    <s v="RECALC_0_87_"/>
    <x v="2"/>
  </r>
  <r>
    <x v="5"/>
    <s v="open"/>
    <x v="2"/>
    <s v="CLFF_1000$$$DE10538980"/>
    <s v="G000000996"/>
    <s v="G000001073"/>
    <s v="LFF (MDG-F)"/>
    <s v="DE10538980"/>
    <s v="Changes were saved for change request 25524013"/>
    <s v="MGF"/>
    <m/>
    <x v="3"/>
    <m/>
    <m/>
    <s v="on track"/>
    <n v="2"/>
    <s v="Manuel Walther"/>
    <s v="RECALC_0_54_"/>
    <x v="2"/>
  </r>
  <r>
    <x v="5"/>
    <s v="open"/>
    <x v="2"/>
    <s v="CLFF_1000$$$DE10538982"/>
    <s v="G000000996"/>
    <s v="G000001071"/>
    <s v="LFF (MDG-F)"/>
    <s v="DE10538982"/>
    <s v="Changes were saved for change request 25524013"/>
    <s v="MGF"/>
    <m/>
    <x v="3"/>
    <m/>
    <m/>
    <s v="on track"/>
    <n v="2"/>
    <s v="Manuel Walther"/>
    <s v="RECALC_0_8_"/>
    <x v="2"/>
  </r>
  <r>
    <x v="5"/>
    <s v="open"/>
    <x v="2"/>
    <s v="CLFF_1000$$$DE10538984"/>
    <s v="G000000880"/>
    <s v="G000001053"/>
    <s v="LFF (MDG-F)"/>
    <s v="DE10538984"/>
    <s v="Changes were saved for change request 25524013"/>
    <s v="MGF"/>
    <m/>
    <x v="3"/>
    <m/>
    <m/>
    <s v="on track"/>
    <n v="2"/>
    <s v="Manuel Walther"/>
    <s v="RECALC_0_249_"/>
    <x v="2"/>
  </r>
  <r>
    <x v="5"/>
    <s v="open"/>
    <x v="2"/>
    <s v="CLFF_1000$$$DE10538985"/>
    <s v="G000000880"/>
    <s v="G000001053"/>
    <s v="LFF (MDG-F)"/>
    <s v="DE10538985"/>
    <s v="Changes were saved for change request 25524013"/>
    <s v="MGF"/>
    <m/>
    <x v="3"/>
    <m/>
    <m/>
    <s v="on track"/>
    <n v="2"/>
    <s v="Manuel Walther"/>
    <s v="RECALC_0_330_"/>
    <x v="2"/>
  </r>
  <r>
    <x v="5"/>
    <s v="open"/>
    <x v="2"/>
    <s v="CLFF_1000$$$DE10538994"/>
    <s v="G000000880"/>
    <s v="G000001053"/>
    <s v="LFF (MDG-F)"/>
    <s v="DE10538994"/>
    <s v="Changes were saved for change request 25524013"/>
    <s v="MGF"/>
    <m/>
    <x v="3"/>
    <m/>
    <m/>
    <s v="on track"/>
    <n v="2"/>
    <s v="Manuel Walther"/>
    <s v="RECALC_0_298_"/>
    <x v="2"/>
  </r>
  <r>
    <x v="5"/>
    <s v="open"/>
    <x v="2"/>
    <s v="CLFF_1000$$$DE10539930"/>
    <s v="G000000880"/>
    <s v="G000001053"/>
    <s v="LFF (MDG-F)"/>
    <s v="DE10539930"/>
    <s v="Changes were saved for change request 25524013"/>
    <s v="MGF"/>
    <m/>
    <x v="3"/>
    <m/>
    <m/>
    <s v="on track"/>
    <n v="2"/>
    <s v="Manuel Walther"/>
    <s v="RECALC_0_198_"/>
    <x v="2"/>
  </r>
  <r>
    <x v="5"/>
    <s v="open"/>
    <x v="2"/>
    <s v="CLFF_1000$$$DE10539931"/>
    <s v="G000000880"/>
    <s v="G000001053"/>
    <s v="LFF (MDG-F)"/>
    <s v="DE10539931"/>
    <s v="Changes were saved for change request 25524013"/>
    <s v="MGF"/>
    <m/>
    <x v="3"/>
    <m/>
    <m/>
    <s v="on track"/>
    <n v="2"/>
    <s v="Manuel Walther"/>
    <s v="RECALC_0_169_"/>
    <x v="2"/>
  </r>
  <r>
    <x v="5"/>
    <s v="open"/>
    <x v="2"/>
    <s v="CLFF_1000$$$DE10539932"/>
    <s v="G000000880"/>
    <s v="G000001053"/>
    <s v="LFF (MDG-F)"/>
    <s v="DE10539932"/>
    <s v="Changes were saved for change request 25524013"/>
    <s v="MGF"/>
    <m/>
    <x v="3"/>
    <m/>
    <m/>
    <s v="on track"/>
    <n v="2"/>
    <s v="Manuel Walther"/>
    <s v="RECALC_0_119_"/>
    <x v="2"/>
  </r>
  <r>
    <x v="5"/>
    <s v="open"/>
    <x v="2"/>
    <s v="CLFF_1000$$$DE10539934"/>
    <s v="G000000880"/>
    <s v="G000001053"/>
    <s v="LFF (MDG-F)"/>
    <s v="DE10539934"/>
    <s v="Changes were saved for change request 25524013"/>
    <s v="MGF"/>
    <m/>
    <x v="3"/>
    <m/>
    <m/>
    <s v="on track"/>
    <n v="2"/>
    <s v="Manuel Walther"/>
    <s v="RECALC_0_86_"/>
    <x v="2"/>
  </r>
  <r>
    <x v="5"/>
    <s v="open"/>
    <x v="2"/>
    <s v="CLFF_1000$$$DE10539935"/>
    <s v="G000000880"/>
    <s v="G000001053"/>
    <s v="LFF (MDG-F)"/>
    <s v="DE10539935"/>
    <s v="Changes were saved for change request 25524013"/>
    <s v="MGF"/>
    <m/>
    <x v="3"/>
    <m/>
    <m/>
    <s v="on track"/>
    <n v="2"/>
    <s v="Manuel Walther"/>
    <s v="RECALC_0_329_"/>
    <x v="2"/>
  </r>
  <r>
    <x v="5"/>
    <s v="open"/>
    <x v="2"/>
    <s v="CLFF_1000$$$DE10539936"/>
    <s v="G000000880"/>
    <s v="G000001053"/>
    <s v="LFF (MDG-F)"/>
    <s v="DE10539936"/>
    <s v="Changes were saved for change request 25524013"/>
    <s v="MGF"/>
    <m/>
    <x v="3"/>
    <m/>
    <m/>
    <s v="on track"/>
    <n v="2"/>
    <s v="Manuel Walther"/>
    <s v="RECALC_0_297_"/>
    <x v="2"/>
  </r>
  <r>
    <x v="5"/>
    <s v="open"/>
    <x v="2"/>
    <s v="CLFF_1000$$$DE10539937"/>
    <s v="G000000880"/>
    <s v="G000001053"/>
    <s v="LFF (MDG-F)"/>
    <s v="DE10539937"/>
    <s v="Changes were saved for change request 25524013"/>
    <s v="MGF"/>
    <m/>
    <x v="3"/>
    <m/>
    <m/>
    <s v="on track"/>
    <n v="2"/>
    <s v="Manuel Walther"/>
    <s v="RECALC_0_30_"/>
    <x v="2"/>
  </r>
  <r>
    <x v="5"/>
    <s v="open"/>
    <x v="2"/>
    <s v="CLFF_1000$$$DE10539938"/>
    <s v="G000000880"/>
    <s v="G000001053"/>
    <s v="LFF (MDG-F)"/>
    <s v="DE10539938"/>
    <s v="Changes were saved for change request 25524013"/>
    <s v="MGF"/>
    <m/>
    <x v="3"/>
    <m/>
    <m/>
    <s v="on track"/>
    <n v="2"/>
    <s v="Manuel Walther"/>
    <s v="RECALC_0_7_"/>
    <x v="2"/>
  </r>
  <r>
    <x v="5"/>
    <s v="open"/>
    <x v="2"/>
    <s v="CLFF_1000$$$DE10539939"/>
    <s v="G000000880"/>
    <s v="G000001053"/>
    <s v="LFF (MDG-F)"/>
    <s v="DE10539939"/>
    <s v="Changes were saved for change request 25524013"/>
    <s v="MGF"/>
    <m/>
    <x v="3"/>
    <m/>
    <m/>
    <s v="on track"/>
    <n v="2"/>
    <s v="Manuel Walther"/>
    <s v="RECALC_0_248_"/>
    <x v="2"/>
  </r>
  <r>
    <x v="5"/>
    <s v="open"/>
    <x v="2"/>
    <s v="CLFF_1000$$$DE10539940"/>
    <s v="G000000880"/>
    <s v="G000001053"/>
    <s v="LFF (MDG-F)"/>
    <s v="DE10539940"/>
    <s v="Changes were saved for change request 25524013"/>
    <s v="MGF"/>
    <m/>
    <x v="3"/>
    <m/>
    <m/>
    <s v="on track"/>
    <n v="2"/>
    <s v="Manuel Walther"/>
    <s v="RECALC_0_197_"/>
    <x v="2"/>
  </r>
  <r>
    <x v="5"/>
    <s v="open"/>
    <x v="2"/>
    <s v="CLFF_1000$$$DE10539941"/>
    <s v="G000000880"/>
    <s v="G000001053"/>
    <s v="LFF (MDG-F)"/>
    <s v="DE10539941"/>
    <s v="Changes were saved for change request 25524013"/>
    <s v="MGF"/>
    <m/>
    <x v="3"/>
    <m/>
    <m/>
    <s v="on track"/>
    <n v="2"/>
    <s v="Manuel Walther"/>
    <s v="RECALC_0_328_"/>
    <x v="2"/>
  </r>
  <r>
    <x v="5"/>
    <s v="open"/>
    <x v="2"/>
    <s v="CLFF_1000$$$DE10539942"/>
    <s v="G000000880"/>
    <s v="G000001053"/>
    <s v="LFF (MDG-F)"/>
    <s v="DE10539942"/>
    <s v="Changes were saved for change request 25524013"/>
    <s v="MGF"/>
    <m/>
    <x v="3"/>
    <m/>
    <m/>
    <s v="on track"/>
    <n v="2"/>
    <s v="Manuel Walther"/>
    <s v="RECALC_0_296_"/>
    <x v="2"/>
  </r>
  <r>
    <x v="5"/>
    <s v="open"/>
    <x v="2"/>
    <s v="CLFF_1000$$$DE10539943"/>
    <s v="G000000880"/>
    <s v="G000001053"/>
    <s v="LFF (MDG-F)"/>
    <s v="DE10539943"/>
    <s v="Changes were saved for change request 25524013"/>
    <s v="MGF"/>
    <m/>
    <x v="3"/>
    <m/>
    <m/>
    <s v="on track"/>
    <n v="2"/>
    <s v="Manuel Walther"/>
    <s v="RECALC_0_138_"/>
    <x v="2"/>
  </r>
  <r>
    <x v="5"/>
    <s v="open"/>
    <x v="2"/>
    <s v="CLFF_1000$$$DE10539944"/>
    <s v="G000000880"/>
    <s v="G000001053"/>
    <s v="LFF (MDG-F)"/>
    <s v="DE10539944"/>
    <s v="Changes were saved for change request 25524013"/>
    <s v="MGF"/>
    <m/>
    <x v="3"/>
    <m/>
    <m/>
    <s v="on track"/>
    <n v="2"/>
    <s v="Manuel Walther"/>
    <s v="RECALC_0_118_"/>
    <x v="2"/>
  </r>
  <r>
    <x v="5"/>
    <s v="open"/>
    <x v="2"/>
    <s v="CLFF_1000$$$DE10539995"/>
    <s v="G000000880"/>
    <s v="G000001053"/>
    <s v="LFF (MDG-F)"/>
    <s v="DE10539995"/>
    <s v="Changes were saved for change request 25524013"/>
    <s v="MGF"/>
    <m/>
    <x v="3"/>
    <m/>
    <m/>
    <s v="on track"/>
    <n v="2"/>
    <s v="Manuel Walther"/>
    <s v="RECALC_0_85_"/>
    <x v="2"/>
  </r>
  <r>
    <x v="5"/>
    <s v="open"/>
    <x v="2"/>
    <s v="CLFF_1000$$$DE10538103"/>
    <s v="G000000872"/>
    <s v="G000001057"/>
    <s v="LFF (MDG-F)"/>
    <s v="DE10538103"/>
    <s v="Changes were saved for change request 25524013"/>
    <s v="MGF"/>
    <m/>
    <x v="3"/>
    <m/>
    <m/>
    <s v="on track"/>
    <n v="2"/>
    <s v="Manuel Walther"/>
    <s v="RECALC_0_29_"/>
    <x v="2"/>
  </r>
  <r>
    <x v="5"/>
    <s v="open"/>
    <x v="2"/>
    <s v="CLFF_1000$$$DE10538108"/>
    <s v="G000000993"/>
    <s v="G000001058"/>
    <s v="LFF (MDG-F)"/>
    <s v="DE10538108"/>
    <s v="Changes were saved for change request 25524013"/>
    <s v="MGF"/>
    <m/>
    <x v="3"/>
    <m/>
    <m/>
    <s v="on track"/>
    <n v="2"/>
    <s v="Manuel Walther"/>
    <s v="RECALC_0_327_"/>
    <x v="2"/>
  </r>
  <r>
    <x v="5"/>
    <s v="open"/>
    <x v="2"/>
    <s v="CLFF_1000$$$DE10538110"/>
    <s v="G000000872"/>
    <s v="G000001043"/>
    <s v="LFF (MDG-F)"/>
    <s v="DE10538110"/>
    <s v="Changes were saved for change request 25524013"/>
    <s v="MGF"/>
    <m/>
    <x v="3"/>
    <m/>
    <m/>
    <s v="on track"/>
    <n v="2"/>
    <s v="Manuel Walther"/>
    <s v="RECALC_0_295_"/>
    <x v="2"/>
  </r>
  <r>
    <x v="5"/>
    <s v="open"/>
    <x v="2"/>
    <s v="CLFF_1000$$$DE10538111"/>
    <s v="G000000950"/>
    <s v="G000001042"/>
    <s v="LFF (MDG-F)"/>
    <s v="DE10538111"/>
    <s v="Changes were saved for change request 25524013"/>
    <s v="MGF"/>
    <m/>
    <x v="3"/>
    <m/>
    <m/>
    <s v="on track"/>
    <n v="2"/>
    <s v="Manuel Walther"/>
    <s v="RECALC_0_274_"/>
    <x v="2"/>
  </r>
  <r>
    <x v="5"/>
    <s v="open"/>
    <x v="2"/>
    <s v="CLFF_1000$$$DE10538112"/>
    <s v="G000000872"/>
    <s v="G000001042"/>
    <s v="LFF (MDG-F)"/>
    <s v="DE10538112"/>
    <s v="Changes were saved for change request 25524013"/>
    <s v="MGF"/>
    <m/>
    <x v="3"/>
    <m/>
    <m/>
    <s v="on track"/>
    <n v="2"/>
    <s v="Manuel Walther"/>
    <s v="RECALC_0_247_"/>
    <x v="2"/>
  </r>
  <r>
    <x v="5"/>
    <s v="open"/>
    <x v="2"/>
    <s v="CLFF_1000$$$DE10538113"/>
    <s v="G000000872"/>
    <s v="G000001042"/>
    <s v="LFF (MDG-F)"/>
    <s v="DE10538113"/>
    <s v="Changes were saved for change request 25524013"/>
    <s v="MGF"/>
    <m/>
    <x v="3"/>
    <m/>
    <m/>
    <s v="on track"/>
    <n v="2"/>
    <s v="Manuel Walther"/>
    <s v="RECALC_0_196_"/>
    <x v="2"/>
  </r>
  <r>
    <x v="5"/>
    <s v="open"/>
    <x v="2"/>
    <s v="CLFF_1000$$$DE10538114"/>
    <s v="G000000872"/>
    <s v="G000001039"/>
    <s v="LFF (MDG-F)"/>
    <s v="DE10538114"/>
    <s v="Changes were saved for change request 25524013"/>
    <s v="MGF"/>
    <m/>
    <x v="3"/>
    <m/>
    <m/>
    <s v="on track"/>
    <n v="2"/>
    <s v="Manuel Walther"/>
    <s v="RECALC_0_137_"/>
    <x v="2"/>
  </r>
  <r>
    <x v="5"/>
    <s v="open"/>
    <x v="2"/>
    <s v="CLFF_1000$$$DE10538115"/>
    <s v="G000000950"/>
    <s v="G000001056"/>
    <s v="LFF (MDG-F)"/>
    <s v="DE10538115"/>
    <s v="Changes were saved for change request 25524013"/>
    <s v="MGF"/>
    <m/>
    <x v="3"/>
    <m/>
    <m/>
    <s v="on track"/>
    <n v="2"/>
    <s v="Manuel Walther"/>
    <s v="RECALC_0_326_"/>
    <x v="2"/>
  </r>
  <r>
    <x v="5"/>
    <s v="open"/>
    <x v="2"/>
    <s v="CLFF_1000$$$DE10538117"/>
    <s v="G000000993"/>
    <s v="G000001056"/>
    <s v="LFF (MDG-F)"/>
    <s v="DE10538117"/>
    <s v="Changes were saved for change request 25524013"/>
    <s v="MGF"/>
    <m/>
    <x v="3"/>
    <m/>
    <m/>
    <s v="on track"/>
    <n v="2"/>
    <s v="Manuel Walther"/>
    <s v="RECALC_0_294_"/>
    <x v="2"/>
  </r>
  <r>
    <x v="5"/>
    <s v="open"/>
    <x v="2"/>
    <s v="CLFF_1000$$$DE10538119"/>
    <s v="G000000872"/>
    <s v="G000001042"/>
    <s v="LFF (MDG-F)"/>
    <s v="DE10538119"/>
    <s v="Changes were saved for change request 25524013"/>
    <s v="MGF"/>
    <m/>
    <x v="3"/>
    <m/>
    <m/>
    <s v="on track"/>
    <n v="2"/>
    <s v="Manuel Walther"/>
    <s v="RECALC_0_112_"/>
    <x v="2"/>
  </r>
  <r>
    <x v="5"/>
    <s v="open"/>
    <x v="2"/>
    <s v="CLFF_1000$$$DE10538120"/>
    <s v="G000000872"/>
    <s v="G000001042"/>
    <s v="LFF (MDG-F)"/>
    <s v="DE10538120"/>
    <s v="Changes were saved for change request 25524013"/>
    <s v="MGF"/>
    <m/>
    <x v="3"/>
    <m/>
    <m/>
    <s v="on track"/>
    <n v="2"/>
    <s v="Manuel Walther"/>
    <s v="RECALC_0_84_"/>
    <x v="2"/>
  </r>
  <r>
    <x v="5"/>
    <s v="open"/>
    <x v="2"/>
    <s v="CLFF_1000$$$DE10538121"/>
    <s v="G000000872"/>
    <s v="G000001043"/>
    <s v="LFF (MDG-F)"/>
    <s v="DE10538121"/>
    <s v="Changes were saved for change request 25524013"/>
    <s v="MGF"/>
    <m/>
    <x v="3"/>
    <m/>
    <m/>
    <s v="on track"/>
    <n v="2"/>
    <s v="Manuel Walther"/>
    <s v="RECALC_0_28_"/>
    <x v="2"/>
  </r>
  <r>
    <x v="5"/>
    <s v="open"/>
    <x v="2"/>
    <s v="CLFF_1000$$$DE10538122"/>
    <s v="G000000872"/>
    <s v="G000001042"/>
    <s v="LFF (MDG-F)"/>
    <s v="DE10538122"/>
    <s v="Changes were saved for change request 25524013"/>
    <s v="MGF"/>
    <m/>
    <x v="3"/>
    <m/>
    <m/>
    <s v="on track"/>
    <n v="2"/>
    <s v="Manuel Walther"/>
    <s v="RECALC_0_273_"/>
    <x v="2"/>
  </r>
  <r>
    <x v="5"/>
    <s v="open"/>
    <x v="2"/>
    <s v="CLFF_1000$$$DE10538124"/>
    <s v="G000000872"/>
    <s v="G000001046"/>
    <s v="LFF (MDG-F)"/>
    <s v="DE10538124"/>
    <s v="Changes were saved for change request 25524013"/>
    <s v="MGF"/>
    <m/>
    <x v="3"/>
    <m/>
    <m/>
    <s v="on track"/>
    <n v="2"/>
    <s v="Manuel Walther"/>
    <s v="RECALC_0_325_"/>
    <x v="2"/>
  </r>
  <r>
    <x v="5"/>
    <s v="open"/>
    <x v="2"/>
    <s v="CLFF_1000$$$DE10538129"/>
    <s v="G000000872"/>
    <s v="G000001060"/>
    <s v="LFF (MDG-F)"/>
    <s v="DE10538129"/>
    <s v="Changes were saved for change request 25524013"/>
    <s v="MGF"/>
    <m/>
    <x v="3"/>
    <m/>
    <m/>
    <s v="on track"/>
    <n v="2"/>
    <s v="Manuel Walther"/>
    <s v="RECALC_0_293_"/>
    <x v="2"/>
  </r>
  <r>
    <x v="5"/>
    <s v="open"/>
    <x v="2"/>
    <s v="CLFF_1000$$$DE10538130"/>
    <s v="G000000872"/>
    <s v="G000001047"/>
    <s v="LFF (MDG-F)"/>
    <s v="DE10538130"/>
    <s v="Changes were saved for change request 25524013"/>
    <s v="MGF"/>
    <m/>
    <x v="3"/>
    <m/>
    <m/>
    <s v="on track"/>
    <n v="2"/>
    <s v="Manuel Walther"/>
    <s v="RECALC_0_226_"/>
    <x v="2"/>
  </r>
  <r>
    <x v="5"/>
    <s v="open"/>
    <x v="2"/>
    <s v="CLFF_1000$$$DE10538131"/>
    <s v="G000000872"/>
    <s v="G000001047"/>
    <s v="LFF (MDG-F)"/>
    <s v="DE10538131"/>
    <s v="Changes were saved for change request 25524013"/>
    <s v="MGF"/>
    <m/>
    <x v="3"/>
    <m/>
    <m/>
    <s v="on track"/>
    <n v="2"/>
    <s v="Manuel Walther"/>
    <s v="RECALC_0_195_"/>
    <x v="2"/>
  </r>
  <r>
    <x v="5"/>
    <s v="open"/>
    <x v="2"/>
    <s v="CLFF_1000$$$DE10538133"/>
    <s v="G000000872"/>
    <s v="G000001040"/>
    <s v="LFF (MDG-F)"/>
    <s v="DE10538133"/>
    <s v="Changes were saved for change request 25524013"/>
    <s v="MGF"/>
    <m/>
    <x v="3"/>
    <m/>
    <m/>
    <s v="on track"/>
    <n v="2"/>
    <s v="Manuel Walther"/>
    <s v="RECALC_0_136_"/>
    <x v="2"/>
  </r>
  <r>
    <x v="5"/>
    <s v="open"/>
    <x v="2"/>
    <s v="CLFF_1000$$$DE10538134"/>
    <s v="G000000872"/>
    <s v="G000001040"/>
    <s v="LFF (MDG-F)"/>
    <s v="DE10538134"/>
    <s v="Changes were saved for change request 25524013"/>
    <s v="MGF"/>
    <m/>
    <x v="3"/>
    <m/>
    <m/>
    <s v="on track"/>
    <n v="2"/>
    <s v="Manuel Walther"/>
    <s v="RECALC_0_111_"/>
    <x v="2"/>
  </r>
  <r>
    <x v="5"/>
    <s v="open"/>
    <x v="2"/>
    <s v="CLFF_1000$$$DE10538135"/>
    <s v="G000000872"/>
    <s v="G000001047"/>
    <s v="LFF (MDG-F)"/>
    <s v="DE10538135"/>
    <s v="Changes were saved for change request 25524013"/>
    <s v="MGF"/>
    <m/>
    <x v="3"/>
    <m/>
    <m/>
    <s v="on track"/>
    <n v="2"/>
    <s v="Manuel Walther"/>
    <s v="RECALC_0_324_"/>
    <x v="2"/>
  </r>
  <r>
    <x v="5"/>
    <s v="open"/>
    <x v="2"/>
    <s v="CLFF_1000$$$DE10538138"/>
    <s v="G000000872"/>
    <s v="G000001047"/>
    <s v="LFF (MDG-F)"/>
    <s v="DE10538138"/>
    <s v="Changes were saved for change request 25524013"/>
    <s v="MGF"/>
    <m/>
    <x v="3"/>
    <m/>
    <m/>
    <s v="on track"/>
    <n v="2"/>
    <s v="Manuel Walther"/>
    <s v="RECALC_0_292_"/>
    <x v="2"/>
  </r>
  <r>
    <x v="5"/>
    <s v="open"/>
    <x v="2"/>
    <s v="CLFF_1000$$$DE10538139"/>
    <s v="G000000872"/>
    <s v="G000001046"/>
    <s v="LFF (MDG-F)"/>
    <s v="DE10538139"/>
    <s v="Changes were saved for change request 25524013"/>
    <s v="MGF"/>
    <m/>
    <x v="3"/>
    <m/>
    <m/>
    <s v="on track"/>
    <n v="2"/>
    <s v="Manuel Walther"/>
    <s v="RECALC_0_53_"/>
    <x v="2"/>
  </r>
  <r>
    <x v="5"/>
    <s v="open"/>
    <x v="2"/>
    <s v="CLFF_1000$$$DE10538142"/>
    <s v="G000000872"/>
    <s v="G000001043"/>
    <s v="LFF (MDG-F)"/>
    <s v="DE10538142"/>
    <s v="Changes were saved for change request 25524013"/>
    <s v="MGF"/>
    <m/>
    <x v="3"/>
    <m/>
    <m/>
    <s v="on track"/>
    <n v="2"/>
    <s v="Manuel Walther"/>
    <s v="RECALC_0_27_"/>
    <x v="2"/>
  </r>
  <r>
    <x v="5"/>
    <s v="open"/>
    <x v="2"/>
    <s v="CLFF_1000$$$DE10538144"/>
    <s v="G000000872"/>
    <s v="G000001043"/>
    <s v="LFF (MDG-F)"/>
    <s v="DE10538144"/>
    <s v="Changes were saved for change request 25524013"/>
    <s v="MGF"/>
    <m/>
    <x v="3"/>
    <m/>
    <m/>
    <s v="on track"/>
    <n v="2"/>
    <s v="Manuel Walther"/>
    <s v="RECALC_0_272_"/>
    <x v="2"/>
  </r>
  <r>
    <x v="5"/>
    <s v="open"/>
    <x v="2"/>
    <s v="CLFF_1000$$$DE10538161"/>
    <s v="G000000872"/>
    <s v="G000001043"/>
    <s v="LFF (MDG-F)"/>
    <s v="DE10538161"/>
    <s v="Changes were saved for change request 25526501"/>
    <s v="MGF"/>
    <m/>
    <x v="3"/>
    <m/>
    <m/>
    <s v="on track"/>
    <n v="2"/>
    <s v="Manuel Walther"/>
    <s v="RECALC_0_225_"/>
    <x v="2"/>
  </r>
  <r>
    <x v="5"/>
    <s v="open"/>
    <x v="2"/>
    <s v="CLFF_1000$$$DE10538174"/>
    <s v="G000000993"/>
    <s v="G000001043"/>
    <s v="LFF (MDG-F)"/>
    <s v="DE10538174"/>
    <s v="Changes were saved for change request 25526501"/>
    <s v="MGF"/>
    <m/>
    <x v="3"/>
    <m/>
    <m/>
    <s v="on track"/>
    <n v="2"/>
    <s v="Manuel Walther"/>
    <s v="RECALC_0_323_"/>
    <x v="2"/>
  </r>
  <r>
    <x v="5"/>
    <s v="open"/>
    <x v="2"/>
    <s v="CLFF_1000$$$DE10538178"/>
    <s v="G000000993"/>
    <s v="G000001058"/>
    <s v="LFF (MDG-F)"/>
    <s v="DE10538178"/>
    <s v="Changes were saved for change request 25526501"/>
    <s v="MGF"/>
    <m/>
    <x v="3"/>
    <m/>
    <m/>
    <s v="on track"/>
    <n v="2"/>
    <s v="Manuel Walther"/>
    <s v="RECALC_0_291_"/>
    <x v="2"/>
  </r>
  <r>
    <x v="5"/>
    <s v="open"/>
    <x v="2"/>
    <s v="CLFF_1000$$$DE10538192"/>
    <s v="G000000872"/>
    <s v="G000001058"/>
    <s v="LFF (MDG-F)"/>
    <s v="DE10538192"/>
    <s v="Changes were saved for change request 25526501"/>
    <s v="MGF"/>
    <m/>
    <x v="3"/>
    <m/>
    <m/>
    <s v="on track"/>
    <n v="2"/>
    <s v="Manuel Walther"/>
    <s v="RECALC_0_168_"/>
    <x v="2"/>
  </r>
  <r>
    <x v="5"/>
    <s v="open"/>
    <x v="2"/>
    <s v="CLFF_1000$$$DE10538397"/>
    <s v="G000000993"/>
    <s v="G000001043"/>
    <s v="LFF (MDG-F)"/>
    <s v="DE10538397"/>
    <s v="Changes were saved for change request 25526501"/>
    <s v="MGF"/>
    <m/>
    <x v="3"/>
    <m/>
    <m/>
    <s v="on track"/>
    <n v="2"/>
    <s v="Manuel Walther"/>
    <s v="RECALC_0_135_"/>
    <x v="2"/>
  </r>
  <r>
    <x v="5"/>
    <s v="open"/>
    <x v="2"/>
    <s v="CLFF_1000$$$DE10538556"/>
    <s v="G000000872"/>
    <s v="G000001040"/>
    <s v="LFF (MDG-F)"/>
    <s v="DE10538556"/>
    <s v="Changes were saved for change request 25526501"/>
    <s v="MGF"/>
    <m/>
    <x v="3"/>
    <m/>
    <m/>
    <s v="on track"/>
    <n v="2"/>
    <s v="Manuel Walther"/>
    <s v="RECALC_0_110_"/>
    <x v="2"/>
  </r>
  <r>
    <x v="5"/>
    <s v="open"/>
    <x v="2"/>
    <s v="CLFF_1000$$$DE10538654"/>
    <s v="G000000993"/>
    <s v="G000001056"/>
    <s v="LFF (MDG-F)"/>
    <s v="DE10538654"/>
    <s v="Changes were saved for change request 25526501"/>
    <s v="MGF"/>
    <m/>
    <x v="3"/>
    <m/>
    <m/>
    <s v="on track"/>
    <n v="2"/>
    <s v="Manuel Walther"/>
    <s v="RECALC_0_52_"/>
    <x v="2"/>
  </r>
  <r>
    <x v="5"/>
    <s v="open"/>
    <x v="2"/>
    <s v="CLFF_1000$$$DE10579990"/>
    <s v="G000000872"/>
    <s v="G000001041"/>
    <s v="LFF (MDG-F)"/>
    <s v="DE10579990"/>
    <s v="Changes were saved for change request 25526501"/>
    <s v="MGF"/>
    <m/>
    <x v="3"/>
    <m/>
    <m/>
    <s v="on track"/>
    <n v="2"/>
    <s v="Manuel Walther"/>
    <s v="RECALC_0_322_"/>
    <x v="2"/>
  </r>
  <r>
    <x v="5"/>
    <s v="open"/>
    <x v="2"/>
    <s v="CLFF_1000$$$DE10538107"/>
    <s v="G000000993"/>
    <s v="G000001061"/>
    <s v="LFF (MDG-F)"/>
    <s v="DE10538107"/>
    <s v="Changes were saved for change request 25526501"/>
    <s v="MGF"/>
    <m/>
    <x v="3"/>
    <m/>
    <m/>
    <s v="on track"/>
    <n v="2"/>
    <s v="Manuel Walther"/>
    <s v="RECALC_0_290_"/>
    <x v="2"/>
  </r>
  <r>
    <x v="5"/>
    <s v="open"/>
    <x v="2"/>
    <s v="CLFF_1000$$$DE10538118"/>
    <s v="G000000888"/>
    <s v="G000001062"/>
    <s v="LFF (MDG-F)"/>
    <s v="DE10538118"/>
    <s v="Changes were saved for change request 25526501"/>
    <s v="MGF"/>
    <m/>
    <x v="3"/>
    <m/>
    <m/>
    <s v="on track"/>
    <n v="2"/>
    <s v="Manuel Walther"/>
    <s v="RECALC_0_6_"/>
    <x v="2"/>
  </r>
  <r>
    <x v="5"/>
    <s v="open"/>
    <x v="2"/>
    <s v="CLFF_1000$$$DE10538136"/>
    <s v="G000000993"/>
    <s v="G000001062"/>
    <s v="LFF (MDG-F)"/>
    <s v="DE10538136"/>
    <s v="Changes were saved for change request 25526501"/>
    <s v="MGF"/>
    <m/>
    <x v="3"/>
    <m/>
    <m/>
    <s v="on track"/>
    <n v="2"/>
    <s v="Manuel Walther"/>
    <s v="RECALC_0_271_"/>
    <x v="2"/>
  </r>
  <r>
    <x v="5"/>
    <s v="open"/>
    <x v="2"/>
    <s v="CLFF_1000$$$DE10538137"/>
    <s v="G000000993"/>
    <s v="G000001060"/>
    <s v="LFF (MDG-F)"/>
    <s v="DE10538137"/>
    <s v="Changes were saved for change request 25526501"/>
    <s v="MGF"/>
    <m/>
    <x v="3"/>
    <m/>
    <m/>
    <s v="on track"/>
    <n v="2"/>
    <s v="Manuel Walther"/>
    <s v="RECALC_0_224_"/>
    <x v="2"/>
  </r>
  <r>
    <x v="5"/>
    <s v="open"/>
    <x v="2"/>
    <s v="CLFF_1000$$$DE10538141"/>
    <s v="G000000993"/>
    <s v="G000001062"/>
    <s v="LFF (MDG-F)"/>
    <s v="DE10538141"/>
    <s v="Changes were saved for change request 25526501"/>
    <s v="MGF"/>
    <m/>
    <x v="3"/>
    <m/>
    <m/>
    <s v="on track"/>
    <n v="2"/>
    <s v="Manuel Walther"/>
    <s v="RECALC_0_167_"/>
    <x v="2"/>
  </r>
  <r>
    <x v="5"/>
    <s v="open"/>
    <x v="2"/>
    <s v="CLFF_1000$$$DE10538143"/>
    <s v="G000000993"/>
    <s v="G000001063"/>
    <s v="LFF (MDG-F)"/>
    <s v="DE10538143"/>
    <s v="Changes were saved for change request 25526501"/>
    <s v="MGF"/>
    <m/>
    <x v="3"/>
    <m/>
    <m/>
    <s v="on track"/>
    <n v="2"/>
    <s v="Manuel Walther"/>
    <s v="RECALC_0_321_"/>
    <x v="2"/>
  </r>
  <r>
    <x v="5"/>
    <s v="open"/>
    <x v="2"/>
    <s v="CLFF_1000$$$DE10538147"/>
    <s v="G000000993"/>
    <s v="G000001051"/>
    <s v="LFF (MDG-F)"/>
    <s v="DE10538147"/>
    <s v="Changes were saved for change request 25526501"/>
    <s v="MGF"/>
    <m/>
    <x v="3"/>
    <m/>
    <m/>
    <s v="on track"/>
    <n v="2"/>
    <s v="Manuel Walther"/>
    <s v="RECALC_0_289_"/>
    <x v="2"/>
  </r>
  <r>
    <x v="5"/>
    <s v="open"/>
    <x v="2"/>
    <s v="CLFF_1000$$$DE10538148"/>
    <s v="G000000879"/>
    <s v="G000001050"/>
    <s v="LFF (MDG-F)"/>
    <s v="DE10538148"/>
    <s v="Changes were saved for change request 25526501"/>
    <s v="MGF"/>
    <m/>
    <x v="3"/>
    <m/>
    <m/>
    <s v="on track"/>
    <n v="2"/>
    <s v="Manuel Walther"/>
    <s v="RECALC_0_117_"/>
    <x v="2"/>
  </r>
  <r>
    <x v="5"/>
    <s v="open"/>
    <x v="2"/>
    <s v="CLFF_1000$$$DE10538151"/>
    <s v="G000000993"/>
    <s v="G000001063"/>
    <s v="LFF (MDG-F)"/>
    <s v="DE10538151"/>
    <s v="Changes were saved for change request 25526501"/>
    <s v="MGF"/>
    <m/>
    <x v="3"/>
    <m/>
    <m/>
    <s v="on track"/>
    <n v="2"/>
    <s v="Manuel Walther"/>
    <s v="RECALC_0_109_"/>
    <x v="2"/>
  </r>
  <r>
    <x v="5"/>
    <s v="open"/>
    <x v="2"/>
    <s v="CLFF_1000$$$DE10538153"/>
    <s v="G000000993"/>
    <s v="G000001063"/>
    <s v="LFF (MDG-F)"/>
    <s v="DE10538153"/>
    <s v="Changes were saved for change request 25526501"/>
    <s v="MGF"/>
    <m/>
    <x v="3"/>
    <m/>
    <m/>
    <s v="on track"/>
    <n v="2"/>
    <s v="Manuel Walther"/>
    <s v="RECALC_0_51_"/>
    <x v="2"/>
  </r>
  <r>
    <x v="5"/>
    <s v="open"/>
    <x v="2"/>
    <s v="CLFF_1000$$$DE10538160"/>
    <s v="G000000993"/>
    <s v="G000001063"/>
    <s v="LFF (MDG-F)"/>
    <s v="DE10538160"/>
    <s v="Changes were saved for change request 25526501"/>
    <s v="MGF"/>
    <m/>
    <x v="3"/>
    <m/>
    <m/>
    <s v="on track"/>
    <n v="2"/>
    <s v="Manuel Walther"/>
    <s v="RECALC_0_5_"/>
    <x v="2"/>
  </r>
  <r>
    <x v="5"/>
    <s v="open"/>
    <x v="2"/>
    <s v="CLFF_1000$$$DE10538162"/>
    <s v="G000000993"/>
    <s v="G000001063"/>
    <s v="LFF (MDG-F)"/>
    <s v="DE10538162"/>
    <s v="Changes were saved for change request 25526501"/>
    <s v="MGF"/>
    <m/>
    <x v="3"/>
    <m/>
    <m/>
    <s v="on track"/>
    <n v="2"/>
    <s v="Manuel Walther"/>
    <s v="RECALC_0_320_"/>
    <x v="2"/>
  </r>
  <r>
    <x v="5"/>
    <s v="open"/>
    <x v="2"/>
    <s v="CLFF_1000$$$DE10538163"/>
    <s v="G000000879"/>
    <s v="G000001044"/>
    <s v="LFF (MDG-F)"/>
    <s v="DE10538163"/>
    <s v="Changes were saved for change request 25526501"/>
    <s v="MGF"/>
    <m/>
    <x v="3"/>
    <m/>
    <m/>
    <s v="on track"/>
    <n v="2"/>
    <s v="Manuel Walther"/>
    <s v="RECALC_0_288_"/>
    <x v="2"/>
  </r>
  <r>
    <x v="5"/>
    <s v="open"/>
    <x v="2"/>
    <s v="CLFF_1000$$$DE10538164"/>
    <s v="G000000993"/>
    <s v="G000001063"/>
    <s v="LFF (MDG-F)"/>
    <s v="DE10538164"/>
    <s v="Changes were saved for change request 25526501"/>
    <s v="MGF"/>
    <m/>
    <x v="3"/>
    <m/>
    <m/>
    <s v="on track"/>
    <n v="2"/>
    <s v="Manuel Walther"/>
    <s v="RECALC_0_246_"/>
    <x v="2"/>
  </r>
  <r>
    <x v="5"/>
    <s v="open"/>
    <x v="2"/>
    <s v="CLFF_1000$$$DE10538166"/>
    <s v="G000000993"/>
    <s v="G000001063"/>
    <s v="LFF (MDG-F)"/>
    <s v="DE10538166"/>
    <s v="Changes were saved for change request 25526501"/>
    <s v="MGF"/>
    <m/>
    <x v="3"/>
    <m/>
    <m/>
    <s v="on track"/>
    <n v="2"/>
    <s v="Manuel Walther"/>
    <s v="RECALC_0_223_"/>
    <x v="2"/>
  </r>
  <r>
    <x v="5"/>
    <s v="open"/>
    <x v="2"/>
    <s v="CLFF_1000$$$DE10538167"/>
    <s v="G000000872"/>
    <s v="G000001061"/>
    <s v="LFF (MDG-F)"/>
    <s v="DE10538167"/>
    <s v="Changes were saved for change request 25526501"/>
    <s v="MGF"/>
    <m/>
    <x v="3"/>
    <m/>
    <m/>
    <s v="on track"/>
    <n v="2"/>
    <s v="Manuel Walther"/>
    <s v="RECALC_0_166_"/>
    <x v="2"/>
  </r>
  <r>
    <x v="5"/>
    <s v="open"/>
    <x v="2"/>
    <s v="CLFF_1000$$$DE10538168"/>
    <s v="G000000993"/>
    <s v="G000001063"/>
    <s v="LFF (MDG-F)"/>
    <s v="DE10538168"/>
    <s v="Changes were saved for change request 25526501"/>
    <s v="MGF"/>
    <m/>
    <x v="3"/>
    <m/>
    <m/>
    <s v="on track"/>
    <n v="2"/>
    <s v="Manuel Walther"/>
    <s v="RECALC_0_177_"/>
    <x v="2"/>
  </r>
  <r>
    <x v="5"/>
    <s v="open"/>
    <x v="2"/>
    <s v="CLFF_1000$$$DE10538171"/>
    <s v="G000000993"/>
    <s v="G000001051"/>
    <s v="LFF (MDG-F)"/>
    <s v="DE10538171"/>
    <s v="Changes were saved for change request 25526501"/>
    <s v="MGF"/>
    <m/>
    <x v="3"/>
    <m/>
    <m/>
    <s v="on track"/>
    <n v="2"/>
    <s v="Manuel Walther"/>
    <s v="RECALC_0_319_"/>
    <x v="2"/>
  </r>
  <r>
    <x v="5"/>
    <s v="open"/>
    <x v="2"/>
    <s v="CLFF_1000$$$DE10538175"/>
    <s v="G000000888"/>
    <s v="G000001063"/>
    <s v="LFF (MDG-F)"/>
    <s v="DE10538175"/>
    <s v="Changes were saved for change request 25526501"/>
    <s v="MGF"/>
    <m/>
    <x v="3"/>
    <m/>
    <m/>
    <s v="on track"/>
    <n v="2"/>
    <s v="Manuel Walther"/>
    <s v="RECALC_0_287_"/>
    <x v="2"/>
  </r>
  <r>
    <x v="5"/>
    <s v="open"/>
    <x v="2"/>
    <s v="CLFF_1000$$$DE10538176"/>
    <s v="G000000993"/>
    <s v="G000001063"/>
    <s v="LFF (MDG-F)"/>
    <s v="DE10538176"/>
    <s v="Changes were saved for change request 25526501"/>
    <s v="MGF"/>
    <m/>
    <x v="3"/>
    <m/>
    <m/>
    <s v="on track"/>
    <n v="2"/>
    <s v="Manuel Walther"/>
    <s v="RECALC_0_83_"/>
    <x v="2"/>
  </r>
  <r>
    <x v="5"/>
    <s v="open"/>
    <x v="2"/>
    <s v="CLFF_1000$$$DE10538177"/>
    <s v="G000000993"/>
    <s v="G000001063"/>
    <s v="LFF (MDG-F)"/>
    <s v="DE10538177"/>
    <s v="Changes were saved for change request 25526501"/>
    <s v="MGF"/>
    <m/>
    <x v="3"/>
    <m/>
    <m/>
    <s v="on track"/>
    <n v="2"/>
    <s v="Manuel Walther"/>
    <s v="RECALC_0_50_"/>
    <x v="2"/>
  </r>
  <r>
    <x v="5"/>
    <s v="open"/>
    <x v="2"/>
    <s v="CLFF_1000$$$DE10538184"/>
    <s v="G000000993"/>
    <s v="G000001060"/>
    <s v="LFF (MDG-F)"/>
    <s v="DE10538184"/>
    <s v="Changes were saved for change request 25526501"/>
    <s v="MGF"/>
    <m/>
    <x v="3"/>
    <m/>
    <m/>
    <s v="on track"/>
    <n v="2"/>
    <s v="Manuel Walther"/>
    <s v="RECALC_0_4_"/>
    <x v="2"/>
  </r>
  <r>
    <x v="5"/>
    <s v="open"/>
    <x v="2"/>
    <s v="CLFF_1000$$$DE10538185"/>
    <s v="G000000888"/>
    <s v="G000001060"/>
    <s v="LFF (MDG-F)"/>
    <s v="DE10538185"/>
    <s v="Changes were saved for change request 25526501"/>
    <s v="MGF"/>
    <m/>
    <x v="3"/>
    <m/>
    <m/>
    <s v="on track"/>
    <n v="2"/>
    <s v="Manuel Walther"/>
    <s v="RECALC_0_245_"/>
    <x v="2"/>
  </r>
  <r>
    <x v="5"/>
    <s v="open"/>
    <x v="2"/>
    <s v="CLFF_1000$$$DE10538186"/>
    <s v="G000000888"/>
    <s v="G000001060"/>
    <s v="LFF (MDG-F)"/>
    <s v="DE10538186"/>
    <s v="Changes were saved for change request 25526501"/>
    <s v="MGF"/>
    <m/>
    <x v="3"/>
    <m/>
    <m/>
    <s v="on track"/>
    <n v="2"/>
    <s v="Manuel Walther"/>
    <s v="RECALC_0_318_"/>
    <x v="2"/>
  </r>
  <r>
    <x v="5"/>
    <s v="open"/>
    <x v="2"/>
    <s v="CLFF_1000$$$DE10538193"/>
    <s v="G000000879"/>
    <s v="G000001051"/>
    <s v="LFF (MDG-F)"/>
    <s v="DE10538193"/>
    <s v="Changes were saved for change request 25526501"/>
    <s v="MGF"/>
    <m/>
    <x v="3"/>
    <m/>
    <m/>
    <s v="on track"/>
    <n v="2"/>
    <s v="Manuel Walther"/>
    <s v="RECALC_0_286_"/>
    <x v="2"/>
  </r>
  <r>
    <x v="5"/>
    <s v="open"/>
    <x v="2"/>
    <s v="CLFF_1000$$$DE10538194"/>
    <s v="G000000879"/>
    <s v="G000001044"/>
    <s v="LFF (MDG-F)"/>
    <s v="DE10538194"/>
    <s v="Changes were saved for change request 25526501"/>
    <s v="MGF"/>
    <m/>
    <x v="3"/>
    <m/>
    <m/>
    <s v="on track"/>
    <n v="2"/>
    <s v="Manuel Walther"/>
    <s v="RECALC_0_194_"/>
    <x v="2"/>
  </r>
  <r>
    <x v="5"/>
    <s v="open"/>
    <x v="2"/>
    <s v="CLFF_1000$$$DE10538195"/>
    <s v="G000000879"/>
    <s v="G000001044"/>
    <s v="LFF (MDG-F)"/>
    <s v="DE10538195"/>
    <s v="Changes were saved for change request 25526501"/>
    <s v="MGF"/>
    <m/>
    <x v="3"/>
    <m/>
    <m/>
    <s v="on track"/>
    <n v="2"/>
    <s v="Manuel Walther"/>
    <s v="RECALC_0_165_"/>
    <x v="2"/>
  </r>
  <r>
    <x v="5"/>
    <s v="open"/>
    <x v="2"/>
    <s v="CLFF_1000$$$DE10538197"/>
    <s v="G000000993"/>
    <s v="G000001063"/>
    <s v="LFF (MDG-F)"/>
    <s v="DE10538197"/>
    <s v="Changes were saved for change request 25526501"/>
    <s v="MGF"/>
    <m/>
    <x v="3"/>
    <m/>
    <m/>
    <s v="on track"/>
    <n v="2"/>
    <s v="Manuel Walther"/>
    <s v="RECALC_0_206_"/>
    <x v="2"/>
  </r>
  <r>
    <x v="5"/>
    <s v="open"/>
    <x v="2"/>
    <s v="CLFF_1000$$$DE10538712"/>
    <s v="G000000993"/>
    <s v="G000001063"/>
    <s v="LFF (MDG-F)"/>
    <s v="DE10538712"/>
    <s v="Changes were saved for change request 25526501"/>
    <s v="MGF"/>
    <m/>
    <x v="3"/>
    <m/>
    <m/>
    <s v="on track"/>
    <n v="2"/>
    <s v="Manuel Walther"/>
    <s v="RECALC_0_82_"/>
    <x v="2"/>
  </r>
  <r>
    <x v="5"/>
    <s v="open"/>
    <x v="2"/>
    <s v="CLFF_1000$$$DE10538713"/>
    <s v="G000000888"/>
    <s v="G000001063"/>
    <s v="LFF (MDG-F)"/>
    <s v="DE10538713"/>
    <s v="Changes were saved for change request 25526501"/>
    <s v="MGF"/>
    <m/>
    <x v="3"/>
    <m/>
    <m/>
    <s v="on track"/>
    <n v="2"/>
    <s v="Manuel Walther"/>
    <s v="RECALC_0_317_"/>
    <x v="2"/>
  </r>
  <r>
    <x v="5"/>
    <s v="open"/>
    <x v="2"/>
    <s v="CLFF_1000$$$DE10538714"/>
    <s v="G000000888"/>
    <s v="G000001063"/>
    <s v="LFF (MDG-F)"/>
    <s v="DE10538714"/>
    <s v="Changes were saved for change request 25526501"/>
    <s v="MGF"/>
    <m/>
    <x v="3"/>
    <m/>
    <m/>
    <s v="on track"/>
    <n v="2"/>
    <s v="Manuel Walther"/>
    <s v="RECALC_0_285_"/>
    <x v="2"/>
  </r>
  <r>
    <x v="5"/>
    <s v="open"/>
    <x v="2"/>
    <s v="CLFF_1000$$$DE10538715"/>
    <s v="G000000888"/>
    <s v="G000001063"/>
    <s v="LFF (MDG-F)"/>
    <s v="DE10538715"/>
    <s v="Changes were saved for change request 25526501"/>
    <s v="MGF"/>
    <m/>
    <x v="3"/>
    <m/>
    <m/>
    <s v="on track"/>
    <n v="2"/>
    <s v="Manuel Walther"/>
    <s v="RECALC_0_26_"/>
    <x v="2"/>
  </r>
  <r>
    <x v="5"/>
    <s v="open"/>
    <x v="2"/>
    <s v="CLFF_1000$$$DE10538716"/>
    <s v="G000000888"/>
    <s v="G000001063"/>
    <s v="LFF (MDG-F)"/>
    <s v="DE10538716"/>
    <s v="Changes were saved for change request 25526501"/>
    <s v="MGF"/>
    <m/>
    <x v="3"/>
    <m/>
    <m/>
    <s v="on track"/>
    <n v="2"/>
    <s v="Manuel Walther"/>
    <s v="RECALC_0_3_"/>
    <x v="2"/>
  </r>
  <r>
    <x v="5"/>
    <s v="open"/>
    <x v="2"/>
    <s v="CLFF_1000$$$DE10538717"/>
    <s v="G000000993"/>
    <s v="G000001063"/>
    <s v="LFF (MDG-F)"/>
    <s v="DE10538717"/>
    <s v="Changes were saved for change request 25526501"/>
    <s v="MGF"/>
    <m/>
    <x v="3"/>
    <m/>
    <m/>
    <s v="on track"/>
    <n v="2"/>
    <s v="Manuel Walther"/>
    <s v="RECALC_0_244_"/>
    <x v="2"/>
  </r>
  <r>
    <x v="5"/>
    <s v="open"/>
    <x v="2"/>
    <s v="CLFF_1000$$$DE10538887"/>
    <s v="G000000993"/>
    <s v="G000001063"/>
    <s v="LFF (MDG-F)"/>
    <s v="DE10538887"/>
    <s v="Changes were saved for change request 25526501"/>
    <s v="MGF"/>
    <m/>
    <x v="3"/>
    <m/>
    <m/>
    <s v="on track"/>
    <n v="2"/>
    <s v="Manuel Walther"/>
    <s v="RECALC_0_193_"/>
    <x v="2"/>
  </r>
  <r>
    <x v="5"/>
    <s v="open"/>
    <x v="2"/>
    <s v="CLFF_1000$$$DE10538920"/>
    <s v="G000000993"/>
    <s v="G000001060"/>
    <s v="LFF (MDG-F)"/>
    <s v="DE10538920"/>
    <s v="Changes were saved for change request 25526501"/>
    <s v="MGF"/>
    <m/>
    <x v="3"/>
    <m/>
    <m/>
    <s v="on track"/>
    <n v="2"/>
    <s v="Manuel Walther"/>
    <s v="RECALC_0_316_"/>
    <x v="2"/>
  </r>
  <r>
    <x v="5"/>
    <s v="open"/>
    <x v="2"/>
    <s v="CLFF_1000$$$DE10538921"/>
    <s v="G000000993"/>
    <s v="G000001061"/>
    <s v="LFF (MDG-F)"/>
    <s v="DE10538921"/>
    <s v="Changes were saved for change request 25526501"/>
    <s v="MGF"/>
    <m/>
    <x v="3"/>
    <m/>
    <m/>
    <s v="on track"/>
    <n v="2"/>
    <s v="Manuel Walther"/>
    <s v="RECALC_0_284_"/>
    <x v="2"/>
  </r>
  <r>
    <x v="5"/>
    <s v="open"/>
    <x v="2"/>
    <s v="CLFF_1000$$$DE10538978"/>
    <s v="G000000888"/>
    <s v="G000001063"/>
    <s v="LFF (MDG-F)"/>
    <s v="DE10538978"/>
    <s v="Changes were saved for change request 25526501"/>
    <s v="MGF"/>
    <m/>
    <x v="3"/>
    <m/>
    <m/>
    <s v="on track"/>
    <n v="2"/>
    <s v="Manuel Walther"/>
    <s v="RECALC_0_134_"/>
    <x v="2"/>
  </r>
  <r>
    <x v="5"/>
    <s v="open"/>
    <x v="2"/>
    <s v="CLFF_1000$$$DE10539001"/>
    <s v="G000000879"/>
    <s v="G000001044"/>
    <s v="LFF (MDG-F)"/>
    <s v="DE10539001"/>
    <s v="Changes were saved for change request 25526501"/>
    <s v="MGF"/>
    <m/>
    <x v="3"/>
    <m/>
    <m/>
    <s v="on track"/>
    <n v="2"/>
    <s v="Manuel Walther"/>
    <s v="RECALC_0_123_"/>
    <x v="2"/>
  </r>
  <r>
    <x v="5"/>
    <s v="open"/>
    <x v="2"/>
    <s v="CLFF_1000$$$DE10539002"/>
    <s v="G000000879"/>
    <s v="G000001044"/>
    <s v="LFF (MDG-F)"/>
    <s v="DE10539002"/>
    <s v="Changes were saved for change request 25526501"/>
    <s v="MGF"/>
    <m/>
    <x v="3"/>
    <m/>
    <m/>
    <s v="on track"/>
    <n v="2"/>
    <s v="Manuel Walther"/>
    <s v="RECALC_0_81_"/>
    <x v="2"/>
  </r>
  <r>
    <x v="5"/>
    <s v="open"/>
    <x v="2"/>
    <s v="CLFF_1000$$$DE10539004"/>
    <s v="G000000879"/>
    <s v="G000001044"/>
    <s v="LFF (MDG-F)"/>
    <s v="DE10539004"/>
    <s v="Changes were saved for change request 25526501"/>
    <s v="MGF"/>
    <m/>
    <x v="3"/>
    <m/>
    <m/>
    <s v="on track"/>
    <n v="2"/>
    <s v="Manuel Walther"/>
    <s v="RECALC_0_25_"/>
    <x v="2"/>
  </r>
  <r>
    <x v="5"/>
    <s v="open"/>
    <x v="2"/>
    <s v="CLFF_1000$$$DE10567500"/>
    <s v="G000000879"/>
    <s v="G000001064"/>
    <s v="LFF (MDG-F)"/>
    <s v="DE10567500"/>
    <s v="Changes were saved for change request 25526501"/>
    <s v="MGF"/>
    <m/>
    <x v="3"/>
    <m/>
    <m/>
    <s v="on track"/>
    <n v="2"/>
    <s v="Manuel Walther"/>
    <s v="RECALC_0_315_"/>
    <x v="2"/>
  </r>
  <r>
    <x v="5"/>
    <s v="open"/>
    <x v="2"/>
    <s v="CLFF_1000$$$DE10569401"/>
    <s v="G000000993"/>
    <s v="G000001063"/>
    <s v="LFF (MDG-F)"/>
    <s v="DE10569401"/>
    <s v="Changes were saved for change request 25526501"/>
    <s v="MGF"/>
    <m/>
    <x v="3"/>
    <m/>
    <m/>
    <s v="on track"/>
    <n v="2"/>
    <s v="Manuel Walther"/>
    <s v="RECALC_0_283_"/>
    <x v="2"/>
  </r>
  <r>
    <x v="5"/>
    <s v="open"/>
    <x v="2"/>
    <s v="CLFF_1000$$$DE10538145"/>
    <s v="G000000872"/>
    <s v="G000001044"/>
    <s v="LFF (MDG-F)"/>
    <s v="DE10538145"/>
    <s v="Changes were saved for change request 25526501"/>
    <s v="MGF"/>
    <m/>
    <x v="3"/>
    <m/>
    <m/>
    <s v="on track"/>
    <n v="2"/>
    <s v="Manuel Walther"/>
    <s v="RECALC_0_270_"/>
    <x v="2"/>
  </r>
  <r>
    <x v="5"/>
    <s v="open"/>
    <x v="2"/>
    <s v="CLFF_1000$$$DE10538190"/>
    <s v="G000000872"/>
    <s v="G000001043"/>
    <s v="LFF (MDG-F)"/>
    <s v="DE10538190"/>
    <s v="Changes were saved for change request 25526501"/>
    <s v="MGF"/>
    <m/>
    <x v="3"/>
    <m/>
    <m/>
    <s v="on track"/>
    <n v="2"/>
    <s v="Manuel Walther"/>
    <s v="RECALC_0_243_"/>
    <x v="2"/>
  </r>
  <r>
    <x v="5"/>
    <s v="open"/>
    <x v="2"/>
    <s v="CLFF_1000$$$DE10539003"/>
    <s v="G000000879"/>
    <s v="G000001044"/>
    <s v="LFF (MDG-F)"/>
    <s v="DE10539003"/>
    <s v="Changes were saved for change request 25526501"/>
    <s v="MGF"/>
    <m/>
    <x v="3"/>
    <m/>
    <m/>
    <s v="on track"/>
    <n v="2"/>
    <s v="Manuel Walther"/>
    <s v="RECALC_0_192_"/>
    <x v="2"/>
  </r>
  <r>
    <x v="5"/>
    <s v="open"/>
    <x v="2"/>
    <s v="CLFF_1000$$$DE10567400"/>
    <s v="G000000872"/>
    <s v="G000001038"/>
    <s v="LFF (MDG-F)"/>
    <s v="DE10567400"/>
    <s v="Changes were saved for change request 25526501"/>
    <s v="MGF"/>
    <m/>
    <x v="3"/>
    <m/>
    <m/>
    <s v="on track"/>
    <n v="2"/>
    <s v="Manuel Walther"/>
    <s v="RECALC_0_133_"/>
    <x v="2"/>
  </r>
  <r>
    <x v="5"/>
    <s v="open"/>
    <x v="2"/>
    <s v="CLFF_1000$$$DE20510800"/>
    <s v="G000000537"/>
    <s v="G000000510"/>
    <s v="LFF (MDG-F)"/>
    <s v="DE20510800"/>
    <s v="Changes were saved for change request 25526501"/>
    <s v="MGF"/>
    <m/>
    <x v="3"/>
    <m/>
    <m/>
    <s v="on track"/>
    <n v="2"/>
    <s v="Manuel Walther"/>
    <s v="RECALC_0_314_"/>
    <x v="2"/>
  </r>
  <r>
    <x v="5"/>
    <s v="open"/>
    <x v="2"/>
    <s v="CLFF_1000$$$DE20516800"/>
    <s v="G000000537"/>
    <s v="G000000510"/>
    <s v="LFF (MDG-F)"/>
    <s v="DE20516800"/>
    <s v="Changes were saved for change request 25526501"/>
    <s v="MGF"/>
    <m/>
    <x v="3"/>
    <m/>
    <m/>
    <s v="on track"/>
    <n v="2"/>
    <s v="Manuel Walther"/>
    <s v="RECALC_0_282_"/>
    <x v="2"/>
  </r>
  <r>
    <x v="5"/>
    <s v="open"/>
    <x v="2"/>
    <s v="CLFF_1000$$$DE20518800"/>
    <s v="G000000537"/>
    <s v="G000000510"/>
    <s v="LFF (MDG-F)"/>
    <s v="DE20518800"/>
    <s v="Changes were saved for change request 25526501"/>
    <s v="MGF"/>
    <m/>
    <x v="3"/>
    <m/>
    <m/>
    <s v="on track"/>
    <n v="2"/>
    <s v="Manuel Walther"/>
    <s v="RECALC_0_108_"/>
    <x v="2"/>
  </r>
  <r>
    <x v="5"/>
    <s v="open"/>
    <x v="2"/>
    <s v="CLFF_1000$$$DE20518900"/>
    <s v="G000000537"/>
    <s v="G000000510"/>
    <s v="LFF (MDG-F)"/>
    <s v="DE20518900"/>
    <s v="Changes were saved for change request 25526501"/>
    <s v="MGF"/>
    <m/>
    <x v="3"/>
    <m/>
    <m/>
    <s v="on track"/>
    <n v="2"/>
    <s v="Manuel Walther"/>
    <s v="RECALC_0_80_"/>
    <x v="2"/>
  </r>
  <r>
    <x v="5"/>
    <s v="open"/>
    <x v="2"/>
    <s v="CLFF_1000$$$DE20538199"/>
    <s v="G000000537"/>
    <s v="G000000510"/>
    <s v="LFF (MDG-F)"/>
    <s v="DE20538199"/>
    <s v="Changes were saved for change request 25526501"/>
    <s v="MGF"/>
    <m/>
    <x v="3"/>
    <m/>
    <m/>
    <s v="on track"/>
    <n v="2"/>
    <s v="Manuel Walther"/>
    <s v="RECALC_0_24_"/>
    <x v="2"/>
  </r>
  <r>
    <x v="5"/>
    <s v="open"/>
    <x v="2"/>
    <s v="CLFF_1000$$$DE20542000"/>
    <s v="G000000537"/>
    <s v="G000000510"/>
    <s v="LFF (MDG-F)"/>
    <s v="DE20542000"/>
    <s v="Changes were saved for change request 25526501"/>
    <s v="MGF"/>
    <m/>
    <x v="3"/>
    <m/>
    <m/>
    <s v="on track"/>
    <n v="2"/>
    <s v="Manuel Walther"/>
    <s v="RECALC_0_269_"/>
    <x v="2"/>
  </r>
  <r>
    <x v="5"/>
    <s v="open"/>
    <x v="2"/>
    <s v="CLFF_1000$$$DE20537833"/>
    <s v="G000000514"/>
    <s v="G000000508"/>
    <s v="LFF (MDG-F)"/>
    <s v="DE20537833"/>
    <s v="Changes were saved for change request 25526501"/>
    <s v="MGF"/>
    <m/>
    <x v="3"/>
    <m/>
    <m/>
    <s v="on track"/>
    <n v="2"/>
    <s v="Manuel Walther"/>
    <s v="RECALC_0_313_"/>
    <x v="2"/>
  </r>
  <r>
    <x v="5"/>
    <s v="open"/>
    <x v="2"/>
    <s v="CLFF_1000$$$DE20538012"/>
    <s v="G000000514"/>
    <s v="G000000508"/>
    <s v="LFF (MDG-F)"/>
    <s v="DE20538012"/>
    <s v="Changes were saved for change request 25526501"/>
    <s v="MGF"/>
    <m/>
    <x v="3"/>
    <m/>
    <m/>
    <s v="on track"/>
    <n v="2"/>
    <s v="Manuel Walther"/>
    <s v="RECALC_0_222_"/>
    <x v="2"/>
  </r>
  <r>
    <x v="5"/>
    <s v="open"/>
    <x v="2"/>
    <s v="CLFF_1000$$$DE20538014"/>
    <s v="G000000514"/>
    <s v="G000000508"/>
    <s v="LFF (MDG-F)"/>
    <s v="DE20538014"/>
    <s v="Changes were saved for change request 25526501"/>
    <s v="MGF"/>
    <m/>
    <x v="3"/>
    <m/>
    <m/>
    <s v="on track"/>
    <n v="2"/>
    <s v="Manuel Walther"/>
    <s v="RECALC_0_191_"/>
    <x v="2"/>
  </r>
  <r>
    <x v="5"/>
    <s v="open"/>
    <x v="2"/>
    <s v="CLFF_1000$$$DE20538015"/>
    <s v="G000000514"/>
    <s v="G000000508"/>
    <s v="LFF (MDG-F)"/>
    <s v="DE20538015"/>
    <s v="Changes were saved for change request 25526501"/>
    <s v="MGF"/>
    <m/>
    <x v="3"/>
    <m/>
    <m/>
    <s v="on track"/>
    <n v="2"/>
    <s v="Manuel Walther"/>
    <s v="RECALC_0_164_"/>
    <x v="2"/>
  </r>
  <r>
    <x v="5"/>
    <s v="open"/>
    <x v="2"/>
    <s v="CLFF_1000$$$DE20538017"/>
    <s v="G000000514"/>
    <s v="G000000508"/>
    <s v="LFF (MDG-F)"/>
    <s v="DE20538017"/>
    <s v="Changes were saved for change request 25526501"/>
    <s v="MGF"/>
    <m/>
    <x v="3"/>
    <m/>
    <m/>
    <s v="on track"/>
    <n v="2"/>
    <s v="Manuel Walther"/>
    <s v="RECALC_0_145_"/>
    <x v="2"/>
  </r>
  <r>
    <x v="5"/>
    <s v="open"/>
    <x v="2"/>
    <s v="CLFF_1000$$$DE20538018"/>
    <s v="G000000514"/>
    <s v="G000000508"/>
    <s v="LFF (MDG-F)"/>
    <s v="DE20538018"/>
    <s v="Changes were saved for change request 25526501"/>
    <s v="MGF"/>
    <m/>
    <x v="3"/>
    <m/>
    <m/>
    <s v="on track"/>
    <n v="2"/>
    <s v="Manuel Walther"/>
    <s v="RECALC_0_79_"/>
    <x v="2"/>
  </r>
  <r>
    <x v="5"/>
    <s v="open"/>
    <x v="2"/>
    <s v="CLFF_1000$$$DE20538132"/>
    <s v="G000000514"/>
    <s v="G000000508"/>
    <s v="LFF (MDG-F)"/>
    <s v="DE20538132"/>
    <s v="Changes were saved for change request 25526501"/>
    <s v="MGF"/>
    <m/>
    <x v="3"/>
    <m/>
    <m/>
    <s v="on track"/>
    <n v="2"/>
    <s v="Manuel Walther"/>
    <s v="RECALC_0_312_"/>
    <x v="2"/>
  </r>
  <r>
    <x v="5"/>
    <s v="open"/>
    <x v="2"/>
    <s v="CLFF_1000$$$DE20538101"/>
    <s v="G000000513"/>
    <s v="G000000988"/>
    <s v="LFF (MDG-F)"/>
    <s v="DE20538101"/>
    <s v="Changes were saved for change request 25526501"/>
    <s v="MGF"/>
    <m/>
    <x v="3"/>
    <m/>
    <m/>
    <s v="on track"/>
    <n v="2"/>
    <s v="Manuel Walther"/>
    <s v="RECALC_0_23_"/>
    <x v="2"/>
  </r>
  <r>
    <x v="5"/>
    <s v="open"/>
    <x v="2"/>
    <s v="CLFF_1000$$$DE20538102"/>
    <s v="G000000513"/>
    <s v="G000000990"/>
    <s v="LFF (MDG-F)"/>
    <s v="DE20538102"/>
    <s v="Changes were saved for change request 25526501"/>
    <s v="MGF"/>
    <m/>
    <x v="3"/>
    <m/>
    <m/>
    <s v="on track"/>
    <n v="2"/>
    <s v="Manuel Walther"/>
    <s v="RECALC_0_93_"/>
    <x v="2"/>
  </r>
  <r>
    <x v="5"/>
    <s v="open"/>
    <x v="2"/>
    <s v="CLFF_1000$$$DE20538104"/>
    <s v="G000000513"/>
    <s v="G000000988"/>
    <s v="LFF (MDG-F)"/>
    <s v="DE20538104"/>
    <s v="Changes were saved for change request 25526501"/>
    <s v="MGF"/>
    <m/>
    <x v="3"/>
    <m/>
    <m/>
    <s v="on track"/>
    <n v="2"/>
    <s v="Manuel Walther"/>
    <s v="RECALC_0_268_"/>
    <x v="2"/>
  </r>
  <r>
    <x v="5"/>
    <s v="open"/>
    <x v="2"/>
    <s v="CLFF_1000$$$DE20538109"/>
    <s v="G000000446"/>
    <s v="G000000976"/>
    <s v="LFF (MDG-F)"/>
    <s v="DE20538109"/>
    <s v="Changes were saved for change request 25526501"/>
    <s v="MGF"/>
    <m/>
    <x v="3"/>
    <m/>
    <m/>
    <s v="on track"/>
    <n v="2"/>
    <s v="Manuel Walther"/>
    <s v="RECALC_0_221_"/>
    <x v="2"/>
  </r>
  <r>
    <x v="5"/>
    <s v="open"/>
    <x v="2"/>
    <s v="CLFF_1000$$$DE20538116"/>
    <s v="G000000513"/>
    <s v="G000000988"/>
    <s v="LFF (MDG-F)"/>
    <s v="DE20538116"/>
    <s v="Changes were saved for change request 25526501"/>
    <s v="MGF"/>
    <m/>
    <x v="3"/>
    <m/>
    <m/>
    <s v="on track"/>
    <n v="2"/>
    <s v="Manuel Walther"/>
    <s v="RECALC_0_163_"/>
    <x v="2"/>
  </r>
  <r>
    <x v="5"/>
    <s v="open"/>
    <x v="2"/>
    <s v="CLFF_1000$$$DE20538123"/>
    <s v="G000000446"/>
    <s v="G000000975"/>
    <s v="LFF (MDG-F)"/>
    <s v="DE20538123"/>
    <s v="Changes were saved for change request 25526501"/>
    <s v="MGF"/>
    <m/>
    <x v="3"/>
    <m/>
    <m/>
    <s v="on track"/>
    <n v="2"/>
    <s v="Manuel Walther"/>
    <s v="RECALC_0_311_"/>
    <x v="2"/>
  </r>
  <r>
    <x v="5"/>
    <s v="open"/>
    <x v="2"/>
    <s v="CLFF_1000$$$DE20538128"/>
    <s v="G000000468"/>
    <s v="G000000988"/>
    <s v="LFF (MDG-F)"/>
    <s v="DE20538128"/>
    <s v="Changes were saved for change request 25526501"/>
    <s v="MGF"/>
    <m/>
    <x v="3"/>
    <m/>
    <m/>
    <s v="on track"/>
    <n v="2"/>
    <s v="Manuel Walther"/>
    <s v="RECALC_0_205_"/>
    <x v="2"/>
  </r>
  <r>
    <x v="5"/>
    <s v="open"/>
    <x v="2"/>
    <s v="CLFF_1000$$$DE20538146"/>
    <s v="G000000446"/>
    <s v="G000000975"/>
    <s v="LFF (MDG-F)"/>
    <s v="DE20538146"/>
    <s v="Changes were saved for change request 25526501"/>
    <s v="MGF"/>
    <m/>
    <x v="3"/>
    <m/>
    <m/>
    <s v="on track"/>
    <n v="2"/>
    <s v="Manuel Walther"/>
    <s v="RECALC_0_107_"/>
    <x v="2"/>
  </r>
  <r>
    <x v="5"/>
    <s v="open"/>
    <x v="2"/>
    <s v="CLFF_1000$$$DE20538150"/>
    <s v="G000000446"/>
    <s v="G000000975"/>
    <s v="LFF (MDG-F)"/>
    <s v="DE20538150"/>
    <s v="Changes were saved for change request 25526501"/>
    <s v="MGF"/>
    <m/>
    <x v="3"/>
    <m/>
    <m/>
    <s v="on track"/>
    <n v="2"/>
    <s v="Manuel Walther"/>
    <s v="RECALC_0_78_"/>
    <x v="2"/>
  </r>
  <r>
    <x v="5"/>
    <s v="open"/>
    <x v="2"/>
    <s v="CLFF_1000$$$DE20538152"/>
    <s v="G000000513"/>
    <s v="G000000990"/>
    <s v="LFF (MDG-F)"/>
    <s v="DE20538152"/>
    <s v="Changes were saved for change request 25526501"/>
    <s v="MGF"/>
    <m/>
    <x v="3"/>
    <m/>
    <m/>
    <s v="on track"/>
    <n v="2"/>
    <s v="Manuel Walther"/>
    <s v="RECALC_0_22_"/>
    <x v="2"/>
  </r>
  <r>
    <x v="5"/>
    <s v="open"/>
    <x v="2"/>
    <s v="CLFF_1000$$$DE20538157"/>
    <s v="G000000513"/>
    <s v="G000000989"/>
    <s v="LFF (MDG-F)"/>
    <s v="DE20538157"/>
    <s v="Changes were saved for change request 25526501"/>
    <s v="MGF"/>
    <m/>
    <x v="3"/>
    <m/>
    <m/>
    <s v="on track"/>
    <n v="2"/>
    <s v="Manuel Walther"/>
    <s v="RECALC_0_267_"/>
    <x v="2"/>
  </r>
  <r>
    <x v="5"/>
    <s v="open"/>
    <x v="2"/>
    <s v="CLFF_1000$$$DE20538158"/>
    <s v="G000000513"/>
    <s v="G000000990"/>
    <s v="LFF (MDG-F)"/>
    <s v="DE20538158"/>
    <s v="Changes were saved for change request 25526501"/>
    <s v="MGF"/>
    <m/>
    <x v="3"/>
    <m/>
    <m/>
    <s v="on track"/>
    <n v="2"/>
    <s v="Manuel Walther"/>
    <s v="RECALC_0_310_"/>
    <x v="2"/>
  </r>
  <r>
    <x v="5"/>
    <s v="open"/>
    <x v="2"/>
    <s v="CLFF_1000$$$DE20538159"/>
    <s v="G000000513"/>
    <s v="G000000990"/>
    <s v="LFF (MDG-F)"/>
    <s v="DE20538159"/>
    <s v="Changes were saved for change request 25526501"/>
    <s v="MGF"/>
    <m/>
    <x v="3"/>
    <m/>
    <m/>
    <s v="on track"/>
    <n v="2"/>
    <s v="Manuel Walther"/>
    <s v="RECALC_0_220_"/>
    <x v="2"/>
  </r>
  <r>
    <x v="5"/>
    <s v="open"/>
    <x v="2"/>
    <s v="CLFF_1000$$$DE20538179"/>
    <s v="G000000513"/>
    <s v="G000000990"/>
    <s v="LFF (MDG-F)"/>
    <s v="DE20538179"/>
    <s v="Changes were saved for change request 25526501"/>
    <s v="MGF"/>
    <m/>
    <x v="3"/>
    <m/>
    <m/>
    <s v="on track"/>
    <n v="2"/>
    <s v="Manuel Walther"/>
    <s v="RECALC_0_190_"/>
    <x v="2"/>
  </r>
  <r>
    <x v="5"/>
    <s v="open"/>
    <x v="2"/>
    <s v="CLFF_1000$$$DE20538180"/>
    <s v="G000000468"/>
    <s v="G000000990"/>
    <s v="LFF (MDG-F)"/>
    <s v="DE20538180"/>
    <s v="Changes were saved for change request 25526501"/>
    <s v="MGF"/>
    <m/>
    <x v="3"/>
    <m/>
    <m/>
    <s v="on track"/>
    <n v="2"/>
    <s v="Manuel Walther"/>
    <s v="RECALC_0_162_"/>
    <x v="2"/>
  </r>
  <r>
    <x v="5"/>
    <s v="open"/>
    <x v="2"/>
    <s v="CLFF_1000$$$DE20538181"/>
    <s v="G000000513"/>
    <s v="G000000990"/>
    <s v="LFF (MDG-F)"/>
    <s v="DE20538181"/>
    <s v="Changes were saved for change request 25526501"/>
    <s v="MGF"/>
    <m/>
    <x v="3"/>
    <m/>
    <m/>
    <s v="on track"/>
    <n v="2"/>
    <s v="Manuel Walther"/>
    <s v="RECALC_0_176_"/>
    <x v="2"/>
  </r>
  <r>
    <x v="5"/>
    <s v="open"/>
    <x v="2"/>
    <s v="CLFF_1000$$$DE20538182"/>
    <s v="G000000513"/>
    <s v="G000000988"/>
    <s v="LFF (MDG-F)"/>
    <s v="DE20538182"/>
    <s v="Changes were saved for change request 25526501"/>
    <s v="MGF"/>
    <m/>
    <x v="3"/>
    <m/>
    <m/>
    <s v="on track"/>
    <n v="2"/>
    <s v="Manuel Walther"/>
    <s v="RECALC_0_77_"/>
    <x v="2"/>
  </r>
  <r>
    <x v="5"/>
    <s v="open"/>
    <x v="2"/>
    <s v="CLFF_1000$$$DE20538183"/>
    <s v="G000000513"/>
    <s v="G000000988"/>
    <s v="LFF (MDG-F)"/>
    <s v="DE20538183"/>
    <s v="Changes were saved for change request 25526501"/>
    <s v="MGF"/>
    <m/>
    <x v="3"/>
    <m/>
    <m/>
    <s v="on track"/>
    <n v="2"/>
    <s v="Manuel Walther"/>
    <s v="RECALC_0_21_"/>
    <x v="2"/>
  </r>
  <r>
    <x v="5"/>
    <s v="open"/>
    <x v="2"/>
    <s v="CLFF_1000$$$DE20538187"/>
    <s v="G000000468"/>
    <s v="G000000988"/>
    <s v="LFF (MDG-F)"/>
    <s v="DE20538187"/>
    <s v="Changes were saved for change request 25526501"/>
    <s v="MGF"/>
    <m/>
    <x v="3"/>
    <m/>
    <m/>
    <s v="on track"/>
    <n v="2"/>
    <s v="Manuel Walther"/>
    <s v="RECALC_0_2_"/>
    <x v="2"/>
  </r>
  <r>
    <x v="5"/>
    <s v="open"/>
    <x v="2"/>
    <s v="CLFF_1000$$$DE20538188"/>
    <s v="G000000513"/>
    <s v="G000000988"/>
    <s v="LFF (MDG-F)"/>
    <s v="DE20538188"/>
    <s v="Changes were saved for change request 25526501"/>
    <s v="MGF"/>
    <m/>
    <x v="3"/>
    <m/>
    <m/>
    <s v="on track"/>
    <n v="2"/>
    <s v="Manuel Walther"/>
    <s v="RECALC_0_266_"/>
    <x v="2"/>
  </r>
  <r>
    <x v="5"/>
    <s v="open"/>
    <x v="2"/>
    <s v="CLFF_1000$$$DE20538189"/>
    <s v="G000000513"/>
    <s v="G000000988"/>
    <s v="LFF (MDG-F)"/>
    <s v="DE20538189"/>
    <s v="Changes were saved for change request 25526501"/>
    <s v="MGF"/>
    <m/>
    <x v="3"/>
    <m/>
    <m/>
    <s v="on track"/>
    <n v="2"/>
    <s v="Manuel Walther"/>
    <s v="RECALC_0_242_"/>
    <x v="2"/>
  </r>
  <r>
    <x v="5"/>
    <s v="open"/>
    <x v="2"/>
    <s v="CLFF_1000$$$DE20538196"/>
    <s v="G000000513"/>
    <s v="G000000990"/>
    <s v="LFF (MDG-F)"/>
    <s v="DE20538196"/>
    <s v="Changes were saved for change request 25526501"/>
    <s v="MGF"/>
    <m/>
    <x v="3"/>
    <m/>
    <m/>
    <s v="on track"/>
    <n v="2"/>
    <s v="Manuel Walther"/>
    <s v="RECALC_0_189_"/>
    <x v="2"/>
  </r>
  <r>
    <x v="5"/>
    <s v="open"/>
    <x v="2"/>
    <s v="CLFF_1000$$$DE20538236"/>
    <s v="G000000446"/>
    <s v="G000000975"/>
    <s v="LFF (MDG-F)"/>
    <s v="DE20538236"/>
    <s v="Changes were saved for change request 25526501"/>
    <s v="MGF"/>
    <m/>
    <x v="3"/>
    <m/>
    <m/>
    <s v="on track"/>
    <n v="2"/>
    <s v="Manuel Walther"/>
    <s v="RECALC_0_132_"/>
    <x v="2"/>
  </r>
  <r>
    <x v="5"/>
    <s v="open"/>
    <x v="2"/>
    <s v="CLFF_1000$$$DE20538470"/>
    <s v="G000000513"/>
    <s v="G000000988"/>
    <s v="LFF (MDG-F)"/>
    <s v="DE20538470"/>
    <s v="Changes were saved for change request 25526501"/>
    <s v="MGF"/>
    <m/>
    <x v="3"/>
    <m/>
    <m/>
    <s v="on track"/>
    <n v="2"/>
    <s v="Manuel Walther"/>
    <s v="RECALC_0_106_"/>
    <x v="2"/>
  </r>
  <r>
    <x v="5"/>
    <s v="open"/>
    <x v="2"/>
    <s v="CLFF_1000$$$DE20538472"/>
    <s v="G000000468"/>
    <s v="G000000988"/>
    <s v="LFF (MDG-F)"/>
    <s v="DE20538472"/>
    <s v="Changes were saved for change request 25526501"/>
    <s v="MGF"/>
    <m/>
    <x v="3"/>
    <m/>
    <m/>
    <s v="on track"/>
    <n v="2"/>
    <s v="Manuel Walther"/>
    <s v="RECALC_0_76_"/>
    <x v="2"/>
  </r>
  <r>
    <x v="5"/>
    <s v="open"/>
    <x v="2"/>
    <s v="CLFF_1000$$$DE20538473"/>
    <s v="G000000468"/>
    <s v="G000000988"/>
    <s v="LFF (MDG-F)"/>
    <s v="DE20538473"/>
    <s v="Changes were saved for change request 25526501"/>
    <s v="MGF"/>
    <m/>
    <x v="3"/>
    <m/>
    <m/>
    <s v="on track"/>
    <n v="2"/>
    <s v="Manuel Walther"/>
    <s v="RECALC_0_49_"/>
    <x v="2"/>
  </r>
  <r>
    <x v="5"/>
    <s v="open"/>
    <x v="2"/>
    <s v="CLFF_1000$$$DE20538762"/>
    <s v="G000000513"/>
    <s v="G000000990"/>
    <s v="LFF (MDG-F)"/>
    <s v="DE20538762"/>
    <s v="Changes were saved for change request 25526501"/>
    <s v="MGF"/>
    <m/>
    <x v="3"/>
    <m/>
    <m/>
    <s v="on track"/>
    <n v="2"/>
    <s v="Manuel Walther"/>
    <s v="RECALC_0_20_"/>
    <x v="2"/>
  </r>
  <r>
    <x v="5"/>
    <s v="open"/>
    <x v="2"/>
    <s v="CLFF_1000$$$DE20538961"/>
    <s v="G000000513"/>
    <s v="G000000988"/>
    <s v="LFF (MDG-F)"/>
    <s v="DE20538961"/>
    <s v="Changes were saved for change request 25526501"/>
    <s v="MGF"/>
    <m/>
    <x v="3"/>
    <m/>
    <m/>
    <s v="on track"/>
    <n v="2"/>
    <s v="Manuel Walther"/>
    <s v="RECALC_0_265_"/>
    <x v="2"/>
  </r>
  <r>
    <x v="5"/>
    <s v="open"/>
    <x v="2"/>
    <s v="CLFF_1000$$$DE20538962"/>
    <s v="G000000513"/>
    <s v="G000000988"/>
    <s v="LFF (MDG-F)"/>
    <s v="DE20538962"/>
    <s v="Changes were saved for change request 25526501"/>
    <s v="MGF"/>
    <m/>
    <x v="3"/>
    <m/>
    <m/>
    <s v="on track"/>
    <n v="2"/>
    <s v="Manuel Walther"/>
    <s v="RECALC_0_219_"/>
    <x v="2"/>
  </r>
  <r>
    <x v="5"/>
    <s v="open"/>
    <x v="2"/>
    <s v="CLFF_1000$$$DE20538963"/>
    <s v="G000000446"/>
    <s v="G000000975"/>
    <s v="LFF (MDG-F)"/>
    <s v="DE20538963"/>
    <s v="Changes were saved for change request 25526501"/>
    <s v="MGF"/>
    <m/>
    <x v="3"/>
    <m/>
    <m/>
    <s v="on track"/>
    <n v="2"/>
    <s v="Manuel Walther"/>
    <s v="RECALC_0_161_"/>
    <x v="2"/>
  </r>
  <r>
    <x v="5"/>
    <s v="open"/>
    <x v="2"/>
    <s v="CLFF_1000$$$DE20538964"/>
    <s v="G000000446"/>
    <s v="G000000975"/>
    <s v="LFF (MDG-F)"/>
    <s v="DE20538964"/>
    <s v="Changes were saved for change request 25526501"/>
    <s v="MGF"/>
    <m/>
    <x v="3"/>
    <m/>
    <m/>
    <s v="on track"/>
    <n v="2"/>
    <s v="Manuel Walther"/>
    <s v="RECALC_0_131_"/>
    <x v="2"/>
  </r>
  <r>
    <x v="5"/>
    <s v="open"/>
    <x v="2"/>
    <s v="CLFF_1000$$$DE20538965"/>
    <s v="G000000446"/>
    <s v="G000000975"/>
    <s v="LFF (MDG-F)"/>
    <s v="DE20538965"/>
    <s v="Changes were saved for change request 25526501"/>
    <s v="MGF"/>
    <m/>
    <x v="3"/>
    <m/>
    <m/>
    <s v="on track"/>
    <n v="2"/>
    <s v="Manuel Walther"/>
    <s v="RECALC_0_204_"/>
    <x v="2"/>
  </r>
  <r>
    <x v="5"/>
    <s v="open"/>
    <x v="2"/>
    <s v="CLFF_1000$$$DE20538966"/>
    <s v="G000000446"/>
    <s v="G000000975"/>
    <s v="LFF (MDG-F)"/>
    <s v="DE20538966"/>
    <s v="Changes were saved for change request 25526501"/>
    <s v="MGF"/>
    <m/>
    <x v="3"/>
    <m/>
    <m/>
    <s v="on track"/>
    <n v="2"/>
    <s v="Manuel Walther"/>
    <s v="RECALC_0_105_"/>
    <x v="2"/>
  </r>
  <r>
    <x v="5"/>
    <s v="open"/>
    <x v="2"/>
    <s v="CLFF_1000$$$DE20538967"/>
    <s v="G000000446"/>
    <s v="G000000975"/>
    <s v="LFF (MDG-F)"/>
    <s v="DE20538967"/>
    <s v="Changes were saved for change request 25526501"/>
    <s v="MGF"/>
    <m/>
    <x v="3"/>
    <m/>
    <m/>
    <s v="on track"/>
    <n v="2"/>
    <s v="Manuel Walther"/>
    <s v="RECALC_0_48_"/>
    <x v="2"/>
  </r>
  <r>
    <x v="5"/>
    <s v="open"/>
    <x v="2"/>
    <s v="CLFF_1000$$$DE20538968"/>
    <s v="G000000446"/>
    <s v="G000000975"/>
    <s v="LFF (MDG-F)"/>
    <s v="DE20538968"/>
    <s v="Changes were saved for change request 25526501"/>
    <s v="MGF"/>
    <m/>
    <x v="3"/>
    <m/>
    <m/>
    <s v="on track"/>
    <n v="2"/>
    <s v="Manuel Walther"/>
    <s v="RECALC_0_15_"/>
    <x v="2"/>
  </r>
  <r>
    <x v="5"/>
    <s v="open"/>
    <x v="2"/>
    <s v="CLFF_1000$$$DE20538969"/>
    <s v="G000000446"/>
    <s v="G000000975"/>
    <s v="LFF (MDG-F)"/>
    <s v="DE20538969"/>
    <s v="Changes were saved for change request 25526501"/>
    <s v="MGF"/>
    <m/>
    <x v="3"/>
    <m/>
    <m/>
    <s v="on track"/>
    <n v="2"/>
    <s v="Manuel Walther"/>
    <s v="RECALC_0_241_"/>
    <x v="2"/>
  </r>
  <r>
    <x v="5"/>
    <s v="open"/>
    <x v="2"/>
    <s v="CLFF_1000$$$DE20538970"/>
    <s v="G000000446"/>
    <s v="G000000975"/>
    <s v="LFF (MDG-F)"/>
    <s v="DE20538970"/>
    <s v="Changes were saved for change request 25526501"/>
    <s v="MGF"/>
    <m/>
    <x v="3"/>
    <m/>
    <m/>
    <s v="on track"/>
    <n v="2"/>
    <s v="Manuel Walther"/>
    <s v="RECALC_0_218_"/>
    <x v="2"/>
  </r>
  <r>
    <x v="5"/>
    <s v="open"/>
    <x v="2"/>
    <s v="CLFF_1000$$$DE20538971"/>
    <s v="G000000446"/>
    <s v="G000000975"/>
    <s v="LFF (MDG-F)"/>
    <s v="DE20538971"/>
    <s v="Changes were saved for change request 25526501"/>
    <s v="MGF"/>
    <m/>
    <x v="3"/>
    <m/>
    <m/>
    <s v="on track"/>
    <n v="2"/>
    <s v="Manuel Walther"/>
    <s v="RECALC_0_188_"/>
    <x v="2"/>
  </r>
  <r>
    <x v="5"/>
    <s v="open"/>
    <x v="2"/>
    <s v="CLFF_1000$$$DE20538972"/>
    <s v="G000000446"/>
    <s v="G000000975"/>
    <s v="LFF (MDG-F)"/>
    <s v="DE20538972"/>
    <s v="Changes were saved for change request 25526501"/>
    <s v="MGF"/>
    <m/>
    <x v="3"/>
    <m/>
    <m/>
    <s v="on track"/>
    <n v="2"/>
    <s v="Manuel Walther"/>
    <s v="RECALC_0_160_"/>
    <x v="2"/>
  </r>
  <r>
    <x v="5"/>
    <s v="open"/>
    <x v="2"/>
    <s v="CLFF_1000$$$DE20538973"/>
    <s v="G000000446"/>
    <s v="G000000975"/>
    <s v="LFF (MDG-F)"/>
    <s v="DE20538973"/>
    <s v="Changes were saved for change request 25526501"/>
    <s v="MGF"/>
    <m/>
    <x v="3"/>
    <m/>
    <m/>
    <s v="on track"/>
    <n v="2"/>
    <s v="Manuel Walther"/>
    <s v="RECALC_0_144_"/>
    <x v="2"/>
  </r>
  <r>
    <x v="5"/>
    <s v="open"/>
    <x v="2"/>
    <s v="CLFF_1000$$$DE20538974"/>
    <s v="G000000446"/>
    <s v="G000000975"/>
    <s v="LFF (MDG-F)"/>
    <s v="DE20538974"/>
    <s v="Changes were saved for change request 25526501"/>
    <s v="MGF"/>
    <m/>
    <x v="3"/>
    <m/>
    <m/>
    <s v="on track"/>
    <n v="2"/>
    <s v="Manuel Walther"/>
    <s v="RECALC_0_75_"/>
    <x v="2"/>
  </r>
  <r>
    <x v="5"/>
    <s v="open"/>
    <x v="2"/>
    <s v="CLFF_1000$$$DE20538975"/>
    <s v="G000000446"/>
    <s v="G000000975"/>
    <s v="LFF (MDG-F)"/>
    <s v="DE20538975"/>
    <s v="Changes were saved for change request 25526501"/>
    <s v="MGF"/>
    <m/>
    <x v="3"/>
    <m/>
    <m/>
    <s v="on track"/>
    <n v="2"/>
    <s v="Manuel Walther"/>
    <s v="RECALC_0_19_"/>
    <x v="2"/>
  </r>
  <r>
    <x v="5"/>
    <s v="open"/>
    <x v="2"/>
    <s v="CLFF_1000$$$DE20538977"/>
    <s v="G000000446"/>
    <s v="G000000975"/>
    <s v="LFF (MDG-F)"/>
    <s v="DE20538977"/>
    <s v="Changes were saved for change request 25526501"/>
    <s v="MGF"/>
    <m/>
    <x v="3"/>
    <m/>
    <m/>
    <s v="on track"/>
    <n v="2"/>
    <s v="Manuel Walther"/>
    <s v="RECALC_0_61_"/>
    <x v="2"/>
  </r>
  <r>
    <x v="5"/>
    <s v="open"/>
    <x v="2"/>
    <s v="CLFF_1000$$$DE20538979"/>
    <s v="G000000513"/>
    <s v="G000000989"/>
    <s v="LFF (MDG-F)"/>
    <s v="DE20538979"/>
    <s v="Changes were saved for change request 25526501"/>
    <s v="MGF"/>
    <m/>
    <x v="3"/>
    <m/>
    <m/>
    <s v="on track"/>
    <n v="2"/>
    <s v="Manuel Walther"/>
    <s v="RECALC_0_264_"/>
    <x v="2"/>
  </r>
  <r>
    <x v="5"/>
    <s v="open"/>
    <x v="2"/>
    <s v="CLFF_1000$$$DE20538980"/>
    <s v="G000000513"/>
    <s v="G000000990"/>
    <s v="LFF (MDG-F)"/>
    <s v="DE20538980"/>
    <s v="Changes were saved for change request 25526501"/>
    <s v="MGF"/>
    <m/>
    <x v="3"/>
    <m/>
    <m/>
    <s v="on track"/>
    <n v="2"/>
    <s v="Manuel Walther"/>
    <s v="RECALC_0_254_"/>
    <x v="2"/>
  </r>
  <r>
    <x v="5"/>
    <s v="open"/>
    <x v="2"/>
    <s v="CLFF_1000$$$DE20538982"/>
    <s v="G000000513"/>
    <s v="G000000988"/>
    <s v="LFF (MDG-F)"/>
    <s v="DE20538982"/>
    <s v="Changes were saved for change request 25526501"/>
    <s v="MGF"/>
    <m/>
    <x v="3"/>
    <m/>
    <m/>
    <s v="on track"/>
    <n v="2"/>
    <s v="Manuel Walther"/>
    <s v="RECALC_0_187_"/>
    <x v="2"/>
  </r>
  <r>
    <x v="5"/>
    <s v="open"/>
    <x v="2"/>
    <s v="CLFF_1000$$$DE20538984"/>
    <s v="G000000446"/>
    <s v="G000000975"/>
    <s v="LFF (MDG-F)"/>
    <s v="DE20538984"/>
    <s v="Changes were saved for change request 25526501"/>
    <s v="MGF"/>
    <m/>
    <x v="3"/>
    <m/>
    <m/>
    <s v="on track"/>
    <n v="2"/>
    <s v="Manuel Walther"/>
    <s v="RECALC_0_130_"/>
    <x v="2"/>
  </r>
  <r>
    <x v="5"/>
    <s v="open"/>
    <x v="2"/>
    <s v="CLFF_1000$$$DE20538985"/>
    <s v="G000000446"/>
    <s v="G000000975"/>
    <s v="LFF (MDG-F)"/>
    <s v="DE20538985"/>
    <s v="Changes were saved for change request 25526501"/>
    <s v="MGF"/>
    <m/>
    <x v="3"/>
    <m/>
    <m/>
    <s v="on track"/>
    <n v="2"/>
    <s v="Manuel Walther"/>
    <s v="RECALC_0_104_"/>
    <x v="2"/>
  </r>
  <r>
    <x v="5"/>
    <s v="open"/>
    <x v="2"/>
    <s v="CLFF_1000$$$DE20538994"/>
    <s v="G000000446"/>
    <s v="G000000975"/>
    <s v="LFF (MDG-F)"/>
    <s v="DE20538994"/>
    <s v="Changes were saved for change request 25526501"/>
    <s v="MGF"/>
    <m/>
    <x v="3"/>
    <m/>
    <m/>
    <s v="on track"/>
    <n v="2"/>
    <s v="Manuel Walther"/>
    <s v="RECALC_0_74_"/>
    <x v="2"/>
  </r>
  <r>
    <x v="5"/>
    <s v="open"/>
    <x v="2"/>
    <s v="CLFF_1000$$$DE20539930"/>
    <s v="G000000446"/>
    <s v="G000000975"/>
    <s v="LFF (MDG-F)"/>
    <s v="DE20539930"/>
    <s v="Changes were saved for change request 25526501"/>
    <s v="MGF"/>
    <m/>
    <x v="3"/>
    <m/>
    <m/>
    <s v="on track"/>
    <n v="2"/>
    <s v="Manuel Walther"/>
    <s v="RECALC_0_47_"/>
    <x v="2"/>
  </r>
  <r>
    <x v="5"/>
    <s v="open"/>
    <x v="2"/>
    <s v="CLFF_1000$$$DE20539931"/>
    <s v="G000000446"/>
    <s v="G000000975"/>
    <s v="LFF (MDG-F)"/>
    <s v="DE20539931"/>
    <s v="Changes were saved for change request 25526501"/>
    <s v="MGF"/>
    <m/>
    <x v="3"/>
    <m/>
    <m/>
    <s v="on track"/>
    <n v="2"/>
    <s v="Manuel Walther"/>
    <s v="RECALC_0_37_"/>
    <x v="2"/>
  </r>
  <r>
    <x v="5"/>
    <s v="open"/>
    <x v="2"/>
    <s v="CLFF_1000$$$DE20539932"/>
    <s v="G000000446"/>
    <s v="G000000975"/>
    <s v="LFF (MDG-F)"/>
    <s v="DE20539932"/>
    <s v="Changes were saved for change request 25526501"/>
    <s v="MGF"/>
    <m/>
    <x v="3"/>
    <m/>
    <m/>
    <s v="on track"/>
    <n v="2"/>
    <s v="Manuel Walther"/>
    <s v="RECALC_0_263_"/>
    <x v="2"/>
  </r>
  <r>
    <x v="5"/>
    <s v="open"/>
    <x v="2"/>
    <s v="CLFF_1000$$$DE20539934"/>
    <s v="G000000446"/>
    <s v="G000000975"/>
    <s v="LFF (MDG-F)"/>
    <s v="DE20539934"/>
    <s v="Changes were saved for change request 25526501"/>
    <s v="MGF"/>
    <m/>
    <x v="3"/>
    <m/>
    <m/>
    <s v="on track"/>
    <n v="2"/>
    <s v="Manuel Walther"/>
    <s v="RECALC_0_217_"/>
    <x v="2"/>
  </r>
  <r>
    <x v="5"/>
    <s v="open"/>
    <x v="2"/>
    <s v="CLFF_1000$$$DE20539935"/>
    <s v="G000000446"/>
    <s v="G000000975"/>
    <s v="LFF (MDG-F)"/>
    <s v="DE20539935"/>
    <s v="Changes were saved for change request 25526501"/>
    <s v="MGF"/>
    <m/>
    <x v="3"/>
    <m/>
    <m/>
    <s v="on track"/>
    <n v="2"/>
    <s v="Manuel Walther"/>
    <s v="RECALC_0_159_"/>
    <x v="2"/>
  </r>
  <r>
    <x v="5"/>
    <s v="open"/>
    <x v="2"/>
    <s v="CLFF_1000$$$DE20539936"/>
    <s v="G000000446"/>
    <s v="G000000975"/>
    <s v="LFF (MDG-F)"/>
    <s v="DE20539936"/>
    <s v="Changes were saved for change request 25526501"/>
    <s v="MGF"/>
    <m/>
    <x v="3"/>
    <m/>
    <m/>
    <s v="on track"/>
    <n v="2"/>
    <s v="Manuel Walther"/>
    <s v="RECALC_0_129_"/>
    <x v="2"/>
  </r>
  <r>
    <x v="5"/>
    <s v="open"/>
    <x v="2"/>
    <s v="CLFF_1000$$$DE20539937"/>
    <s v="G000000446"/>
    <s v="G000000975"/>
    <s v="LFF (MDG-F)"/>
    <s v="DE20539937"/>
    <s v="Changes were saved for change request 25526501"/>
    <s v="MGF"/>
    <m/>
    <x v="3"/>
    <m/>
    <m/>
    <s v="on track"/>
    <n v="2"/>
    <s v="Manuel Walther"/>
    <s v="RECALC_0_175_"/>
    <x v="2"/>
  </r>
  <r>
    <x v="5"/>
    <s v="open"/>
    <x v="2"/>
    <s v="CLFF_1000$$$DE20539938"/>
    <s v="G000000446"/>
    <s v="G000000975"/>
    <s v="LFF (MDG-F)"/>
    <s v="DE20539938"/>
    <s v="Changes were saved for change request 25526501"/>
    <s v="MGF"/>
    <m/>
    <x v="3"/>
    <m/>
    <m/>
    <s v="on track"/>
    <n v="2"/>
    <s v="Manuel Walther"/>
    <s v="RECALC_0_103_"/>
    <x v="2"/>
  </r>
  <r>
    <x v="5"/>
    <s v="open"/>
    <x v="2"/>
    <s v="CLFF_1000$$$DE20539939"/>
    <s v="G000000446"/>
    <s v="G000000975"/>
    <s v="LFF (MDG-F)"/>
    <s v="DE20539939"/>
    <s v="Changes were saved for change request 25526501"/>
    <s v="MGF"/>
    <m/>
    <x v="3"/>
    <m/>
    <m/>
    <s v="on track"/>
    <n v="2"/>
    <s v="Manuel Walther"/>
    <s v="RECALC_0_46_"/>
    <x v="2"/>
  </r>
  <r>
    <x v="5"/>
    <s v="open"/>
    <x v="2"/>
    <s v="CLFF_1000$$$DE20539940"/>
    <s v="G000000446"/>
    <s v="G000000975"/>
    <s v="LFF (MDG-F)"/>
    <s v="DE20539940"/>
    <s v="Changes were saved for change request 25526501"/>
    <s v="MGF"/>
    <m/>
    <x v="3"/>
    <m/>
    <m/>
    <s v="on track"/>
    <n v="2"/>
    <s v="Manuel Walther"/>
    <s v="RECALC_0_14_"/>
    <x v="2"/>
  </r>
  <r>
    <x v="5"/>
    <s v="open"/>
    <x v="2"/>
    <s v="CLFF_1000$$$DE20539941"/>
    <s v="G000000446"/>
    <s v="G000000975"/>
    <s v="LFF (MDG-F)"/>
    <s v="DE20539941"/>
    <s v="Changes were saved for change request 25526501"/>
    <s v="MGF"/>
    <m/>
    <x v="3"/>
    <m/>
    <m/>
    <s v="on track"/>
    <n v="2"/>
    <s v="Manuel Walther"/>
    <s v="RECALC_0_253_"/>
    <x v="2"/>
  </r>
  <r>
    <x v="5"/>
    <s v="open"/>
    <x v="2"/>
    <s v="CLFF_1000$$$DE20539942"/>
    <s v="G000000446"/>
    <s v="G000000975"/>
    <s v="LFF (MDG-F)"/>
    <s v="DE20539942"/>
    <s v="Changes were saved for change request 25526501"/>
    <s v="MGF"/>
    <m/>
    <x v="3"/>
    <m/>
    <m/>
    <s v="on track"/>
    <n v="2"/>
    <s v="Manuel Walther"/>
    <s v="RECALC_0_216_"/>
    <x v="2"/>
  </r>
  <r>
    <x v="5"/>
    <s v="open"/>
    <x v="2"/>
    <s v="CLFF_1000$$$DE20539943"/>
    <s v="G000000446"/>
    <s v="G000000975"/>
    <s v="LFF (MDG-F)"/>
    <s v="DE20539943"/>
    <s v="Changes were saved for change request 25526501"/>
    <s v="MGF"/>
    <m/>
    <x v="3"/>
    <m/>
    <m/>
    <s v="on track"/>
    <n v="2"/>
    <s v="Manuel Walther"/>
    <s v="RECALC_0_186_"/>
    <x v="2"/>
  </r>
  <r>
    <x v="5"/>
    <s v="open"/>
    <x v="2"/>
    <s v="CLFF_1000$$$DE20539944"/>
    <s v="G000000446"/>
    <s v="G000000975"/>
    <s v="LFF (MDG-F)"/>
    <s v="DE20539944"/>
    <s v="Changes were saved for change request 25526501"/>
    <s v="MGF"/>
    <m/>
    <x v="3"/>
    <m/>
    <m/>
    <s v="on track"/>
    <n v="2"/>
    <s v="Manuel Walther"/>
    <s v="RECALC_0_158_"/>
    <x v="2"/>
  </r>
  <r>
    <x v="5"/>
    <s v="open"/>
    <x v="2"/>
    <s v="CLFF_1000$$$DE20539995"/>
    <s v="G000000446"/>
    <s v="G000000975"/>
    <s v="LFF (MDG-F)"/>
    <s v="DE20539995"/>
    <s v="Changes were saved for change request 25526501"/>
    <s v="MGF"/>
    <m/>
    <x v="3"/>
    <m/>
    <m/>
    <s v="on track"/>
    <n v="2"/>
    <s v="Manuel Walther"/>
    <s v="RECALC_0_203_"/>
    <x v="2"/>
  </r>
  <r>
    <x v="5"/>
    <s v="open"/>
    <x v="2"/>
    <s v="CLFF_1000$$$DE20538103"/>
    <s v="G000000417"/>
    <s v="G000000979"/>
    <s v="LFF (MDG-F)"/>
    <s v="DE20538103"/>
    <s v="Changes were saved for change request 25526501"/>
    <s v="MGF"/>
    <m/>
    <x v="3"/>
    <m/>
    <m/>
    <s v="on track"/>
    <n v="2"/>
    <s v="Manuel Walther"/>
    <s v="RECALC_0_73_"/>
    <x v="2"/>
  </r>
  <r>
    <x v="5"/>
    <s v="open"/>
    <x v="2"/>
    <s v="CLFF_1000$$$DE20538108"/>
    <s v="G000000512"/>
    <s v="G000000980"/>
    <s v="LFF (MDG-F)"/>
    <s v="DE20538108"/>
    <s v="Changes were saved for change request 25526501"/>
    <s v="MGF"/>
    <m/>
    <x v="3"/>
    <m/>
    <m/>
    <s v="on track"/>
    <n v="2"/>
    <s v="Manuel Walther"/>
    <s v="RECALC_0_18_"/>
    <x v="2"/>
  </r>
  <r>
    <x v="5"/>
    <s v="open"/>
    <x v="2"/>
    <s v="CLFF_1000$$$DE20538110"/>
    <s v="G000000417"/>
    <s v="G000000965"/>
    <s v="LFF (MDG-F)"/>
    <s v="DE20538110"/>
    <s v="Changes were saved for change request 25526501"/>
    <s v="MGF"/>
    <m/>
    <x v="3"/>
    <m/>
    <m/>
    <s v="on track"/>
    <n v="2"/>
    <s v="Manuel Walther"/>
    <s v="RECALC_0_1_"/>
    <x v="2"/>
  </r>
  <r>
    <x v="5"/>
    <s v="open"/>
    <x v="2"/>
    <s v="CLFF_1000$$$DE20538111"/>
    <s v="G000000511"/>
    <s v="G000000964"/>
    <s v="LFF (MDG-F)"/>
    <s v="DE20538111"/>
    <s v="Changes were saved for change request 25526501"/>
    <s v="MGF"/>
    <m/>
    <x v="3"/>
    <m/>
    <m/>
    <s v="on track"/>
    <n v="2"/>
    <s v="Manuel Walther"/>
    <s v="RECALC_0_262_"/>
    <x v="2"/>
  </r>
  <r>
    <x v="5"/>
    <s v="open"/>
    <x v="2"/>
    <s v="CLFF_1000$$$DE20538112"/>
    <s v="G000000417"/>
    <s v="G000000964"/>
    <s v="LFF (MDG-F)"/>
    <s v="DE20538112"/>
    <s v="Changes were saved for change request 25526501"/>
    <s v="MGF"/>
    <m/>
    <x v="3"/>
    <m/>
    <m/>
    <s v="on track"/>
    <n v="2"/>
    <s v="Manuel Walther"/>
    <s v="RECALC_0_252_"/>
    <x v="2"/>
  </r>
  <r>
    <x v="5"/>
    <s v="open"/>
    <x v="2"/>
    <s v="CLFF_1000$$$DE20538113"/>
    <s v="G000000417"/>
    <s v="G000000964"/>
    <s v="LFF (MDG-F)"/>
    <s v="DE20538113"/>
    <s v="Changes were saved for change request 25526501"/>
    <s v="MGF"/>
    <m/>
    <x v="3"/>
    <m/>
    <m/>
    <s v="on track"/>
    <n v="2"/>
    <s v="Manuel Walther"/>
    <s v="RECALC_0_185_"/>
    <x v="2"/>
  </r>
  <r>
    <x v="5"/>
    <s v="open"/>
    <x v="2"/>
    <s v="CLFF_1000$$$DE20538114"/>
    <s v="G000000417"/>
    <s v="G000000961"/>
    <s v="LFF (MDG-F)"/>
    <s v="DE20538114"/>
    <s v="Changes were saved for change request 25526501"/>
    <s v="MGF"/>
    <m/>
    <x v="3"/>
    <m/>
    <m/>
    <s v="on track"/>
    <n v="2"/>
    <s v="Manuel Walther"/>
    <s v="RECALC_0_149_"/>
    <x v="2"/>
  </r>
  <r>
    <x v="5"/>
    <s v="open"/>
    <x v="2"/>
    <s v="CLFF_1000$$$DE20538115"/>
    <s v="G000000511"/>
    <s v="G000000978"/>
    <s v="LFF (MDG-F)"/>
    <s v="DE20538115"/>
    <s v="Changes were saved for change request 25526501"/>
    <s v="MGF"/>
    <m/>
    <x v="3"/>
    <m/>
    <m/>
    <s v="on track"/>
    <n v="2"/>
    <s v="Manuel Walther"/>
    <s v="RECALC_0_102_"/>
    <x v="2"/>
  </r>
  <r>
    <x v="5"/>
    <s v="open"/>
    <x v="2"/>
    <s v="CLFF_1000$$$DE20538117"/>
    <s v="G000000512"/>
    <s v="G000000978"/>
    <s v="LFF (MDG-F)"/>
    <s v="DE20538117"/>
    <s v="Changes were saved for change request 25526501"/>
    <s v="MGF"/>
    <m/>
    <x v="3"/>
    <m/>
    <m/>
    <s v="on track"/>
    <n v="2"/>
    <s v="Manuel Walther"/>
    <s v="RECALC_0_72_"/>
    <x v="2"/>
  </r>
  <r>
    <x v="5"/>
    <s v="open"/>
    <x v="2"/>
    <s v="CLFF_1000$$$DE20538119"/>
    <s v="G000000417"/>
    <s v="G000000964"/>
    <s v="LFF (MDG-F)"/>
    <s v="DE20538119"/>
    <s v="Changes were saved for change request 25526501"/>
    <s v="MGF"/>
    <m/>
    <x v="3"/>
    <m/>
    <m/>
    <s v="on track"/>
    <n v="2"/>
    <s v="Manuel Walther"/>
    <s v="RECALC_0_45_"/>
    <x v="2"/>
  </r>
  <r>
    <x v="5"/>
    <s v="open"/>
    <x v="2"/>
    <s v="CLFF_1000$$$DE20538120"/>
    <s v="G000000417"/>
    <s v="G000000964"/>
    <s v="LFF (MDG-F)"/>
    <s v="DE20538120"/>
    <s v="Changes were saved for change request 25526501"/>
    <s v="MGF"/>
    <m/>
    <x v="3"/>
    <m/>
    <m/>
    <s v="on track"/>
    <n v="2"/>
    <s v="Manuel Walther"/>
    <s v="RECALC_0_36_"/>
    <x v="2"/>
  </r>
  <r>
    <x v="5"/>
    <s v="open"/>
    <x v="2"/>
    <s v="CLFF_1000$$$DE20538121"/>
    <s v="G000000417"/>
    <s v="G000000965"/>
    <s v="LFF (MDG-F)"/>
    <s v="DE20538121"/>
    <s v="Changes were saved for change request 25526501"/>
    <s v="MGF"/>
    <m/>
    <x v="3"/>
    <m/>
    <m/>
    <s v="on track"/>
    <n v="2"/>
    <s v="Manuel Walther"/>
    <s v="RECALC_0_261_"/>
    <x v="2"/>
  </r>
  <r>
    <x v="5"/>
    <s v="open"/>
    <x v="2"/>
    <s v="CLFF_1000$$$DE20538122"/>
    <s v="G000000417"/>
    <s v="G000000964"/>
    <s v="LFF (MDG-F)"/>
    <s v="DE20538122"/>
    <s v="Changes were saved for change request 25526501"/>
    <s v="MGF"/>
    <m/>
    <x v="3"/>
    <m/>
    <m/>
    <s v="on track"/>
    <n v="2"/>
    <s v="Manuel Walther"/>
    <s v="RECALC_0_215_"/>
    <x v="2"/>
  </r>
  <r>
    <x v="5"/>
    <s v="open"/>
    <x v="2"/>
    <s v="CLFF_1000$$$DE20538124"/>
    <s v="G000000417"/>
    <s v="G000000968"/>
    <s v="LFF (MDG-F)"/>
    <s v="DE20538124"/>
    <s v="Changes were saved for change request 25526501"/>
    <s v="MGF"/>
    <m/>
    <x v="3"/>
    <m/>
    <m/>
    <s v="on track"/>
    <n v="2"/>
    <s v="Manuel Walther"/>
    <s v="RECALC_0_157_"/>
    <x v="2"/>
  </r>
  <r>
    <x v="5"/>
    <s v="open"/>
    <x v="2"/>
    <s v="CLFF_1000$$$DE20538129"/>
    <s v="G000000417"/>
    <s v="G000000965"/>
    <s v="LFF (MDG-F)"/>
    <s v="DE20538129"/>
    <s v="Changes were saved for change request 25526501"/>
    <s v="MGF"/>
    <m/>
    <x v="3"/>
    <m/>
    <m/>
    <s v="on track"/>
    <n v="2"/>
    <s v="Manuel Walther"/>
    <s v="RECALC_0_128_"/>
    <x v="2"/>
  </r>
  <r>
    <x v="5"/>
    <s v="open"/>
    <x v="2"/>
    <s v="CLFF_1000$$$DE20538130"/>
    <s v="G000000417"/>
    <s v="G000000969"/>
    <s v="LFF (MDG-F)"/>
    <s v="DE20538130"/>
    <s v="Changes were saved for change request 25526501"/>
    <s v="MGF"/>
    <m/>
    <x v="3"/>
    <m/>
    <m/>
    <s v="on track"/>
    <n v="2"/>
    <s v="Manuel Walther"/>
    <s v="RECALC_0_143_"/>
    <x v="2"/>
  </r>
  <r>
    <x v="5"/>
    <s v="open"/>
    <x v="2"/>
    <s v="CLFF_1000$$$DE20538131"/>
    <s v="G000000417"/>
    <s v="G000000969"/>
    <s v="LFF (MDG-F)"/>
    <s v="DE20538131"/>
    <s v="Changes were saved for change request 25526501"/>
    <s v="MGF"/>
    <m/>
    <x v="3"/>
    <m/>
    <m/>
    <s v="on track"/>
    <n v="2"/>
    <s v="Manuel Walther"/>
    <s v="RECALC_0_101_"/>
    <x v="2"/>
  </r>
  <r>
    <x v="5"/>
    <s v="open"/>
    <x v="2"/>
    <s v="CLFF_1000$$$DE20538133"/>
    <s v="G000000417"/>
    <s v="G000000962"/>
    <s v="LFF (MDG-F)"/>
    <s v="DE20538133"/>
    <s v="Changes were saved for change request 25526501"/>
    <s v="MGF"/>
    <m/>
    <x v="3"/>
    <m/>
    <m/>
    <s v="on track"/>
    <n v="2"/>
    <s v="Manuel Walther"/>
    <s v="RECALC_0_44_"/>
    <x v="2"/>
  </r>
  <r>
    <x v="5"/>
    <s v="open"/>
    <x v="2"/>
    <s v="CLFF_1000$$$DE20538134"/>
    <s v="G000000417"/>
    <s v="G000000962"/>
    <s v="LFF (MDG-F)"/>
    <s v="DE20538134"/>
    <s v="Changes were saved for change request 25526501"/>
    <s v="MGF"/>
    <m/>
    <x v="3"/>
    <m/>
    <m/>
    <s v="on track"/>
    <n v="2"/>
    <s v="Manuel Walther"/>
    <s v="RECALC_0_92_"/>
    <x v="2"/>
  </r>
  <r>
    <x v="5"/>
    <s v="open"/>
    <x v="2"/>
    <s v="CLFF_1000$$$DE20538135"/>
    <s v="G000000417"/>
    <s v="G000000969"/>
    <s v="LFF (MDG-F)"/>
    <s v="DE20538135"/>
    <s v="Changes were saved for change request 25526501"/>
    <s v="MGF"/>
    <m/>
    <x v="3"/>
    <m/>
    <m/>
    <s v="on track"/>
    <n v="2"/>
    <s v="Manuel Walther"/>
    <s v="RECALC_0_240_"/>
    <x v="2"/>
  </r>
  <r>
    <x v="5"/>
    <s v="open"/>
    <x v="2"/>
    <s v="CLFF_1000$$$DE20538138"/>
    <s v="G000000417"/>
    <s v="G000000969"/>
    <s v="LFF (MDG-F)"/>
    <s v="DE20538138"/>
    <s v="Changes were saved for change request 25526501"/>
    <s v="MGF"/>
    <m/>
    <x v="3"/>
    <m/>
    <m/>
    <s v="on track"/>
    <n v="2"/>
    <s v="Manuel Walther"/>
    <s v="RECALC_0_214_"/>
    <x v="2"/>
  </r>
  <r>
    <x v="5"/>
    <s v="open"/>
    <x v="2"/>
    <s v="CLFF_1000$$$DE20538139"/>
    <s v="G000000417"/>
    <s v="G000000968"/>
    <s v="LFF (MDG-F)"/>
    <s v="DE20538139"/>
    <s v="Changes were saved for change request 25526501"/>
    <s v="MGF"/>
    <m/>
    <x v="3"/>
    <m/>
    <m/>
    <s v="on track"/>
    <n v="2"/>
    <s v="Manuel Walther"/>
    <s v="RECALC_0_184_"/>
    <x v="2"/>
  </r>
  <r>
    <x v="5"/>
    <s v="open"/>
    <x v="2"/>
    <s v="CLFF_1000$$$DE20538142"/>
    <s v="G000000417"/>
    <s v="G000000965"/>
    <s v="LFF (MDG-F)"/>
    <s v="DE20538142"/>
    <s v="Changes were saved for change request 25526501"/>
    <s v="MGF"/>
    <m/>
    <x v="3"/>
    <m/>
    <m/>
    <s v="on track"/>
    <n v="2"/>
    <s v="Manuel Walther"/>
    <s v="RECALC_0_156_"/>
    <x v="2"/>
  </r>
  <r>
    <x v="5"/>
    <s v="open"/>
    <x v="2"/>
    <s v="CLFF_1000$$$DE20538144"/>
    <s v="G000000417"/>
    <s v="G000000965"/>
    <s v="LFF (MDG-F)"/>
    <s v="DE20538144"/>
    <s v="Changes were saved for change request 25526501"/>
    <s v="MGF"/>
    <m/>
    <x v="3"/>
    <m/>
    <m/>
    <s v="on track"/>
    <n v="2"/>
    <s v="Manuel Walther"/>
    <s v="RECALC_0_202_"/>
    <x v="2"/>
  </r>
  <r>
    <x v="5"/>
    <s v="open"/>
    <x v="2"/>
    <s v="CLFF_1000$$$DE20538161"/>
    <s v="G000000417"/>
    <s v="G000000965"/>
    <s v="LFF (MDG-F)"/>
    <s v="DE20538161"/>
    <s v="Changes were saved for change request 25526501"/>
    <s v="MGF"/>
    <m/>
    <x v="3"/>
    <m/>
    <m/>
    <s v="on track"/>
    <n v="2"/>
    <s v="Manuel Walther"/>
    <s v="RECALC_0_71_"/>
    <x v="2"/>
  </r>
  <r>
    <x v="5"/>
    <s v="open"/>
    <x v="2"/>
    <s v="CLFF_1000$$$DE20538174"/>
    <s v="G000000512"/>
    <s v="G000000965"/>
    <s v="LFF (MDG-F)"/>
    <s v="DE20538174"/>
    <s v="Changes were saved for change request 25526501"/>
    <s v="MGF"/>
    <m/>
    <x v="3"/>
    <m/>
    <m/>
    <s v="on track"/>
    <n v="2"/>
    <s v="Manuel Walther"/>
    <s v="RECALC_0_64_"/>
    <x v="2"/>
  </r>
  <r>
    <x v="5"/>
    <s v="open"/>
    <x v="2"/>
    <s v="CLFF_1000$$$DE20538178"/>
    <s v="G000000512"/>
    <s v="G000000980"/>
    <s v="LFF (MDG-F)"/>
    <s v="DE20538178"/>
    <s v="Changes were saved for change request 25526501"/>
    <s v="MGF"/>
    <m/>
    <x v="3"/>
    <m/>
    <m/>
    <s v="on track"/>
    <n v="2"/>
    <s v="Manuel Walther"/>
    <s v="RECALC_0_13_"/>
    <x v="2"/>
  </r>
  <r>
    <x v="5"/>
    <s v="open"/>
    <x v="2"/>
    <s v="CLFF_1000$$$DE20538192"/>
    <s v="G000000417"/>
    <s v="G000000980"/>
    <s v="LFF (MDG-F)"/>
    <s v="DE20538192"/>
    <s v="Changes were saved for change request 25526501"/>
    <s v="MGF"/>
    <m/>
    <x v="3"/>
    <m/>
    <m/>
    <s v="on track"/>
    <n v="2"/>
    <s v="Manuel Walther"/>
    <s v="RECALC_0_260_"/>
    <x v="2"/>
  </r>
  <r>
    <x v="5"/>
    <s v="open"/>
    <x v="2"/>
    <s v="CLFF_1000$$$DE20538397"/>
    <s v="G000000512"/>
    <s v="G000000965"/>
    <s v="LFF (MDG-F)"/>
    <s v="DE20538397"/>
    <s v="Changes were saved for change request 25526501"/>
    <s v="MGF"/>
    <m/>
    <x v="3"/>
    <m/>
    <m/>
    <s v="on track"/>
    <n v="2"/>
    <s v="Manuel Walther"/>
    <s v="RECALC_0_239_"/>
    <x v="2"/>
  </r>
  <r>
    <x v="5"/>
    <s v="open"/>
    <x v="2"/>
    <s v="CLFF_1000$$$DE20538556"/>
    <s v="G000000417"/>
    <s v="G000000962"/>
    <s v="LFF (MDG-F)"/>
    <s v="DE20538556"/>
    <s v="Changes were saved for change request 25526501"/>
    <s v="MGF"/>
    <m/>
    <x v="3"/>
    <m/>
    <m/>
    <s v="on track"/>
    <n v="2"/>
    <s v="Manuel Walther"/>
    <s v="RECALC_0_183_"/>
    <x v="2"/>
  </r>
  <r>
    <x v="5"/>
    <s v="open"/>
    <x v="2"/>
    <s v="CLFF_1000$$$DE20538654"/>
    <s v="G000000512"/>
    <s v="G000000978"/>
    <s v="LFF (MDG-F)"/>
    <s v="DE20538654"/>
    <s v="Changes were saved for change request 25526501"/>
    <s v="MGF"/>
    <m/>
    <x v="3"/>
    <m/>
    <m/>
    <s v="on track"/>
    <n v="2"/>
    <s v="Manuel Walther"/>
    <s v="RECALC_0_148_"/>
    <x v="2"/>
  </r>
  <r>
    <x v="5"/>
    <s v="open"/>
    <x v="2"/>
    <s v="CLFF_1000$$$DE20579990"/>
    <s v="G000000417"/>
    <s v="G000000963"/>
    <s v="LFF (MDG-F)"/>
    <s v="DE20579990"/>
    <s v="Changes were saved for change request 25526501"/>
    <s v="MGF"/>
    <m/>
    <x v="3"/>
    <m/>
    <m/>
    <s v="on track"/>
    <n v="2"/>
    <s v="Manuel Walther"/>
    <s v="RECALC_0_100_"/>
    <x v="2"/>
  </r>
  <r>
    <x v="5"/>
    <s v="open"/>
    <x v="2"/>
    <s v="CLFF_1000$$$DE20538107"/>
    <s v="G000000512"/>
    <s v="G000000983"/>
    <s v="LFF (MDG-F)"/>
    <s v="DE20538107"/>
    <s v="Changes were saved for change request 25526501"/>
    <s v="MGF"/>
    <m/>
    <x v="3"/>
    <m/>
    <m/>
    <s v="on track"/>
    <n v="2"/>
    <s v="Manuel Walther"/>
    <s v="RECALC_0_70_"/>
    <x v="2"/>
  </r>
  <r>
    <x v="5"/>
    <s v="open"/>
    <x v="2"/>
    <s v="CLFF_1000$$$DE20538118"/>
    <s v="G000000467"/>
    <s v="G000000984"/>
    <s v="LFF (MDG-F)"/>
    <s v="DE20538118"/>
    <s v="Changes were saved for change request 25526501"/>
    <s v="MGF"/>
    <m/>
    <x v="3"/>
    <m/>
    <m/>
    <s v="on track"/>
    <n v="2"/>
    <s v="Manuel Walther"/>
    <s v="RECALC_0_43_"/>
    <x v="2"/>
  </r>
  <r>
    <x v="5"/>
    <s v="open"/>
    <x v="2"/>
    <s v="CLFF_1000$$$DE20538136"/>
    <s v="G000000512"/>
    <s v="G000000984"/>
    <s v="LFF (MDG-F)"/>
    <s v="DE20538136"/>
    <s v="Changes were saved for change request 25526501"/>
    <s v="MGF"/>
    <m/>
    <x v="3"/>
    <m/>
    <m/>
    <s v="on track"/>
    <n v="2"/>
    <s v="Manuel Walther"/>
    <s v="RECALC_0_17_"/>
    <x v="2"/>
  </r>
  <r>
    <x v="5"/>
    <s v="open"/>
    <x v="2"/>
    <s v="CLFF_1000$$$DE20538137"/>
    <s v="G000000512"/>
    <s v="G000000982"/>
    <s v="LFF (MDG-F)"/>
    <s v="DE20538137"/>
    <s v="Changes were saved for change request 25526501"/>
    <s v="MGF"/>
    <m/>
    <x v="3"/>
    <m/>
    <m/>
    <s v="on track"/>
    <n v="2"/>
    <s v="Manuel Walther"/>
    <s v="RECALC_0_259_"/>
    <x v="2"/>
  </r>
  <r>
    <x v="5"/>
    <s v="open"/>
    <x v="2"/>
    <s v="CLFF_1000$$$DE20538141"/>
    <s v="G000000512"/>
    <s v="G000000984"/>
    <s v="LFF (MDG-F)"/>
    <s v="DE20538141"/>
    <s v="Changes were saved for change request 25526501"/>
    <s v="MGF"/>
    <m/>
    <x v="3"/>
    <m/>
    <m/>
    <s v="on track"/>
    <n v="2"/>
    <s v="Manuel Walther"/>
    <s v="RECALC_0_213_"/>
    <x v="2"/>
  </r>
  <r>
    <x v="5"/>
    <s v="open"/>
    <x v="2"/>
    <s v="CLFF_1000$$$DE20538143"/>
    <s v="G000000512"/>
    <s v="G000000985"/>
    <s v="LFF (MDG-F)"/>
    <s v="DE20538143"/>
    <s v="Changes were saved for change request 25526501"/>
    <s v="MGF"/>
    <m/>
    <x v="3"/>
    <m/>
    <m/>
    <s v="on track"/>
    <n v="2"/>
    <s v="Manuel Walther"/>
    <s v="RECALC_0_155_"/>
    <x v="2"/>
  </r>
  <r>
    <x v="5"/>
    <s v="open"/>
    <x v="2"/>
    <s v="CLFF_1000$$$DE20538147"/>
    <s v="G000000512"/>
    <s v="G000000973"/>
    <s v="LFF (MDG-F)"/>
    <s v="DE20538147"/>
    <s v="Changes were saved for change request 25526501"/>
    <s v="MGF"/>
    <m/>
    <x v="3"/>
    <m/>
    <m/>
    <s v="on track"/>
    <n v="2"/>
    <s v="Manuel Walther"/>
    <s v="RECALC_0_147_"/>
    <x v="2"/>
  </r>
  <r>
    <x v="5"/>
    <s v="open"/>
    <x v="2"/>
    <s v="CLFF_1000$$$DE20538148"/>
    <s v="G000000443"/>
    <s v="G000000972"/>
    <s v="LFF (MDG-F)"/>
    <s v="DE20538148"/>
    <s v="Changes were saved for change request 25526501"/>
    <s v="MGF"/>
    <m/>
    <x v="3"/>
    <m/>
    <m/>
    <s v="on track"/>
    <n v="2"/>
    <s v="Manuel Walther"/>
    <s v="RECALC_0_142_"/>
    <x v="2"/>
  </r>
  <r>
    <x v="5"/>
    <s v="open"/>
    <x v="2"/>
    <s v="CLFF_1000$$$DE20538151"/>
    <s v="G000000512"/>
    <s v="G000000985"/>
    <s v="LFF (MDG-F)"/>
    <s v="DE20538151"/>
    <s v="Changes were saved for change request 25526501"/>
    <s v="MGF"/>
    <m/>
    <x v="3"/>
    <m/>
    <m/>
    <s v="on track"/>
    <n v="2"/>
    <s v="Manuel Walther"/>
    <s v="RECALC_0_99_"/>
    <x v="2"/>
  </r>
  <r>
    <x v="5"/>
    <s v="open"/>
    <x v="2"/>
    <s v="CLFF_1000$$$DE20538153"/>
    <s v="G000000512"/>
    <s v="G000000985"/>
    <s v="LFF (MDG-F)"/>
    <s v="DE20538153"/>
    <s v="Changes were saved for change request 25526501"/>
    <s v="MGF"/>
    <m/>
    <x v="3"/>
    <m/>
    <m/>
    <s v="on track"/>
    <n v="2"/>
    <s v="Manuel Walther"/>
    <s v="RECALC_0_42_"/>
    <x v="2"/>
  </r>
  <r>
    <x v="5"/>
    <s v="open"/>
    <x v="2"/>
    <s v="CLFF_1000$$$DE20538160"/>
    <s v="G000000512"/>
    <s v="G000000985"/>
    <s v="LFF (MDG-F)"/>
    <s v="DE20538160"/>
    <s v="Changes were saved for change request 25526501"/>
    <s v="MGF"/>
    <m/>
    <x v="3"/>
    <m/>
    <m/>
    <s v="on track"/>
    <n v="2"/>
    <s v="Manuel Walther"/>
    <s v="RECALC_0_91_"/>
    <x v="2"/>
  </r>
  <r>
    <x v="5"/>
    <s v="open"/>
    <x v="2"/>
    <s v="CLFF_1000$$$DE20538162"/>
    <s v="G000000512"/>
    <s v="G000000985"/>
    <s v="LFF (MDG-F)"/>
    <s v="DE20538162"/>
    <s v="Changes were saved for change request 25526501"/>
    <s v="MGF"/>
    <m/>
    <x v="3"/>
    <m/>
    <m/>
    <s v="on track"/>
    <n v="2"/>
    <s v="Manuel Walther"/>
    <s v="RECALC_0_238_"/>
    <x v="2"/>
  </r>
  <r>
    <x v="5"/>
    <s v="open"/>
    <x v="2"/>
    <s v="CLFF_1000$$$DE20538163"/>
    <s v="G000000443"/>
    <s v="G000000966"/>
    <s v="LFF (MDG-F)"/>
    <s v="DE20538163"/>
    <s v="Changes were saved for change request 25526501"/>
    <s v="MGF"/>
    <m/>
    <x v="3"/>
    <m/>
    <m/>
    <s v="on track"/>
    <n v="2"/>
    <s v="Manuel Walther"/>
    <s v="RECALC_0_212_"/>
    <x v="2"/>
  </r>
  <r>
    <x v="5"/>
    <s v="open"/>
    <x v="2"/>
    <s v="CLFF_1000$$$DE20538164"/>
    <s v="G000000512"/>
    <s v="G000000985"/>
    <s v="LFF (MDG-F)"/>
    <s v="DE20538164"/>
    <s v="Changes were saved for change request 25526501"/>
    <s v="MGF"/>
    <m/>
    <x v="3"/>
    <m/>
    <m/>
    <s v="on track"/>
    <n v="2"/>
    <s v="Manuel Walther"/>
    <s v="RECALC_0_207_"/>
    <x v="2"/>
  </r>
  <r>
    <x v="5"/>
    <s v="open"/>
    <x v="2"/>
    <s v="CLFF_1000$$$DE20538166"/>
    <s v="G000000512"/>
    <s v="G000000985"/>
    <s v="LFF (MDG-F)"/>
    <s v="DE20538166"/>
    <s v="Changes were saved for change request 25526501"/>
    <s v="MGF"/>
    <m/>
    <x v="3"/>
    <m/>
    <m/>
    <s v="on track"/>
    <n v="2"/>
    <s v="Manuel Walther"/>
    <s v="RECALC_0_154_"/>
    <x v="2"/>
  </r>
  <r>
    <x v="5"/>
    <s v="open"/>
    <x v="2"/>
    <s v="CLFF_1000$$$DE20538167"/>
    <s v="G000000417"/>
    <s v="G000000983"/>
    <s v="LFF (MDG-F)"/>
    <s v="DE20538167"/>
    <s v="Changes were saved for change request 25526501"/>
    <s v="MGF"/>
    <m/>
    <x v="3"/>
    <m/>
    <m/>
    <s v="on track"/>
    <n v="2"/>
    <s v="Manuel Walther"/>
    <s v="RECALC_0_174_"/>
    <x v="2"/>
  </r>
  <r>
    <x v="5"/>
    <s v="open"/>
    <x v="2"/>
    <s v="CLFF_1000$$$DE20538168"/>
    <s v="G000000512"/>
    <s v="G000000985"/>
    <s v="LFF (MDG-F)"/>
    <s v="DE20538168"/>
    <s v="Changes were saved for change request 25526501"/>
    <s v="MGF"/>
    <m/>
    <x v="3"/>
    <m/>
    <m/>
    <s v="on track"/>
    <n v="2"/>
    <s v="Manuel Walther"/>
    <s v="RECALC_0_69_"/>
    <x v="2"/>
  </r>
  <r>
    <x v="5"/>
    <s v="open"/>
    <x v="2"/>
    <s v="CLFF_1000$$$DE20538171"/>
    <s v="G000000512"/>
    <s v="G000000973"/>
    <s v="LFF (MDG-F)"/>
    <s v="DE20538171"/>
    <s v="Changes were saved for change request 25526501"/>
    <s v="MGF"/>
    <m/>
    <x v="3"/>
    <m/>
    <m/>
    <s v="on track"/>
    <n v="2"/>
    <s v="Manuel Walther"/>
    <s v="RECALC_0_63_"/>
    <x v="2"/>
  </r>
  <r>
    <x v="5"/>
    <s v="open"/>
    <x v="2"/>
    <s v="CLFF_1000$$$DE20538175"/>
    <s v="G000000468"/>
    <s v="G000000985"/>
    <s v="LFF (MDG-F)"/>
    <s v="DE20538175"/>
    <s v="Changes were saved for change request 25526501"/>
    <s v="MGF"/>
    <m/>
    <x v="3"/>
    <m/>
    <m/>
    <s v="on track"/>
    <n v="2"/>
    <s v="Manuel Walther"/>
    <s v="RECALC_0_60_"/>
    <x v="2"/>
  </r>
  <r>
    <x v="5"/>
    <s v="open"/>
    <x v="2"/>
    <s v="CLFF_1000$$$DE20538176"/>
    <s v="G000000512"/>
    <s v="G000000985"/>
    <s v="LFF (MDG-F)"/>
    <s v="DE20538176"/>
    <s v="Changes were saved for change request 25526501"/>
    <s v="MGF"/>
    <m/>
    <x v="3"/>
    <m/>
    <m/>
    <s v="on track"/>
    <n v="2"/>
    <s v="Manuel Walther"/>
    <s v="RECALC_0_258_"/>
    <x v="2"/>
  </r>
  <r>
    <x v="5"/>
    <s v="open"/>
    <x v="2"/>
    <s v="CLFF_1000$$$DE20538177"/>
    <s v="G000000512"/>
    <s v="G000000985"/>
    <s v="LFF (MDG-F)"/>
    <s v="DE20538177"/>
    <s v="Changes were saved for change request 25526501"/>
    <s v="MGF"/>
    <m/>
    <x v="3"/>
    <m/>
    <m/>
    <s v="on track"/>
    <n v="2"/>
    <s v="Manuel Walther"/>
    <s v="RECALC_0_237_"/>
    <x v="2"/>
  </r>
  <r>
    <x v="5"/>
    <s v="open"/>
    <x v="2"/>
    <s v="CLFF_1000$$$DE20538184"/>
    <s v="G000000512"/>
    <s v="G000000982"/>
    <s v="LFF (MDG-F)"/>
    <s v="DE20538184"/>
    <s v="Changes were saved for change request 25526501"/>
    <s v="MGF"/>
    <m/>
    <x v="3"/>
    <m/>
    <m/>
    <s v="on track"/>
    <n v="2"/>
    <s v="Manuel Walther"/>
    <s v="RECALC_0_182_"/>
    <x v="2"/>
  </r>
  <r>
    <x v="5"/>
    <s v="open"/>
    <x v="2"/>
    <s v="CLFF_1000$$$DE20538185"/>
    <s v="G000000467"/>
    <s v="G000000982"/>
    <s v="LFF (MDG-F)"/>
    <s v="DE20538185"/>
    <s v="Changes were saved for change request 25526501"/>
    <s v="MGF"/>
    <m/>
    <x v="3"/>
    <m/>
    <m/>
    <s v="on track"/>
    <n v="2"/>
    <s v="Manuel Walther"/>
    <s v="RECALC_0_127_"/>
    <x v="2"/>
  </r>
  <r>
    <x v="5"/>
    <s v="open"/>
    <x v="2"/>
    <s v="CLFF_1000$$$DE20538186"/>
    <s v="G000000467"/>
    <s v="G000000982"/>
    <s v="LFF (MDG-F)"/>
    <s v="DE20538186"/>
    <s v="Changes were saved for change request 25526501"/>
    <s v="MGF"/>
    <m/>
    <x v="3"/>
    <m/>
    <m/>
    <s v="on track"/>
    <n v="2"/>
    <s v="Manuel Walther"/>
    <s v="RECALC_0_98_"/>
    <x v="2"/>
  </r>
  <r>
    <x v="5"/>
    <s v="open"/>
    <x v="2"/>
    <s v="CLFF_1000$$$DE20538193"/>
    <s v="G000000443"/>
    <s v="G000000973"/>
    <s v="LFF (MDG-F)"/>
    <s v="DE20538193"/>
    <s v="Changes were saved for change request 25526501"/>
    <s v="MGF"/>
    <m/>
    <x v="3"/>
    <m/>
    <m/>
    <s v="on track"/>
    <n v="2"/>
    <s v="Manuel Walther"/>
    <s v="RECALC_0_68_"/>
    <x v="2"/>
  </r>
  <r>
    <x v="5"/>
    <s v="open"/>
    <x v="2"/>
    <s v="CLFF_1000$$$DE20538194"/>
    <s v="G000000443"/>
    <s v="G000000966"/>
    <s v="LFF (MDG-F)"/>
    <s v="DE20538194"/>
    <s v="Changes were saved for change request 25526501"/>
    <s v="MGF"/>
    <m/>
    <x v="3"/>
    <m/>
    <m/>
    <s v="on track"/>
    <n v="2"/>
    <s v="Manuel Walther"/>
    <s v="RECALC_0_41_"/>
    <x v="2"/>
  </r>
  <r>
    <x v="5"/>
    <s v="open"/>
    <x v="2"/>
    <s v="CLFF_1000$$$DE20538195"/>
    <s v="G000000879"/>
    <s v="G000000966"/>
    <s v="LFF (MDG-F)"/>
    <s v="DE20538195"/>
    <s v="Changes were saved for change request 25526501"/>
    <s v="MGF"/>
    <m/>
    <x v="3"/>
    <m/>
    <m/>
    <s v="on track"/>
    <n v="2"/>
    <s v="Manuel Walther"/>
    <s v="RECALC_0_35_"/>
    <x v="2"/>
  </r>
  <r>
    <x v="5"/>
    <s v="open"/>
    <x v="2"/>
    <s v="CLFF_1000$$$DE20538197"/>
    <s v="G000000512"/>
    <s v="G000000985"/>
    <s v="LFF (MDG-F)"/>
    <s v="DE20538197"/>
    <s v="Changes were saved for change request 25526501"/>
    <s v="MGF"/>
    <m/>
    <x v="3"/>
    <m/>
    <m/>
    <s v="on track"/>
    <n v="2"/>
    <s v="Manuel Walther"/>
    <s v="RECALC_0_257_"/>
    <x v="2"/>
  </r>
  <r>
    <x v="5"/>
    <s v="open"/>
    <x v="2"/>
    <s v="CLFF_1000$$$DE20538712"/>
    <s v="G000000512"/>
    <s v="G000000985"/>
    <s v="LFF (MDG-F)"/>
    <s v="DE20538712"/>
    <s v="Changes were saved for change request 25526501"/>
    <s v="MGF"/>
    <m/>
    <x v="3"/>
    <m/>
    <m/>
    <s v="on track"/>
    <n v="2"/>
    <s v="Manuel Walther"/>
    <s v="RECALC_0_211_"/>
    <x v="2"/>
  </r>
  <r>
    <x v="5"/>
    <s v="open"/>
    <x v="2"/>
    <s v="CLFF_1000$$$DE20538713"/>
    <s v="G000000468"/>
    <s v="G000000985"/>
    <s v="LFF (MDG-F)"/>
    <s v="DE20538713"/>
    <s v="Changes were saved for change request 25526501"/>
    <s v="MGF"/>
    <m/>
    <x v="3"/>
    <m/>
    <m/>
    <s v="on track"/>
    <n v="2"/>
    <s v="Manuel Walther"/>
    <s v="RECALC_0_153_"/>
    <x v="2"/>
  </r>
  <r>
    <x v="5"/>
    <s v="open"/>
    <x v="2"/>
    <s v="CLFF_1000$$$DE20538714"/>
    <s v="G000000468"/>
    <s v="G000000985"/>
    <s v="LFF (MDG-F)"/>
    <s v="DE20538714"/>
    <s v="Changes were saved for change request 25526501"/>
    <s v="MGF"/>
    <m/>
    <x v="3"/>
    <m/>
    <m/>
    <s v="on track"/>
    <n v="2"/>
    <s v="Manuel Walther"/>
    <s v="RECALC_0_146_"/>
    <x v="2"/>
  </r>
  <r>
    <x v="5"/>
    <s v="open"/>
    <x v="2"/>
    <s v="CLFF_1000$$$DE20538715"/>
    <s v="G000000468"/>
    <s v="G000000985"/>
    <s v="LFF (MDG-F)"/>
    <s v="DE20538715"/>
    <s v="Changes were saved for change request 25526501"/>
    <s v="MGF"/>
    <m/>
    <x v="3"/>
    <m/>
    <m/>
    <s v="on track"/>
    <n v="2"/>
    <s v="Manuel Walther"/>
    <s v="RECALC_0_90_"/>
    <x v="2"/>
  </r>
  <r>
    <x v="5"/>
    <s v="open"/>
    <x v="2"/>
    <s v="CLFF_1000$$$DE20538716"/>
    <s v="G000000468"/>
    <s v="G000000985"/>
    <s v="LFF (MDG-F)"/>
    <s v="DE20538716"/>
    <s v="Changes were saved for change request 25526501"/>
    <s v="MGF"/>
    <m/>
    <x v="3"/>
    <m/>
    <m/>
    <s v="on track"/>
    <n v="2"/>
    <s v="Manuel Walther"/>
    <s v="RECALC_0_97_"/>
    <x v="2"/>
  </r>
  <r>
    <x v="5"/>
    <s v="open"/>
    <x v="2"/>
    <s v="CLFF_1000$$$DE20538717"/>
    <s v="G000000512"/>
    <s v="G000000985"/>
    <s v="LFF (MDG-F)"/>
    <s v="DE20538717"/>
    <s v="Changes were saved for change request 25526501"/>
    <s v="MGF"/>
    <m/>
    <x v="3"/>
    <m/>
    <m/>
    <s v="on track"/>
    <n v="2"/>
    <s v="Manuel Walther"/>
    <s v="RECALC_0_40_"/>
    <x v="2"/>
  </r>
  <r>
    <x v="5"/>
    <s v="open"/>
    <x v="2"/>
    <s v="CLFF_1000$$$DE20538887"/>
    <s v="G000000512"/>
    <s v="G000000985"/>
    <s v="LFF (MDG-F)"/>
    <s v="DE20538887"/>
    <s v="Changes were saved for change request 25526501"/>
    <s v="MGF"/>
    <m/>
    <x v="3"/>
    <m/>
    <m/>
    <s v="on track"/>
    <n v="2"/>
    <s v="Manuel Walther"/>
    <s v="RECALC_0_12_"/>
    <x v="2"/>
  </r>
  <r>
    <x v="5"/>
    <s v="open"/>
    <x v="2"/>
    <s v="CLFF_1000$$$DE20538920"/>
    <s v="G000000512"/>
    <s v="G000000982"/>
    <s v="LFF (MDG-F)"/>
    <s v="DE20538920"/>
    <s v="Changes were saved for change request 25526501"/>
    <s v="MGF"/>
    <m/>
    <x v="3"/>
    <m/>
    <m/>
    <s v="on track"/>
    <n v="2"/>
    <s v="Manuel Walther"/>
    <s v="RECALC_0_236_"/>
    <x v="2"/>
  </r>
  <r>
    <x v="5"/>
    <s v="open"/>
    <x v="2"/>
    <s v="CLFF_1000$$$DE20538921"/>
    <s v="G000000512"/>
    <s v="G000000983"/>
    <s v="LFF (MDG-F)"/>
    <s v="DE20538921"/>
    <s v="Changes were saved for change request 25526501"/>
    <s v="MGF"/>
    <m/>
    <x v="3"/>
    <m/>
    <m/>
    <s v="on track"/>
    <n v="2"/>
    <s v="Manuel Walther"/>
    <s v="RECALC_0_210_"/>
    <x v="2"/>
  </r>
  <r>
    <x v="5"/>
    <s v="open"/>
    <x v="2"/>
    <s v="CLFF_1000$$$DE20538978"/>
    <s v="G000000467"/>
    <s v="G000000985"/>
    <s v="LFF (MDG-F)"/>
    <s v="DE20538978"/>
    <s v="Changes were saved for change request 25526501"/>
    <s v="MGF"/>
    <m/>
    <x v="3"/>
    <m/>
    <m/>
    <s v="on track"/>
    <n v="2"/>
    <s v="Manuel Walther"/>
    <s v="RECALC_0_181_"/>
    <x v="2"/>
  </r>
  <r>
    <x v="5"/>
    <s v="open"/>
    <x v="2"/>
    <s v="CLFF_1000$$$DE20539001"/>
    <s v="G000000443"/>
    <s v="G000000966"/>
    <s v="LFF (MDG-F)"/>
    <s v="DE20539001"/>
    <s v="Changes were saved for change request 25526501"/>
    <s v="MGF"/>
    <m/>
    <x v="3"/>
    <m/>
    <m/>
    <s v="on track"/>
    <n v="2"/>
    <s v="Manuel Walther"/>
    <s v="RECALC_0_152_"/>
    <x v="2"/>
  </r>
  <r>
    <x v="5"/>
    <s v="open"/>
    <x v="2"/>
    <s v="CLFF_1000$$$DE20539002"/>
    <s v="G000000443"/>
    <s v="G000000966"/>
    <s v="LFF (MDG-F)"/>
    <s v="DE20539002"/>
    <s v="Changes were saved for change request 25526501"/>
    <s v="MGF"/>
    <m/>
    <x v="3"/>
    <m/>
    <m/>
    <s v="on track"/>
    <n v="2"/>
    <s v="Manuel Walther"/>
    <s v="RECALC_0_201_"/>
    <x v="2"/>
  </r>
  <r>
    <x v="5"/>
    <s v="open"/>
    <x v="2"/>
    <s v="CLFF_1000$$$DE20539004"/>
    <s v="G000000443"/>
    <s v="G000000966"/>
    <s v="LFF (MDG-F)"/>
    <s v="DE20539004"/>
    <s v="Changes were saved for change request 25526501"/>
    <s v="MGF"/>
    <m/>
    <x v="3"/>
    <m/>
    <m/>
    <s v="on track"/>
    <n v="2"/>
    <s v="Manuel Walther"/>
    <s v="RECALC_0_67_"/>
    <x v="2"/>
  </r>
  <r>
    <x v="5"/>
    <s v="open"/>
    <x v="2"/>
    <s v="CLFF_1000$$$DE20567500"/>
    <s v="G000000443"/>
    <s v="G000000986"/>
    <s v="LFF (MDG-F)"/>
    <s v="DE20567500"/>
    <s v="Changes were saved for change request 25526501"/>
    <s v="MGF"/>
    <m/>
    <x v="3"/>
    <m/>
    <m/>
    <s v="on track"/>
    <n v="2"/>
    <s v="Manuel Walther"/>
    <s v="RECALC_0_62_"/>
    <x v="2"/>
  </r>
  <r>
    <x v="5"/>
    <s v="open"/>
    <x v="2"/>
    <s v="CLFF_1000$$$DE20569401"/>
    <s v="G000000512"/>
    <s v="G000000985"/>
    <s v="LFF (MDG-F)"/>
    <s v="DE20569401"/>
    <s v="Changes were saved for change request 25526501"/>
    <s v="MGF"/>
    <m/>
    <x v="3"/>
    <m/>
    <m/>
    <s v="on track"/>
    <n v="2"/>
    <s v="Manuel Walther"/>
    <s v="RECALC_0_0_"/>
    <x v="2"/>
  </r>
  <r>
    <x v="5"/>
    <s v="open"/>
    <x v="2"/>
    <s v="CLFF_1000$$$DE20538145"/>
    <s v="G000000417"/>
    <s v="G000000966"/>
    <s v="LFF (MDG-F)"/>
    <s v="DE20538145"/>
    <s v="Changes were saved for change request 25526501"/>
    <s v="MGF"/>
    <m/>
    <x v="3"/>
    <m/>
    <m/>
    <s v="on track"/>
    <n v="2"/>
    <s v="Manuel Walther"/>
    <s v="RECALC_0_256_"/>
    <x v="2"/>
  </r>
  <r>
    <x v="5"/>
    <s v="open"/>
    <x v="2"/>
    <s v="CLFF_1000$$$DE20538190"/>
    <s v="G000000417"/>
    <s v="G000000965"/>
    <s v="LFF (MDG-F)"/>
    <s v="DE20538190"/>
    <s v="Changes were saved for change request 25526501"/>
    <s v="MGF"/>
    <m/>
    <x v="3"/>
    <m/>
    <m/>
    <s v="on track"/>
    <n v="2"/>
    <s v="Manuel Walther"/>
    <s v="RECALC_0_235_"/>
    <x v="2"/>
  </r>
  <r>
    <x v="5"/>
    <s v="open"/>
    <x v="2"/>
    <s v="CLFF_1000$$$DE20539003"/>
    <s v="G000000443"/>
    <s v="G000000966"/>
    <s v="LFF (MDG-F)"/>
    <s v="DE20539003"/>
    <s v="Changes were saved for change request 25526501"/>
    <s v="MGF"/>
    <m/>
    <x v="3"/>
    <m/>
    <m/>
    <s v="on track"/>
    <n v="2"/>
    <s v="Manuel Walther"/>
    <s v="RECALC_0_180_"/>
    <x v="2"/>
  </r>
  <r>
    <x v="5"/>
    <s v="open"/>
    <x v="2"/>
    <s v="CLFF_1000$$$DE20567400"/>
    <s v="G000000872"/>
    <s v="G000000960"/>
    <s v="LFF (MDG-F)"/>
    <s v="DE20567400"/>
    <s v="Changes were saved for change request 25526501"/>
    <s v="MGF"/>
    <m/>
    <x v="3"/>
    <m/>
    <m/>
    <s v="on track"/>
    <n v="2"/>
    <s v="Manuel Walther"/>
    <s v="RECALC_0_126_"/>
    <x v="2"/>
  </r>
  <r>
    <x v="6"/>
    <s v="open"/>
    <x v="2"/>
    <s v="CLFF_1000$$$DE50OF0154 Global Health Germany"/>
    <s v="H000004394"/>
    <s v="G000000776"/>
    <s v="LFF (MDG-F)"/>
    <s v="DE50OF0154"/>
    <s v="Changes were saved for change request 25526501"/>
    <s v="HC"/>
    <m/>
    <x v="3"/>
    <m/>
    <m/>
    <s v="on track"/>
    <n v="2"/>
    <s v="Henry Ifurung Jr."/>
    <s v="RECALC_0_96_"/>
    <x v="2"/>
  </r>
  <r>
    <x v="6"/>
    <s v="open"/>
    <x v="2"/>
    <s v="CLFF_1000$$$DE10624416 Global Health"/>
    <s v="H000004394"/>
    <s v="G000000776"/>
    <s v="LFF (MDG-F)"/>
    <s v="DE10624416"/>
    <s v="Changes were saved for change request 25526501"/>
    <s v="HC"/>
    <m/>
    <x v="3"/>
    <m/>
    <m/>
    <s v="on track"/>
    <n v="2"/>
    <s v="Henry Ifurung Jr."/>
    <s v="RECALC_0_66_"/>
    <x v="2"/>
  </r>
  <r>
    <x v="6"/>
    <s v="open"/>
    <x v="2"/>
    <s v="CLFF_1000$$$CH65GCA008 Health Equity Accessibility"/>
    <s v="H000004394"/>
    <s v="G000000776"/>
    <s v="LFF (MDG-F)"/>
    <s v="CH65GCA008"/>
    <s v="Changes were saved for change request 25526501"/>
    <s v="HC"/>
    <m/>
    <x v="3"/>
    <m/>
    <m/>
    <s v="on track"/>
    <n v="2"/>
    <s v="Henry Ifurung Jr."/>
    <s v="RECALC_0_39_"/>
    <x v="2"/>
  </r>
  <r>
    <x v="6"/>
    <s v="open"/>
    <x v="2"/>
    <s v="CLFF_1000$$$CH65GCA010 Praziquantel Donation &amp; Global Sch"/>
    <s v="H000004394"/>
    <s v="G000000776"/>
    <s v="LFF (MDG-F)"/>
    <s v="CH65GCA010"/>
    <s v="Changes were saved for change request 25526501"/>
    <s v="HC"/>
    <m/>
    <x v="3"/>
    <m/>
    <m/>
    <s v="on track"/>
    <n v="2"/>
    <s v="Henry Ifurung Jr."/>
    <s v="RECALC_0_16_"/>
    <x v="2"/>
  </r>
  <r>
    <x v="6"/>
    <s v="open"/>
    <x v="2"/>
    <s v="CLFF_1000$$$CH65GCA001 Global Health Research Institute"/>
    <s v="H000004394"/>
    <s v="G000000777"/>
    <s v="LFF (MDG-F)"/>
    <s v="CH65GCA001"/>
    <s v="Changes were saved for change request 25526501"/>
    <s v="HC"/>
    <m/>
    <x v="3"/>
    <m/>
    <m/>
    <s v="on track"/>
    <n v="2"/>
    <s v="Henry Ifurung Jr."/>
    <s v="RECALC_0_255_"/>
    <x v="2"/>
  </r>
  <r>
    <x v="6"/>
    <s v="open"/>
    <x v="2"/>
    <s v="CLFF_1000$$$DE50OF6808 Health Equity Accessibility GER"/>
    <s v="H000004394"/>
    <s v="G000000776"/>
    <s v="LFF (MDG-F)"/>
    <s v="DE50OF6808"/>
    <s v="Changes were saved for change request 25526501"/>
    <s v="HC"/>
    <m/>
    <x v="3"/>
    <m/>
    <m/>
    <s v="on track"/>
    <n v="2"/>
    <s v="Henry Ifurung Jr."/>
    <s v="RECALC_0_209_"/>
    <x v="2"/>
  </r>
  <r>
    <x v="6"/>
    <s v="open"/>
    <x v="1"/>
    <s v="CTEMPEU_1000FR40699007 Access To Health FR"/>
    <s v="H000004394"/>
    <s v="G000000776"/>
    <s v="Non-LFF"/>
    <s v=""/>
    <m/>
    <s v="HC"/>
    <m/>
    <x v="3"/>
    <m/>
    <m/>
    <s v="on track"/>
    <n v="2"/>
    <s v="Henry Ifurung Jr."/>
    <s v="RECALC_0_151_"/>
    <x v="1"/>
  </r>
  <r>
    <x v="6"/>
    <s v="open"/>
    <x v="1"/>
    <s v="CTEMPNA_1000US30136400 Global Health"/>
    <s v="H000004394"/>
    <s v="G000000777"/>
    <s v="Non-LFF"/>
    <s v=""/>
    <m/>
    <s v="HC"/>
    <m/>
    <x v="3"/>
    <m/>
    <m/>
    <s v="on track"/>
    <n v="2"/>
    <s v="Henry Ifurung Jr."/>
    <s v="RECALC_0_125_"/>
    <x v="1"/>
  </r>
  <r>
    <x v="7"/>
    <s v="open"/>
    <x v="2"/>
    <s v="CLFF_1000$$$AT50L93100 Fertility benefit reimbursement costs"/>
    <s v="G000001227"/>
    <s v="G000000589"/>
    <s v="LFF (MDG-F)"/>
    <s v="AT50L93100"/>
    <s v="Changes were saved for change request 25526501"/>
    <s v="MGF"/>
    <m/>
    <x v="3"/>
    <m/>
    <m/>
    <s v="on track"/>
    <n v="2"/>
    <s v="Jojeff Tagnong"/>
    <s v="RECALC_0_232_"/>
    <x v="2"/>
  </r>
  <r>
    <x v="7"/>
    <s v="open"/>
    <x v="2"/>
    <s v="CLFF_1000$$$DK50L93100 Fertility benefit reimbursement costs"/>
    <s v="G000001227"/>
    <s v="G000000589"/>
    <s v="LFF (MDG-F)"/>
    <s v="DK50L93100"/>
    <s v="Changes were saved for change request 25526501"/>
    <s v="MGF"/>
    <m/>
    <x v="3"/>
    <m/>
    <m/>
    <s v="on track"/>
    <n v="2"/>
    <s v="Jojeff Tagnong"/>
    <s v="RECALC_0_95_"/>
    <x v="2"/>
  </r>
  <r>
    <x v="7"/>
    <s v="open"/>
    <x v="2"/>
    <s v="CLFF_1000$$$FI50L93100 Fertility benefit reimbursement costs"/>
    <s v="G000001227"/>
    <s v="G000000589"/>
    <s v="LFF (MDG-F)"/>
    <s v="FI50L93100"/>
    <s v="Changes were saved for change request 25526501"/>
    <s v="MGF"/>
    <m/>
    <x v="3"/>
    <m/>
    <m/>
    <s v="on track"/>
    <n v="2"/>
    <s v="Jojeff Tagnong"/>
    <s v="RECALC_0_38_"/>
    <x v="2"/>
  </r>
  <r>
    <x v="7"/>
    <s v="open"/>
    <x v="2"/>
    <s v="CLFF_1000$$$KR02GHR119 MBS RPO"/>
    <s v="G000000119"/>
    <s v="G000000113"/>
    <s v="LFF (MDG-F)"/>
    <s v="KR02GHR119"/>
    <s v="Changes were saved for change request 25526501"/>
    <s v="MGF"/>
    <m/>
    <x v="3"/>
    <m/>
    <m/>
    <s v="on track"/>
    <n v="2"/>
    <s v="Jojeff Tagnong"/>
    <s v="RECALC_0_59_"/>
    <x v="2"/>
  </r>
  <r>
    <x v="7"/>
    <s v="open"/>
    <x v="2"/>
    <s v="CLFF_1000$$$MA50GHR018 HR - Fert benefit reimbursement costs MA"/>
    <s v="G000001227"/>
    <s v="G000000589"/>
    <s v="LFF (MDG-F)"/>
    <s v="MA50GHR018"/>
    <s v="Changes were saved for change request 25526501"/>
    <s v="MGF"/>
    <m/>
    <x v="3"/>
    <m/>
    <m/>
    <s v="on track"/>
    <n v="2"/>
    <s v="Jojeff Tagnong"/>
    <s v="RECALC_0_234_"/>
    <x v="2"/>
  </r>
  <r>
    <x v="7"/>
    <s v="open"/>
    <x v="2"/>
    <s v="CLFF_1000$$$NO50L93100 Fertility benefit reimbursement costs"/>
    <s v="G000001227"/>
    <s v="G000000589"/>
    <s v="LFF (MDG-F)"/>
    <s v="NO50L93100"/>
    <s v="Changes were saved for change request 25526501"/>
    <s v="MGF"/>
    <m/>
    <x v="3"/>
    <m/>
    <m/>
    <s v="on track"/>
    <n v="2"/>
    <s v="Jojeff Tagnong"/>
    <s v="RECALC_0_208_"/>
    <x v="2"/>
  </r>
  <r>
    <x v="7"/>
    <s v="open"/>
    <x v="2"/>
    <s v="CLFF_1000$$$SE50L93100 Fertility benefit reimbursement costs"/>
    <s v="G000001227"/>
    <s v="G000000589"/>
    <s v="LFF (MDG-F)"/>
    <s v="SE50L93100"/>
    <s v="Changes were saved for change request 25526501"/>
    <s v="MGF"/>
    <m/>
    <x v="3"/>
    <m/>
    <m/>
    <s v="on track"/>
    <n v="2"/>
    <s v="Jojeff Tagnong"/>
    <s v="RECALC_0_179_"/>
    <x v="2"/>
  </r>
  <r>
    <x v="7"/>
    <s v="open"/>
    <x v="2"/>
    <s v="CLFF_1000$$$TN50GHR018 HR - Fert benefit reimbursement costs"/>
    <s v="G000001227"/>
    <s v="G000000589"/>
    <s v="LFF (MDG-F)"/>
    <s v="TN50GHR018"/>
    <s v="Changes were saved for change request 25526501"/>
    <s v="MGF"/>
    <m/>
    <x v="3"/>
    <m/>
    <m/>
    <s v="on track"/>
    <n v="2"/>
    <s v="Jojeff Tagnong"/>
    <s v="RECALC_0_150_"/>
    <x v="2"/>
  </r>
  <r>
    <x v="7"/>
    <s v="open"/>
    <x v="2"/>
    <s v="CLFF_1000$$$TN50GHR019 HR - Fert benefit reimbursement costs DZ"/>
    <s v="G000001227"/>
    <s v="G000000589"/>
    <s v="LFF (MDG-F)"/>
    <s v="TN50GHR019"/>
    <s v="Changes were saved for change request 25526501"/>
    <s v="MGF"/>
    <m/>
    <x v="3"/>
    <m/>
    <m/>
    <s v="on track"/>
    <n v="2"/>
    <s v="Jojeff Tagnong"/>
    <s v="RECALC_0_58_"/>
    <x v="2"/>
  </r>
  <r>
    <x v="7"/>
    <s v="open"/>
    <x v="2"/>
    <s v="CLFF_1000$$$TN60GHR018 HR - Fert benefit reimbursement costs TN"/>
    <s v="G000001227"/>
    <s v="G000000589"/>
    <s v="LFF (MDG-F)"/>
    <s v="TN60GHR018"/>
    <s v="Changes were saved for change request 25526501"/>
    <s v="MGF"/>
    <m/>
    <x v="3"/>
    <m/>
    <m/>
    <s v="on track"/>
    <n v="2"/>
    <s v="Jojeff Tagnong"/>
    <s v="RECALC_0_65_"/>
    <x v="2"/>
  </r>
  <r>
    <x v="7"/>
    <s v="open"/>
    <x v="3"/>
    <s v="CLFF_KR00$$$KR03GHR119 MBS RPO"/>
    <s v="G000000119"/>
    <s v="G000000113"/>
    <s v="LFF (MDG-F)"/>
    <s v="KR03GHR119"/>
    <s v="Changes were saved for change request 25523738"/>
    <s v="MGF"/>
    <m/>
    <x v="3"/>
    <m/>
    <m/>
    <s v="on track"/>
    <n v="2"/>
    <s v="Jojeff Tagnong"/>
    <s v="RECALC_0_34_"/>
    <x v="3"/>
  </r>
  <r>
    <x v="7"/>
    <s v="open"/>
    <x v="1"/>
    <s v="CORAERP_MMOR1945.9153 Fertility reimbursement purposes"/>
    <s v="G000001227"/>
    <s v="G000000589"/>
    <s v="Non-LFF"/>
    <s v=""/>
    <m/>
    <s v="MGF"/>
    <m/>
    <x v="3"/>
    <m/>
    <m/>
    <s v="on track"/>
    <n v="2"/>
    <s v="Jojeff Tagnong"/>
    <s v="RECALC_0_11_"/>
    <x v="1"/>
  </r>
  <r>
    <x v="8"/>
    <s v="open"/>
    <x v="4"/>
    <s v="CLFF_7210$$$2068TAUA01 Urbana Equipment CC"/>
    <s v="L000013447"/>
    <m/>
    <s v="LFF (MDG-F)"/>
    <s v="2068TAUA01"/>
    <s v="Duplicate request FR7449455. This was already processed and mapped to its requested parent node."/>
    <s v="EL"/>
    <m/>
    <x v="3"/>
    <m/>
    <m/>
    <s v="on track"/>
    <n v="2"/>
    <s v="Roselle Delos Angeles"/>
    <s v="RECALC_0_233_"/>
    <x v="4"/>
  </r>
  <r>
    <x v="8"/>
    <s v="open"/>
    <x v="4"/>
    <s v="FLFF_7210$$$2068TAUA01_IO Urbana Equipment CC (IO)"/>
    <s v="L000013447"/>
    <m/>
    <s v="LFF (MDG-F)"/>
    <s v="2068TAUA01"/>
    <s v="Duplicate request FR7449455. This was already processed and mapped to its requested parent node."/>
    <s v="EL"/>
    <m/>
    <x v="3"/>
    <m/>
    <m/>
    <s v="on track"/>
    <n v="2"/>
    <s v="Roselle Delos Angeles"/>
    <s v="RECALC_0_178_"/>
    <x v="4"/>
  </r>
  <r>
    <x v="8"/>
    <s v="open"/>
    <x v="2"/>
    <s v="P000000188 SRF-US-UB Other"/>
    <s v="L000013447"/>
    <m/>
    <m/>
    <s v=""/>
    <s v="Changes were saved for change request 25526501"/>
    <s v="EL"/>
    <m/>
    <x v="3"/>
    <m/>
    <m/>
    <s v="on track"/>
    <n v="2"/>
    <s v="Roselle Delos Angeles"/>
    <s v="RECALC_0_124_"/>
    <x v="2"/>
  </r>
  <r>
    <x v="8"/>
    <s v="open"/>
    <x v="2"/>
    <s v="P000000333 SRF-US-UB Quality (T2)"/>
    <s v="L000013447"/>
    <m/>
    <m/>
    <s v=""/>
    <s v="Changes were saved for change request 25526501"/>
    <s v="EL"/>
    <m/>
    <x v="3"/>
    <m/>
    <m/>
    <s v="on track"/>
    <n v="2"/>
    <s v="Roselle Delos Angeles"/>
    <s v="RECALC_0_94_"/>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3B7BF1A-42F2-4067-B04D-115A414CDF8F}" name="PivotTable1" cacheId="27"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rowHeaderCaption="Ticket">
  <location ref="B3:B12" firstHeaderRow="1" firstDataRow="1" firstDataCol="1"/>
  <pivotFields count="19">
    <pivotField axis="axisRow" outline="0" showAll="0" defaultSubtotal="0">
      <items count="553">
        <item m="1" x="551"/>
        <item m="1" x="550"/>
        <item m="1" x="552"/>
        <item m="1" x="537"/>
        <item m="1" x="547"/>
        <item m="1" x="543"/>
        <item m="1" x="548"/>
        <item m="1" x="549"/>
        <item m="1" x="541"/>
        <item m="1" x="544"/>
        <item m="1" x="545"/>
        <item m="1" x="546"/>
        <item m="1" x="542"/>
        <item m="1" x="540"/>
        <item m="1" x="538"/>
        <item m="1" x="539"/>
        <item m="1" x="536"/>
        <item m="1" x="533"/>
        <item m="1" x="534"/>
        <item m="1" x="535"/>
        <item m="1" x="532"/>
        <item m="1" x="529"/>
        <item m="1" x="528"/>
        <item m="1" x="530"/>
        <item m="1" x="106"/>
        <item m="1" x="531"/>
        <item m="1" x="524"/>
        <item m="1" x="525"/>
        <item m="1" x="526"/>
        <item m="1" x="517"/>
        <item m="1" x="527"/>
        <item m="1" x="518"/>
        <item m="1" x="519"/>
        <item m="1" x="510"/>
        <item m="1" x="520"/>
        <item m="1" x="513"/>
        <item m="1" x="521"/>
        <item m="1" x="515"/>
        <item m="1" x="522"/>
        <item m="1" x="523"/>
        <item m="1" x="516"/>
        <item m="1" x="512"/>
        <item m="1" x="514"/>
        <item m="1" x="511"/>
        <item m="1" x="492"/>
        <item m="1" x="505"/>
        <item m="1" x="504"/>
        <item m="1" x="506"/>
        <item m="1" x="507"/>
        <item m="1" x="503"/>
        <item m="1" x="508"/>
        <item m="1" x="509"/>
        <item m="1" x="502"/>
        <item m="1" x="500"/>
        <item m="1" x="493"/>
        <item m="1" x="494"/>
        <item m="1" x="501"/>
        <item m="1" x="496"/>
        <item m="1" x="490"/>
        <item m="1" x="491"/>
        <item m="1" x="495"/>
        <item m="1" x="497"/>
        <item m="1" x="498"/>
        <item m="1" x="499"/>
        <item m="1" x="484"/>
        <item m="1" x="485"/>
        <item m="1" x="486"/>
        <item m="1" x="487"/>
        <item m="1" x="488"/>
        <item m="1" x="489"/>
        <item m="1" x="470"/>
        <item m="1" x="474"/>
        <item m="1" x="475"/>
        <item m="1" x="479"/>
        <item m="1" x="480"/>
        <item m="1" x="481"/>
        <item m="1" x="482"/>
        <item m="1" x="483"/>
        <item m="1" x="476"/>
        <item m="1" x="451"/>
        <item m="1" x="477"/>
        <item m="1" x="478"/>
        <item m="1" x="467"/>
        <item m="1" x="468"/>
        <item m="1" x="471"/>
        <item m="1" x="472"/>
        <item m="1" x="473"/>
        <item m="1" x="469"/>
        <item m="1" x="462"/>
        <item m="1" x="463"/>
        <item m="1" x="464"/>
        <item m="1" x="465"/>
        <item m="1" x="440"/>
        <item m="1" x="441"/>
        <item m="1" x="450"/>
        <item m="1" x="466"/>
        <item m="1" x="457"/>
        <item m="1" x="458"/>
        <item m="1" x="459"/>
        <item m="1" x="460"/>
        <item m="1" x="461"/>
        <item m="1" x="452"/>
        <item m="1" x="453"/>
        <item m="1" x="454"/>
        <item m="1" x="455"/>
        <item m="1" x="456"/>
        <item m="1" x="447"/>
        <item m="1" x="448"/>
        <item m="1" x="442"/>
        <item m="1" x="449"/>
        <item m="1" x="443"/>
        <item m="1" x="438"/>
        <item m="1" x="445"/>
        <item m="1" x="446"/>
        <item m="1" x="425"/>
        <item m="1" x="444"/>
        <item m="1" x="439"/>
        <item m="1" x="437"/>
        <item m="1" x="436"/>
        <item m="1" x="431"/>
        <item m="1" x="434"/>
        <item m="1" x="435"/>
        <item m="1" x="432"/>
        <item m="1" x="422"/>
        <item m="1" x="426"/>
        <item m="1" x="427"/>
        <item m="1" x="433"/>
        <item m="1" x="428"/>
        <item m="1" x="429"/>
        <item m="1" x="430"/>
        <item m="1" x="423"/>
        <item m="1" x="424"/>
        <item m="1" x="421"/>
        <item m="1" x="401"/>
        <item m="1" x="420"/>
        <item m="1" x="419"/>
        <item m="1" x="413"/>
        <item m="1" x="414"/>
        <item m="1" x="415"/>
        <item m="1" x="416"/>
        <item m="1" x="417"/>
        <item m="1" x="418"/>
        <item m="1" x="412"/>
        <item m="1" x="411"/>
        <item m="1" x="409"/>
        <item m="1" x="408"/>
        <item m="1" x="405"/>
        <item m="1" x="406"/>
        <item m="1" x="410"/>
        <item m="1" x="404"/>
        <item m="1" x="407"/>
        <item m="1" x="395"/>
        <item m="1" x="402"/>
        <item m="1" x="403"/>
        <item m="1" x="384"/>
        <item m="1" x="396"/>
        <item m="1" x="400"/>
        <item m="1" x="397"/>
        <item m="1" x="398"/>
        <item m="1" x="399"/>
        <item m="1" x="394"/>
        <item m="1" x="393"/>
        <item m="1" x="392"/>
        <item m="1" x="385"/>
        <item m="1" x="386"/>
        <item m="1" x="387"/>
        <item m="1" x="388"/>
        <item m="1" x="389"/>
        <item m="1" x="390"/>
        <item m="1" x="382"/>
        <item m="1" x="391"/>
        <item m="1" x="383"/>
        <item m="1" x="380"/>
        <item m="1" x="376"/>
        <item m="1" x="377"/>
        <item m="1" x="381"/>
        <item m="1" x="374"/>
        <item m="1" x="378"/>
        <item m="1" x="375"/>
        <item m="1" x="379"/>
        <item m="1" x="371"/>
        <item m="1" x="364"/>
        <item m="1" x="372"/>
        <item m="1" x="373"/>
        <item m="1" x="368"/>
        <item m="1" x="367"/>
        <item m="1" x="369"/>
        <item m="1" x="370"/>
        <item m="1" x="365"/>
        <item m="1" x="366"/>
        <item m="1" x="363"/>
        <item m="1" x="359"/>
        <item m="1" x="360"/>
        <item m="1" x="361"/>
        <item m="1" x="356"/>
        <item m="1" x="362"/>
        <item m="1" x="357"/>
        <item m="1" x="358"/>
        <item m="1" x="350"/>
        <item m="1" x="355"/>
        <item m="1" x="351"/>
        <item m="1" x="352"/>
        <item m="1" x="353"/>
        <item m="1" x="354"/>
        <item m="1" x="348"/>
        <item m="1" x="349"/>
        <item m="1" x="345"/>
        <item m="1" x="347"/>
        <item m="1" x="342"/>
        <item m="1" x="346"/>
        <item m="1" x="343"/>
        <item m="1" x="344"/>
        <item m="1" x="340"/>
        <item m="1" x="341"/>
        <item m="1" x="338"/>
        <item m="1" x="339"/>
        <item m="1" x="336"/>
        <item m="1" x="337"/>
        <item m="1" x="335"/>
        <item m="1" x="332"/>
        <item m="1" x="334"/>
        <item m="1" x="333"/>
        <item m="1" x="328"/>
        <item m="1" x="329"/>
        <item m="1" x="330"/>
        <item m="1" x="331"/>
        <item m="1" x="325"/>
        <item m="1" x="327"/>
        <item m="1" x="326"/>
        <item m="1" x="322"/>
        <item m="1" x="323"/>
        <item m="1" x="324"/>
        <item m="1" x="318"/>
        <item m="1" x="319"/>
        <item m="1" x="320"/>
        <item m="1" x="321"/>
        <item m="1" x="314"/>
        <item m="1" x="315"/>
        <item m="1" x="316"/>
        <item m="1" x="317"/>
        <item m="1" x="310"/>
        <item m="1" x="313"/>
        <item m="1" x="311"/>
        <item m="1" x="312"/>
        <item m="1" x="305"/>
        <item m="1" x="306"/>
        <item m="1" x="307"/>
        <item m="1" x="285"/>
        <item m="1" x="308"/>
        <item m="1" x="309"/>
        <item m="1" x="304"/>
        <item m="1" x="299"/>
        <item m="1" x="300"/>
        <item m="1" x="301"/>
        <item m="1" x="302"/>
        <item m="1" x="303"/>
        <item m="1" x="295"/>
        <item m="1" x="296"/>
        <item m="1" x="293"/>
        <item m="1" x="297"/>
        <item m="1" x="298"/>
        <item m="1" x="294"/>
        <item m="1" x="286"/>
        <item m="1" x="290"/>
        <item m="1" x="291"/>
        <item m="1" x="287"/>
        <item m="1" x="292"/>
        <item m="1" x="288"/>
        <item m="1" x="283"/>
        <item m="1" x="289"/>
        <item m="1" x="284"/>
        <item m="1" x="280"/>
        <item m="1" x="281"/>
        <item m="1" x="282"/>
        <item m="1" x="276"/>
        <item m="1" x="277"/>
        <item m="1" x="278"/>
        <item m="1" x="279"/>
        <item m="1" x="275"/>
        <item m="1" x="272"/>
        <item m="1" x="273"/>
        <item m="1" x="269"/>
        <item m="1" x="270"/>
        <item m="1" x="274"/>
        <item m="1" x="271"/>
        <item m="1" x="266"/>
        <item m="1" x="267"/>
        <item m="1" x="268"/>
        <item m="1" x="264"/>
        <item m="1" x="265"/>
        <item m="1" x="259"/>
        <item m="1" x="260"/>
        <item m="1" x="261"/>
        <item m="1" x="262"/>
        <item m="1" x="263"/>
        <item m="1" x="258"/>
        <item m="1" x="243"/>
        <item m="1" x="244"/>
        <item m="1" x="245"/>
        <item m="1" x="246"/>
        <item m="1" x="247"/>
        <item m="1" x="256"/>
        <item m="1" x="257"/>
        <item m="1" x="248"/>
        <item m="1" x="254"/>
        <item m="1" x="235"/>
        <item m="1" x="249"/>
        <item m="1" x="250"/>
        <item m="1" x="255"/>
        <item m="1" x="251"/>
        <item m="1" x="252"/>
        <item m="1" x="253"/>
        <item m="1" x="227"/>
        <item m="1" x="228"/>
        <item m="1" x="242"/>
        <item m="1" x="229"/>
        <item m="1" x="241"/>
        <item m="1" x="240"/>
        <item m="1" x="230"/>
        <item m="1" x="236"/>
        <item m="1" x="237"/>
        <item m="1" x="238"/>
        <item m="1" x="239"/>
        <item m="1" x="231"/>
        <item m="1" x="212"/>
        <item m="1" x="232"/>
        <item m="1" x="233"/>
        <item m="1" x="234"/>
        <item m="1" x="224"/>
        <item m="1" x="225"/>
        <item m="1" x="207"/>
        <item m="1" x="226"/>
        <item m="1" x="220"/>
        <item m="1" x="221"/>
        <item m="1" x="222"/>
        <item m="1" x="223"/>
        <item m="1" x="192"/>
        <item m="1" x="217"/>
        <item m="1" x="214"/>
        <item m="1" x="218"/>
        <item m="1" x="219"/>
        <item m="1" x="215"/>
        <item m="1" x="216"/>
        <item m="1" x="213"/>
        <item m="1" x="208"/>
        <item m="1" x="211"/>
        <item m="1" x="209"/>
        <item m="1" x="210"/>
        <item m="1" x="193"/>
        <item m="1" x="203"/>
        <item m="1" x="205"/>
        <item m="1" x="206"/>
        <item m="1" x="194"/>
        <item m="1" x="200"/>
        <item m="1" x="201"/>
        <item m="1" x="202"/>
        <item m="1" x="204"/>
        <item m="1" x="199"/>
        <item m="1" x="198"/>
        <item m="1" x="195"/>
        <item m="1" x="196"/>
        <item m="1" x="197"/>
        <item m="1" x="190"/>
        <item m="1" x="191"/>
        <item m="1" x="181"/>
        <item m="1" x="187"/>
        <item m="1" x="188"/>
        <item m="1" x="189"/>
        <item m="1" x="182"/>
        <item m="1" x="183"/>
        <item m="1" x="184"/>
        <item m="1" x="185"/>
        <item m="1" x="186"/>
        <item m="1" x="180"/>
        <item m="1" x="175"/>
        <item m="1" x="176"/>
        <item m="1" x="177"/>
        <item m="1" x="178"/>
        <item m="1" x="179"/>
        <item m="1" x="170"/>
        <item m="1" x="173"/>
        <item m="1" x="152"/>
        <item m="1" x="174"/>
        <item m="1" x="168"/>
        <item m="1" x="131"/>
        <item m="1" x="171"/>
        <item m="1" x="169"/>
        <item m="1" x="172"/>
        <item m="1" x="166"/>
        <item m="1" x="167"/>
        <item m="1" x="164"/>
        <item m="1" x="165"/>
        <item m="1" x="157"/>
        <item m="1" x="161"/>
        <item m="1" x="162"/>
        <item m="1" x="163"/>
        <item m="1" x="159"/>
        <item m="1" x="160"/>
        <item m="1" x="158"/>
        <item m="1" x="148"/>
        <item m="1" x="150"/>
        <item m="1" x="151"/>
        <item m="1" x="153"/>
        <item m="1" x="154"/>
        <item m="1" x="155"/>
        <item m="1" x="156"/>
        <item m="1" x="149"/>
        <item m="1" x="146"/>
        <item m="1" x="147"/>
        <item m="1" x="145"/>
        <item m="1" x="132"/>
        <item m="1" x="133"/>
        <item m="1" x="134"/>
        <item m="1" x="135"/>
        <item m="1" x="144"/>
        <item m="1" x="136"/>
        <item m="1" x="137"/>
        <item m="1" x="138"/>
        <item m="1" x="139"/>
        <item m="1" x="140"/>
        <item m="1" x="141"/>
        <item m="1" x="142"/>
        <item m="1" x="143"/>
        <item m="1" x="120"/>
        <item m="1" x="121"/>
        <item m="1" x="122"/>
        <item m="1" x="123"/>
        <item m="1" x="124"/>
        <item m="1" x="125"/>
        <item m="1" x="126"/>
        <item m="1" x="127"/>
        <item m="1" x="128"/>
        <item m="1" x="129"/>
        <item m="1" x="130"/>
        <item m="1" x="117"/>
        <item m="1" x="118"/>
        <item m="1" x="119"/>
        <item m="1" x="115"/>
        <item m="1" x="107"/>
        <item m="1" x="116"/>
        <item m="1" x="114"/>
        <item m="1" x="111"/>
        <item m="1" x="110"/>
        <item m="1" x="108"/>
        <item m="1" x="109"/>
        <item m="1" x="112"/>
        <item m="1" x="113"/>
        <item m="1" x="104"/>
        <item m="1" x="105"/>
        <item m="1" x="103"/>
        <item m="1" x="102"/>
        <item m="1" x="95"/>
        <item m="1" x="96"/>
        <item m="1" x="97"/>
        <item m="1" x="98"/>
        <item m="1" x="99"/>
        <item m="1" x="100"/>
        <item m="1" x="101"/>
        <item m="1" x="93"/>
        <item m="1" x="94"/>
        <item m="1" x="90"/>
        <item m="1" x="91"/>
        <item m="1" x="89"/>
        <item m="1" x="92"/>
        <item m="1" x="88"/>
        <item m="1" x="85"/>
        <item m="1" x="86"/>
        <item m="1" x="87"/>
        <item m="1" x="83"/>
        <item m="1" x="84"/>
        <item m="1" x="74"/>
        <item m="1" x="75"/>
        <item m="1" x="76"/>
        <item m="1" x="77"/>
        <item m="1" x="78"/>
        <item m="1" x="79"/>
        <item m="1" x="80"/>
        <item m="1" x="81"/>
        <item m="1" x="82"/>
        <item m="1" x="68"/>
        <item m="1" x="72"/>
        <item m="1" x="73"/>
        <item m="1" x="69"/>
        <item m="1" x="70"/>
        <item m="1" x="71"/>
        <item m="1" x="65"/>
        <item m="1" x="61"/>
        <item m="1" x="66"/>
        <item m="1" x="67"/>
        <item m="1" x="62"/>
        <item m="1" x="63"/>
        <item m="1" x="64"/>
        <item m="1" x="21"/>
        <item m="1" x="58"/>
        <item m="1" x="52"/>
        <item m="1" x="59"/>
        <item m="1" x="60"/>
        <item m="1" x="53"/>
        <item m="1" x="54"/>
        <item m="1" x="55"/>
        <item m="1" x="38"/>
        <item m="1" x="56"/>
        <item m="1" x="57"/>
        <item m="1" x="47"/>
        <item m="1" x="48"/>
        <item m="1" x="40"/>
        <item m="1" x="41"/>
        <item m="1" x="49"/>
        <item m="1" x="50"/>
        <item m="1" x="51"/>
        <item m="1" x="42"/>
        <item m="1" x="43"/>
        <item m="1" x="44"/>
        <item m="1" x="45"/>
        <item m="1" x="46"/>
        <item m="1" x="39"/>
        <item m="1" x="34"/>
        <item m="1" x="35"/>
        <item m="1" x="36"/>
        <item m="1" x="37"/>
        <item m="1" x="31"/>
        <item m="1" x="32"/>
        <item m="1" x="33"/>
        <item m="1" x="29"/>
        <item m="1" x="30"/>
        <item m="1" x="24"/>
        <item m="1" x="25"/>
        <item m="1" x="26"/>
        <item m="1" x="27"/>
        <item m="1" x="23"/>
        <item m="1" x="28"/>
        <item m="1" x="22"/>
        <item m="1" x="16"/>
        <item m="1" x="17"/>
        <item m="1" x="18"/>
        <item m="1" x="19"/>
        <item m="1" x="20"/>
        <item m="1" x="14"/>
        <item m="1" x="15"/>
        <item x="0"/>
        <item m="1" x="11"/>
        <item x="1"/>
        <item m="1" x="12"/>
        <item m="1" x="13"/>
        <item m="1" x="9"/>
        <item m="1" x="10"/>
        <item x="2"/>
        <item x="3"/>
        <item x="4"/>
        <item x="5"/>
        <item x="6"/>
        <item x="7"/>
        <item x="8"/>
      </items>
      <extLst>
        <ext xmlns:x14="http://schemas.microsoft.com/office/spreadsheetml/2009/9/main" uri="{2946ED86-A175-432a-8AC1-64E0C546D7DE}">
          <x14:pivotField fillDownLabels="1"/>
        </ext>
      </extLst>
    </pivotField>
    <pivotField showAll="0"/>
    <pivotField showAll="0"/>
    <pivotField showAll="0"/>
    <pivotField showAll="0"/>
    <pivotField showAll="0"/>
    <pivotField showAll="0"/>
    <pivotField showAll="0"/>
    <pivotField showAll="0"/>
    <pivotField showAll="0"/>
    <pivotField showAll="0"/>
    <pivotField numFmtId="165" showAll="0"/>
    <pivotField showAll="0"/>
    <pivotField showAll="0"/>
    <pivotField showAll="0"/>
    <pivotField showAll="0"/>
    <pivotField showAll="0"/>
    <pivotField showAll="0"/>
    <pivotField showAll="0">
      <items count="11">
        <item m="1" x="5"/>
        <item x="2"/>
        <item x="1"/>
        <item m="1" x="9"/>
        <item m="1" x="6"/>
        <item x="3"/>
        <item m="1" x="8"/>
        <item x="4"/>
        <item x="0"/>
        <item m="1" x="7"/>
        <item t="default"/>
      </items>
    </pivotField>
  </pivotFields>
  <rowFields count="1">
    <field x="0"/>
  </rowFields>
  <rowItems count="9">
    <i>
      <x v="539"/>
    </i>
    <i>
      <x v="541"/>
    </i>
    <i>
      <x v="546"/>
    </i>
    <i>
      <x v="547"/>
    </i>
    <i>
      <x v="548"/>
    </i>
    <i>
      <x v="549"/>
    </i>
    <i>
      <x v="550"/>
    </i>
    <i>
      <x v="551"/>
    </i>
    <i>
      <x v="552"/>
    </i>
  </rowItems>
  <colItems count="1">
    <i/>
  </colItems>
  <formats count="13">
    <format dxfId="68">
      <pivotArea type="all" dataOnly="0" outline="0" fieldPosition="0"/>
    </format>
    <format dxfId="67">
      <pivotArea field="0" type="button" dataOnly="0" labelOnly="1" outline="0" axis="axisRow" fieldPosition="0"/>
    </format>
    <format dxfId="66">
      <pivotArea field="18" type="button" dataOnly="0" labelOnly="1" outline="0"/>
    </format>
    <format dxfId="65">
      <pivotArea dataOnly="0" labelOnly="1" fieldPosition="0">
        <references count="1">
          <reference field="0" count="0"/>
        </references>
      </pivotArea>
    </format>
    <format dxfId="64">
      <pivotArea dataOnly="0" labelOnly="1" grandRow="1" outline="0" fieldPosition="0"/>
    </format>
    <format dxfId="63">
      <pivotArea type="all" dataOnly="0" outline="0" fieldPosition="0"/>
    </format>
    <format dxfId="62">
      <pivotArea field="0" type="button" dataOnly="0" labelOnly="1" outline="0" axis="axisRow" fieldPosition="0"/>
    </format>
    <format dxfId="61">
      <pivotArea field="18" type="button" dataOnly="0" labelOnly="1" outline="0"/>
    </format>
    <format dxfId="60">
      <pivotArea dataOnly="0" labelOnly="1" fieldPosition="0">
        <references count="1">
          <reference field="0" count="0"/>
        </references>
      </pivotArea>
    </format>
    <format dxfId="59">
      <pivotArea dataOnly="0" labelOnly="1" grandRow="1" outline="0" fieldPosition="0"/>
    </format>
    <format dxfId="58">
      <pivotArea field="0" type="button" dataOnly="0" labelOnly="1" outline="0" axis="axisRow" fieldPosition="0"/>
    </format>
    <format dxfId="57">
      <pivotArea field="0" type="button" dataOnly="0" labelOnly="1" outline="0" axis="axisRow" fieldPosition="0"/>
    </format>
    <format dxfId="56">
      <pivotArea field="0" type="button" dataOnly="0" labelOnly="1" outline="0" axis="axisRow" fieldPosition="0"/>
    </format>
  </formats>
  <pivotTableStyleInfo name="PivotStyleMedium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16C8A47-D88A-4F2C-BE17-6EB3B9D62EA0}" name="PivotTable1" cacheId="2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A3:B3" firstHeaderRow="1" firstDataRow="1" firstDataCol="2" rowPageCount="1" colPageCount="1"/>
  <pivotFields count="11">
    <pivotField axis="axisRow" outline="0" showAll="0" defaultSubtotal="0">
      <items count="28">
        <item m="1" x="23"/>
        <item m="1" x="26"/>
        <item m="1" x="27"/>
        <item m="1" x="24"/>
        <item m="1" x="25"/>
        <item m="1" x="22"/>
        <item m="1" x="20"/>
        <item m="1" x="21"/>
        <item m="1" x="18"/>
        <item m="1" x="19"/>
        <item m="1" x="14"/>
        <item m="1" x="17"/>
        <item m="1" x="16"/>
        <item m="1" x="15"/>
        <item m="1" x="12"/>
        <item m="1" x="13"/>
        <item m="1" x="10"/>
        <item m="1" x="11"/>
        <item m="1" x="8"/>
        <item m="1" x="9"/>
        <item m="1" x="6"/>
        <item m="1" x="7"/>
        <item m="1" x="4"/>
        <item m="1" x="5"/>
        <item x="0"/>
        <item m="1" x="3"/>
        <item m="1" x="2"/>
        <item x="1"/>
      </items>
    </pivotField>
    <pivotField showAll="0"/>
    <pivotField showAll="0"/>
    <pivotField showAll="0"/>
    <pivotField showAll="0"/>
    <pivotField showAll="0"/>
    <pivotField showAll="0"/>
    <pivotField showAll="0"/>
    <pivotField axis="axisPage" multipleItemSelectionAllowed="1" showAll="0">
      <items count="3">
        <item m="1" x="1"/>
        <item h="1" x="0"/>
        <item t="default"/>
      </items>
    </pivotField>
    <pivotField showAll="0"/>
    <pivotField axis="axisRow" showAll="0">
      <items count="4">
        <item x="0"/>
        <item m="1" x="2"/>
        <item m="1" x="1"/>
        <item t="default"/>
      </items>
    </pivotField>
  </pivotFields>
  <rowFields count="2">
    <field x="0"/>
    <field x="10"/>
  </rowFields>
  <colItems count="1">
    <i/>
  </colItems>
  <pageFields count="1">
    <pageField fld="8" hier="-1"/>
  </pageFields>
  <formats count="6">
    <format dxfId="44">
      <pivotArea type="all" dataOnly="0" outline="0" fieldPosition="0"/>
    </format>
    <format dxfId="43">
      <pivotArea field="0" type="button" dataOnly="0" labelOnly="1" outline="0" axis="axisRow" fieldPosition="0"/>
    </format>
    <format dxfId="42">
      <pivotArea field="10" type="button" dataOnly="0" labelOnly="1" outline="0" axis="axisRow" fieldPosition="1"/>
    </format>
    <format dxfId="41">
      <pivotArea type="all" dataOnly="0" outline="0" fieldPosition="0"/>
    </format>
    <format dxfId="40">
      <pivotArea field="0" type="button" dataOnly="0" labelOnly="1" outline="0" axis="axisRow" fieldPosition="0"/>
    </format>
    <format dxfId="39">
      <pivotArea field="10" type="button" dataOnly="0" labelOnly="1" outline="0" axis="axisRow" fieldPosition="1"/>
    </format>
  </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018D0BB-60EC-4590-8EC6-8A7ED46698C7}" name="PivotTable2" cacheId="2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6">
  <location ref="B4:F13" firstHeaderRow="1" firstDataRow="2" firstDataCol="1" rowPageCount="1" colPageCount="1"/>
  <pivotFields count="19">
    <pivotField axis="axisRow" showAll="0">
      <items count="554">
        <item m="1" x="551"/>
        <item m="1" x="550"/>
        <item m="1" x="552"/>
        <item m="1" x="537"/>
        <item m="1" x="547"/>
        <item m="1" x="543"/>
        <item m="1" x="549"/>
        <item m="1" x="548"/>
        <item m="1" x="541"/>
        <item m="1" x="544"/>
        <item m="1" x="545"/>
        <item m="1" x="546"/>
        <item m="1" x="542"/>
        <item m="1" x="540"/>
        <item m="1" x="538"/>
        <item m="1" x="539"/>
        <item m="1" x="536"/>
        <item m="1" x="533"/>
        <item m="1" x="534"/>
        <item m="1" x="535"/>
        <item m="1" x="532"/>
        <item m="1" x="529"/>
        <item m="1" x="528"/>
        <item m="1" x="530"/>
        <item m="1" x="531"/>
        <item m="1" x="524"/>
        <item m="1" x="525"/>
        <item m="1" x="526"/>
        <item m="1" x="517"/>
        <item m="1" x="527"/>
        <item m="1" x="518"/>
        <item m="1" x="519"/>
        <item m="1" x="510"/>
        <item m="1" x="520"/>
        <item m="1" x="513"/>
        <item m="1" x="522"/>
        <item m="1" x="523"/>
        <item m="1" x="521"/>
        <item m="1" x="515"/>
        <item m="1" x="516"/>
        <item m="1" x="512"/>
        <item m="1" x="514"/>
        <item m="1" x="106"/>
        <item m="1" x="511"/>
        <item m="1" x="492"/>
        <item m="1" x="505"/>
        <item m="1" x="504"/>
        <item m="1" x="506"/>
        <item m="1" x="507"/>
        <item m="1" x="503"/>
        <item m="1" x="508"/>
        <item m="1" x="509"/>
        <item m="1" x="502"/>
        <item m="1" x="500"/>
        <item m="1" x="493"/>
        <item m="1" x="494"/>
        <item m="1" x="501"/>
        <item m="1" x="496"/>
        <item m="1" x="490"/>
        <item m="1" x="491"/>
        <item m="1" x="495"/>
        <item m="1" x="497"/>
        <item m="1" x="498"/>
        <item m="1" x="499"/>
        <item m="1" x="484"/>
        <item m="1" x="485"/>
        <item m="1" x="486"/>
        <item m="1" x="487"/>
        <item m="1" x="488"/>
        <item m="1" x="489"/>
        <item m="1" x="470"/>
        <item m="1" x="474"/>
        <item m="1" x="475"/>
        <item m="1" x="479"/>
        <item m="1" x="480"/>
        <item m="1" x="481"/>
        <item m="1" x="482"/>
        <item m="1" x="483"/>
        <item m="1" x="476"/>
        <item m="1" x="451"/>
        <item m="1" x="477"/>
        <item m="1" x="478"/>
        <item m="1" x="467"/>
        <item m="1" x="468"/>
        <item m="1" x="471"/>
        <item m="1" x="472"/>
        <item m="1" x="473"/>
        <item m="1" x="469"/>
        <item m="1" x="462"/>
        <item m="1" x="463"/>
        <item m="1" x="464"/>
        <item m="1" x="465"/>
        <item m="1" x="440"/>
        <item m="1" x="441"/>
        <item m="1" x="450"/>
        <item m="1" x="466"/>
        <item m="1" x="457"/>
        <item m="1" x="458"/>
        <item m="1" x="459"/>
        <item m="1" x="460"/>
        <item m="1" x="461"/>
        <item m="1" x="452"/>
        <item m="1" x="453"/>
        <item m="1" x="454"/>
        <item m="1" x="455"/>
        <item m="1" x="456"/>
        <item m="1" x="447"/>
        <item m="1" x="448"/>
        <item m="1" x="442"/>
        <item m="1" x="449"/>
        <item m="1" x="443"/>
        <item m="1" x="438"/>
        <item m="1" x="445"/>
        <item m="1" x="446"/>
        <item m="1" x="425"/>
        <item m="1" x="444"/>
        <item m="1" x="439"/>
        <item m="1" x="437"/>
        <item m="1" x="436"/>
        <item m="1" x="431"/>
        <item m="1" x="434"/>
        <item m="1" x="435"/>
        <item m="1" x="432"/>
        <item m="1" x="422"/>
        <item m="1" x="426"/>
        <item m="1" x="427"/>
        <item m="1" x="433"/>
        <item m="1" x="428"/>
        <item m="1" x="429"/>
        <item m="1" x="430"/>
        <item m="1" x="423"/>
        <item m="1" x="424"/>
        <item m="1" x="421"/>
        <item m="1" x="401"/>
        <item m="1" x="420"/>
        <item m="1" x="419"/>
        <item m="1" x="413"/>
        <item m="1" x="414"/>
        <item m="1" x="415"/>
        <item m="1" x="416"/>
        <item m="1" x="417"/>
        <item m="1" x="418"/>
        <item m="1" x="412"/>
        <item m="1" x="411"/>
        <item m="1" x="409"/>
        <item m="1" x="408"/>
        <item m="1" x="405"/>
        <item m="1" x="406"/>
        <item m="1" x="410"/>
        <item m="1" x="404"/>
        <item m="1" x="407"/>
        <item m="1" x="395"/>
        <item m="1" x="402"/>
        <item m="1" x="403"/>
        <item m="1" x="384"/>
        <item m="1" x="396"/>
        <item m="1" x="400"/>
        <item m="1" x="397"/>
        <item m="1" x="398"/>
        <item m="1" x="399"/>
        <item m="1" x="394"/>
        <item m="1" x="393"/>
        <item m="1" x="392"/>
        <item m="1" x="385"/>
        <item m="1" x="386"/>
        <item m="1" x="387"/>
        <item m="1" x="388"/>
        <item m="1" x="389"/>
        <item m="1" x="390"/>
        <item m="1" x="382"/>
        <item m="1" x="391"/>
        <item m="1" x="383"/>
        <item m="1" x="380"/>
        <item m="1" x="376"/>
        <item m="1" x="377"/>
        <item m="1" x="381"/>
        <item m="1" x="374"/>
        <item m="1" x="378"/>
        <item m="1" x="375"/>
        <item m="1" x="379"/>
        <item m="1" x="371"/>
        <item m="1" x="364"/>
        <item m="1" x="372"/>
        <item m="1" x="373"/>
        <item m="1" x="368"/>
        <item m="1" x="367"/>
        <item m="1" x="369"/>
        <item m="1" x="370"/>
        <item m="1" x="365"/>
        <item m="1" x="366"/>
        <item m="1" x="363"/>
        <item m="1" x="359"/>
        <item m="1" x="360"/>
        <item m="1" x="361"/>
        <item m="1" x="356"/>
        <item m="1" x="362"/>
        <item m="1" x="357"/>
        <item m="1" x="358"/>
        <item m="1" x="350"/>
        <item m="1" x="355"/>
        <item m="1" x="351"/>
        <item m="1" x="352"/>
        <item m="1" x="353"/>
        <item m="1" x="354"/>
        <item m="1" x="348"/>
        <item m="1" x="349"/>
        <item m="1" x="345"/>
        <item m="1" x="347"/>
        <item m="1" x="342"/>
        <item m="1" x="346"/>
        <item m="1" x="343"/>
        <item m="1" x="344"/>
        <item m="1" x="340"/>
        <item m="1" x="341"/>
        <item m="1" x="338"/>
        <item m="1" x="339"/>
        <item m="1" x="336"/>
        <item m="1" x="337"/>
        <item m="1" x="335"/>
        <item m="1" x="332"/>
        <item m="1" x="334"/>
        <item m="1" x="333"/>
        <item m="1" x="328"/>
        <item m="1" x="329"/>
        <item m="1" x="330"/>
        <item m="1" x="331"/>
        <item m="1" x="325"/>
        <item m="1" x="327"/>
        <item m="1" x="326"/>
        <item m="1" x="322"/>
        <item m="1" x="323"/>
        <item m="1" x="324"/>
        <item m="1" x="318"/>
        <item m="1" x="319"/>
        <item m="1" x="320"/>
        <item m="1" x="321"/>
        <item m="1" x="314"/>
        <item m="1" x="315"/>
        <item m="1" x="316"/>
        <item m="1" x="317"/>
        <item m="1" x="310"/>
        <item m="1" x="313"/>
        <item m="1" x="311"/>
        <item m="1" x="312"/>
        <item m="1" x="305"/>
        <item m="1" x="306"/>
        <item m="1" x="307"/>
        <item m="1" x="285"/>
        <item m="1" x="308"/>
        <item m="1" x="309"/>
        <item m="1" x="304"/>
        <item m="1" x="299"/>
        <item m="1" x="300"/>
        <item m="1" x="301"/>
        <item m="1" x="302"/>
        <item m="1" x="303"/>
        <item m="1" x="295"/>
        <item m="1" x="296"/>
        <item m="1" x="293"/>
        <item m="1" x="297"/>
        <item m="1" x="298"/>
        <item m="1" x="294"/>
        <item m="1" x="286"/>
        <item m="1" x="290"/>
        <item m="1" x="291"/>
        <item m="1" x="287"/>
        <item m="1" x="292"/>
        <item m="1" x="288"/>
        <item m="1" x="283"/>
        <item m="1" x="289"/>
        <item m="1" x="284"/>
        <item m="1" x="280"/>
        <item m="1" x="281"/>
        <item m="1" x="282"/>
        <item m="1" x="276"/>
        <item m="1" x="277"/>
        <item m="1" x="278"/>
        <item m="1" x="279"/>
        <item m="1" x="275"/>
        <item m="1" x="272"/>
        <item m="1" x="273"/>
        <item m="1" x="269"/>
        <item m="1" x="270"/>
        <item m="1" x="274"/>
        <item m="1" x="271"/>
        <item m="1" x="266"/>
        <item m="1" x="267"/>
        <item m="1" x="268"/>
        <item m="1" x="264"/>
        <item m="1" x="265"/>
        <item m="1" x="259"/>
        <item m="1" x="260"/>
        <item m="1" x="261"/>
        <item m="1" x="262"/>
        <item m="1" x="263"/>
        <item m="1" x="258"/>
        <item m="1" x="243"/>
        <item m="1" x="244"/>
        <item m="1" x="245"/>
        <item m="1" x="246"/>
        <item m="1" x="247"/>
        <item m="1" x="256"/>
        <item m="1" x="257"/>
        <item m="1" x="248"/>
        <item m="1" x="254"/>
        <item m="1" x="235"/>
        <item m="1" x="249"/>
        <item m="1" x="250"/>
        <item m="1" x="255"/>
        <item m="1" x="251"/>
        <item m="1" x="252"/>
        <item m="1" x="253"/>
        <item m="1" x="227"/>
        <item m="1" x="228"/>
        <item m="1" x="242"/>
        <item m="1" x="229"/>
        <item m="1" x="241"/>
        <item m="1" x="240"/>
        <item m="1" x="230"/>
        <item m="1" x="236"/>
        <item m="1" x="237"/>
        <item m="1" x="238"/>
        <item m="1" x="239"/>
        <item m="1" x="231"/>
        <item m="1" x="212"/>
        <item m="1" x="232"/>
        <item m="1" x="233"/>
        <item m="1" x="234"/>
        <item m="1" x="224"/>
        <item m="1" x="225"/>
        <item m="1" x="207"/>
        <item m="1" x="226"/>
        <item m="1" x="220"/>
        <item m="1" x="221"/>
        <item m="1" x="222"/>
        <item m="1" x="223"/>
        <item m="1" x="192"/>
        <item m="1" x="217"/>
        <item m="1" x="214"/>
        <item m="1" x="218"/>
        <item m="1" x="219"/>
        <item m="1" x="215"/>
        <item m="1" x="216"/>
        <item m="1" x="213"/>
        <item m="1" x="208"/>
        <item m="1" x="211"/>
        <item m="1" x="209"/>
        <item m="1" x="210"/>
        <item m="1" x="193"/>
        <item m="1" x="203"/>
        <item m="1" x="205"/>
        <item m="1" x="206"/>
        <item m="1" x="194"/>
        <item m="1" x="200"/>
        <item m="1" x="201"/>
        <item m="1" x="202"/>
        <item m="1" x="204"/>
        <item m="1" x="199"/>
        <item m="1" x="198"/>
        <item m="1" x="195"/>
        <item m="1" x="196"/>
        <item m="1" x="197"/>
        <item m="1" x="190"/>
        <item m="1" x="191"/>
        <item m="1" x="181"/>
        <item m="1" x="187"/>
        <item m="1" x="188"/>
        <item m="1" x="189"/>
        <item m="1" x="182"/>
        <item m="1" x="183"/>
        <item m="1" x="184"/>
        <item m="1" x="185"/>
        <item m="1" x="186"/>
        <item m="1" x="180"/>
        <item m="1" x="175"/>
        <item m="1" x="176"/>
        <item m="1" x="177"/>
        <item m="1" x="178"/>
        <item m="1" x="179"/>
        <item m="1" x="170"/>
        <item m="1" x="173"/>
        <item m="1" x="152"/>
        <item m="1" x="174"/>
        <item m="1" x="168"/>
        <item m="1" x="131"/>
        <item m="1" x="171"/>
        <item m="1" x="169"/>
        <item m="1" x="172"/>
        <item m="1" x="166"/>
        <item m="1" x="167"/>
        <item m="1" x="164"/>
        <item m="1" x="165"/>
        <item m="1" x="157"/>
        <item m="1" x="161"/>
        <item m="1" x="162"/>
        <item m="1" x="163"/>
        <item m="1" x="159"/>
        <item m="1" x="160"/>
        <item m="1" x="158"/>
        <item m="1" x="148"/>
        <item m="1" x="150"/>
        <item m="1" x="151"/>
        <item m="1" x="153"/>
        <item m="1" x="154"/>
        <item m="1" x="155"/>
        <item m="1" x="156"/>
        <item m="1" x="149"/>
        <item m="1" x="146"/>
        <item m="1" x="147"/>
        <item m="1" x="145"/>
        <item m="1" x="132"/>
        <item m="1" x="133"/>
        <item m="1" x="134"/>
        <item m="1" x="135"/>
        <item m="1" x="144"/>
        <item m="1" x="136"/>
        <item m="1" x="137"/>
        <item m="1" x="138"/>
        <item m="1" x="139"/>
        <item m="1" x="140"/>
        <item m="1" x="141"/>
        <item m="1" x="142"/>
        <item m="1" x="143"/>
        <item m="1" x="120"/>
        <item m="1" x="121"/>
        <item m="1" x="122"/>
        <item m="1" x="123"/>
        <item m="1" x="124"/>
        <item m="1" x="125"/>
        <item m="1" x="126"/>
        <item m="1" x="127"/>
        <item m="1" x="128"/>
        <item m="1" x="129"/>
        <item m="1" x="130"/>
        <item m="1" x="117"/>
        <item m="1" x="118"/>
        <item m="1" x="119"/>
        <item m="1" x="115"/>
        <item m="1" x="107"/>
        <item m="1" x="116"/>
        <item m="1" x="114"/>
        <item m="1" x="111"/>
        <item m="1" x="110"/>
        <item m="1" x="108"/>
        <item m="1" x="109"/>
        <item m="1" x="112"/>
        <item m="1" x="113"/>
        <item m="1" x="104"/>
        <item m="1" x="105"/>
        <item m="1" x="103"/>
        <item m="1" x="102"/>
        <item m="1" x="95"/>
        <item m="1" x="96"/>
        <item m="1" x="97"/>
        <item m="1" x="98"/>
        <item m="1" x="99"/>
        <item m="1" x="100"/>
        <item m="1" x="101"/>
        <item m="1" x="93"/>
        <item m="1" x="94"/>
        <item m="1" x="90"/>
        <item m="1" x="91"/>
        <item m="1" x="89"/>
        <item m="1" x="92"/>
        <item m="1" x="88"/>
        <item m="1" x="85"/>
        <item m="1" x="86"/>
        <item m="1" x="87"/>
        <item m="1" x="83"/>
        <item m="1" x="84"/>
        <item m="1" x="74"/>
        <item m="1" x="75"/>
        <item m="1" x="76"/>
        <item m="1" x="77"/>
        <item m="1" x="78"/>
        <item m="1" x="79"/>
        <item m="1" x="80"/>
        <item m="1" x="81"/>
        <item m="1" x="82"/>
        <item m="1" x="68"/>
        <item m="1" x="72"/>
        <item m="1" x="73"/>
        <item m="1" x="69"/>
        <item m="1" x="70"/>
        <item m="1" x="71"/>
        <item m="1" x="65"/>
        <item m="1" x="61"/>
        <item m="1" x="66"/>
        <item m="1" x="67"/>
        <item m="1" x="62"/>
        <item m="1" x="63"/>
        <item m="1" x="64"/>
        <item m="1" x="21"/>
        <item m="1" x="58"/>
        <item m="1" x="52"/>
        <item m="1" x="59"/>
        <item m="1" x="60"/>
        <item m="1" x="53"/>
        <item m="1" x="54"/>
        <item m="1" x="55"/>
        <item m="1" x="38"/>
        <item m="1" x="56"/>
        <item m="1" x="57"/>
        <item m="1" x="47"/>
        <item m="1" x="48"/>
        <item m="1" x="40"/>
        <item m="1" x="41"/>
        <item m="1" x="49"/>
        <item m="1" x="50"/>
        <item m="1" x="51"/>
        <item m="1" x="42"/>
        <item m="1" x="43"/>
        <item m="1" x="44"/>
        <item m="1" x="45"/>
        <item m="1" x="46"/>
        <item m="1" x="39"/>
        <item m="1" x="34"/>
        <item m="1" x="35"/>
        <item m="1" x="36"/>
        <item m="1" x="37"/>
        <item m="1" x="31"/>
        <item m="1" x="32"/>
        <item m="1" x="33"/>
        <item m="1" x="29"/>
        <item m="1" x="30"/>
        <item m="1" x="24"/>
        <item m="1" x="25"/>
        <item m="1" x="26"/>
        <item m="1" x="27"/>
        <item m="1" x="23"/>
        <item m="1" x="28"/>
        <item m="1" x="22"/>
        <item m="1" x="16"/>
        <item m="1" x="17"/>
        <item m="1" x="18"/>
        <item m="1" x="19"/>
        <item m="1" x="20"/>
        <item m="1" x="14"/>
        <item m="1" x="15"/>
        <item x="0"/>
        <item m="1" x="11"/>
        <item x="1"/>
        <item m="1" x="12"/>
        <item m="1" x="13"/>
        <item m="1" x="9"/>
        <item m="1" x="10"/>
        <item x="2"/>
        <item x="3"/>
        <item x="4"/>
        <item x="5"/>
        <item x="6"/>
        <item x="7"/>
        <item x="8"/>
        <item t="default"/>
      </items>
    </pivotField>
    <pivotField showAll="0"/>
    <pivotField axis="axisCol" showAll="0">
      <items count="9">
        <item x="3"/>
        <item x="0"/>
        <item x="1"/>
        <item x="2"/>
        <item m="1" x="7"/>
        <item x="4"/>
        <item m="1" x="5"/>
        <item m="1" x="6"/>
        <item t="default"/>
      </items>
    </pivotField>
    <pivotField showAll="0"/>
    <pivotField showAll="0"/>
    <pivotField showAll="0"/>
    <pivotField showAll="0"/>
    <pivotField showAll="0"/>
    <pivotField showAll="0"/>
    <pivotField showAll="0"/>
    <pivotField showAll="0"/>
    <pivotField axis="axisPage" numFmtId="165" showAll="0">
      <items count="200">
        <item m="1" x="195"/>
        <item m="1" x="197"/>
        <item m="1" x="196"/>
        <item m="1" x="198"/>
        <item m="1" x="190"/>
        <item m="1" x="194"/>
        <item m="1" x="193"/>
        <item m="1" x="191"/>
        <item m="1" x="192"/>
        <item m="1" x="189"/>
        <item m="1" x="187"/>
        <item m="1" x="188"/>
        <item m="1" x="185"/>
        <item m="1" x="186"/>
        <item m="1" x="181"/>
        <item m="1" x="184"/>
        <item m="1" x="179"/>
        <item m="1" x="183"/>
        <item m="1" x="182"/>
        <item m="1" x="180"/>
        <item m="1" x="177"/>
        <item m="1" x="170"/>
        <item m="1" x="178"/>
        <item m="1" x="176"/>
        <item m="1" x="173"/>
        <item m="1" x="175"/>
        <item m="1" x="174"/>
        <item m="1" x="168"/>
        <item m="1" x="171"/>
        <item m="1" x="172"/>
        <item m="1" x="169"/>
        <item m="1" x="161"/>
        <item m="1" x="165"/>
        <item m="1" x="166"/>
        <item m="1" x="167"/>
        <item m="1" x="164"/>
        <item m="1" x="163"/>
        <item m="1" x="162"/>
        <item m="1" x="155"/>
        <item m="1" x="159"/>
        <item m="1" x="160"/>
        <item m="1" x="158"/>
        <item m="1" x="156"/>
        <item m="1" x="154"/>
        <item m="1" x="157"/>
        <item m="1" x="153"/>
        <item m="1" x="152"/>
        <item m="1" x="151"/>
        <item m="1" x="150"/>
        <item m="1" x="147"/>
        <item m="1" x="148"/>
        <item m="1" x="149"/>
        <item m="1" x="146"/>
        <item m="1" x="145"/>
        <item m="1" x="143"/>
        <item m="1" x="144"/>
        <item m="1" x="142"/>
        <item m="1" x="141"/>
        <item m="1" x="140"/>
        <item m="1" x="139"/>
        <item m="1" x="137"/>
        <item m="1" x="138"/>
        <item m="1" x="136"/>
        <item m="1" x="135"/>
        <item m="1" x="133"/>
        <item m="1" x="134"/>
        <item m="1" x="131"/>
        <item m="1" x="132"/>
        <item m="1" x="130"/>
        <item m="1" x="129"/>
        <item m="1" x="126"/>
        <item m="1" x="127"/>
        <item m="1" x="128"/>
        <item m="1" x="125"/>
        <item m="1" x="118"/>
        <item m="1" x="123"/>
        <item m="1" x="124"/>
        <item m="1" x="121"/>
        <item m="1" x="122"/>
        <item m="1" x="119"/>
        <item m="1" x="120"/>
        <item m="1" x="116"/>
        <item m="1" x="117"/>
        <item m="1" x="115"/>
        <item m="1" x="114"/>
        <item m="1" x="113"/>
        <item m="1" x="112"/>
        <item m="1" x="111"/>
        <item m="1" x="110"/>
        <item m="1" x="109"/>
        <item m="1" x="106"/>
        <item m="1" x="107"/>
        <item m="1" x="108"/>
        <item m="1" x="105"/>
        <item m="1" x="99"/>
        <item m="1" x="100"/>
        <item m="1" x="101"/>
        <item m="1" x="102"/>
        <item m="1" x="95"/>
        <item m="1" x="103"/>
        <item m="1" x="104"/>
        <item m="1" x="90"/>
        <item m="1" x="91"/>
        <item m="1" x="92"/>
        <item m="1" x="93"/>
        <item m="1" x="96"/>
        <item m="1" x="97"/>
        <item m="1" x="98"/>
        <item m="1" x="84"/>
        <item m="1" x="94"/>
        <item m="1" x="79"/>
        <item m="1" x="89"/>
        <item m="1" x="72"/>
        <item m="1" x="88"/>
        <item m="1" x="86"/>
        <item m="1" x="87"/>
        <item m="1" x="85"/>
        <item m="1" x="80"/>
        <item m="1" x="83"/>
        <item m="1" x="81"/>
        <item m="1" x="82"/>
        <item m="1" x="73"/>
        <item m="1" x="74"/>
        <item m="1" x="78"/>
        <item m="1" x="77"/>
        <item m="1" x="76"/>
        <item m="1" x="75"/>
        <item m="1" x="71"/>
        <item m="1" x="68"/>
        <item m="1" x="70"/>
        <item m="1" x="69"/>
        <item m="1" x="67"/>
        <item m="1" x="66"/>
        <item m="1" x="59"/>
        <item m="1" x="57"/>
        <item m="1" x="52"/>
        <item m="1" x="65"/>
        <item m="1" x="61"/>
        <item m="1" x="63"/>
        <item m="1" x="64"/>
        <item m="1" x="62"/>
        <item m="1" x="58"/>
        <item m="1" x="60"/>
        <item m="1" x="55"/>
        <item m="1" x="56"/>
        <item m="1" x="54"/>
        <item m="1" x="53"/>
        <item m="1" x="48"/>
        <item m="1" x="51"/>
        <item m="1" x="49"/>
        <item m="1" x="50"/>
        <item m="1" x="47"/>
        <item m="1" x="44"/>
        <item m="1" x="46"/>
        <item m="1" x="45"/>
        <item m="1" x="43"/>
        <item m="1" x="42"/>
        <item m="1" x="41"/>
        <item m="1" x="38"/>
        <item m="1" x="39"/>
        <item m="1" x="40"/>
        <item m="1" x="37"/>
        <item m="1" x="36"/>
        <item m="1" x="35"/>
        <item m="1" x="34"/>
        <item m="1" x="33"/>
        <item m="1" x="31"/>
        <item m="1" x="32"/>
        <item m="1" x="27"/>
        <item m="1" x="28"/>
        <item m="1" x="29"/>
        <item m="1" x="30"/>
        <item m="1" x="26"/>
        <item m="1" x="23"/>
        <item m="1" x="25"/>
        <item m="1" x="24"/>
        <item m="1" x="8"/>
        <item m="1" x="21"/>
        <item m="1" x="22"/>
        <item m="1" x="16"/>
        <item m="1" x="20"/>
        <item m="1" x="17"/>
        <item m="1" x="18"/>
        <item m="1" x="19"/>
        <item m="1" x="15"/>
        <item m="1" x="14"/>
        <item m="1" x="13"/>
        <item m="1" x="11"/>
        <item m="1" x="12"/>
        <item m="1" x="10"/>
        <item m="1" x="9"/>
        <item m="1" x="7"/>
        <item x="0"/>
        <item x="1"/>
        <item m="1" x="5"/>
        <item m="1" x="6"/>
        <item x="2"/>
        <item m="1" x="4"/>
        <item x="3"/>
        <item t="default"/>
      </items>
    </pivotField>
    <pivotField showAll="0"/>
    <pivotField showAll="0"/>
    <pivotField showAll="0"/>
    <pivotField dataField="1" showAll="0"/>
    <pivotField showAll="0"/>
    <pivotField showAll="0"/>
    <pivotField showAll="0"/>
  </pivotFields>
  <rowFields count="1">
    <field x="0"/>
  </rowFields>
  <rowItems count="9">
    <i>
      <x v="539"/>
    </i>
    <i>
      <x v="541"/>
    </i>
    <i>
      <x v="546"/>
    </i>
    <i>
      <x v="547"/>
    </i>
    <i>
      <x v="548"/>
    </i>
    <i>
      <x v="549"/>
    </i>
    <i>
      <x v="550"/>
    </i>
    <i>
      <x v="551"/>
    </i>
    <i>
      <x v="552"/>
    </i>
  </rowItems>
  <colFields count="1">
    <field x="2"/>
  </colFields>
  <colItems count="5">
    <i>
      <x/>
    </i>
    <i>
      <x v="1"/>
    </i>
    <i>
      <x v="2"/>
    </i>
    <i>
      <x v="3"/>
    </i>
    <i>
      <x v="5"/>
    </i>
  </colItems>
  <pageFields count="1">
    <pageField fld="11" hier="-1"/>
  </pageFields>
  <dataFields count="1">
    <dataField name="Average of DaysAgeing" fld="15" subtotal="average" baseField="0" baseItem="0"/>
  </dataFields>
  <chartFormats count="8">
    <chartFormat chart="2" format="9" series="1">
      <pivotArea type="data" outline="0" fieldPosition="0">
        <references count="2">
          <reference field="4294967294" count="1" selected="0">
            <x v="0"/>
          </reference>
          <reference field="2" count="1" selected="0">
            <x v="0"/>
          </reference>
        </references>
      </pivotArea>
    </chartFormat>
    <chartFormat chart="2" format="10" series="1">
      <pivotArea type="data" outline="0" fieldPosition="0">
        <references count="2">
          <reference field="4294967294" count="1" selected="0">
            <x v="0"/>
          </reference>
          <reference field="2" count="1" selected="0">
            <x v="1"/>
          </reference>
        </references>
      </pivotArea>
    </chartFormat>
    <chartFormat chart="2" format="11" series="1">
      <pivotArea type="data" outline="0" fieldPosition="0">
        <references count="2">
          <reference field="4294967294" count="1" selected="0">
            <x v="0"/>
          </reference>
          <reference field="2" count="1" selected="0">
            <x v="2"/>
          </reference>
        </references>
      </pivotArea>
    </chartFormat>
    <chartFormat chart="2" format="12" series="1">
      <pivotArea type="data" outline="0" fieldPosition="0">
        <references count="1">
          <reference field="4294967294" count="1" selected="0">
            <x v="0"/>
          </reference>
        </references>
      </pivotArea>
    </chartFormat>
    <chartFormat chart="2" format="15" series="1">
      <pivotArea type="data" outline="0" fieldPosition="0">
        <references count="2">
          <reference field="4294967294" count="1" selected="0">
            <x v="0"/>
          </reference>
          <reference field="2" count="1" selected="0">
            <x v="3"/>
          </reference>
        </references>
      </pivotArea>
    </chartFormat>
    <chartFormat chart="2" format="16" series="1">
      <pivotArea type="data" outline="0" fieldPosition="0">
        <references count="2">
          <reference field="4294967294" count="1" selected="0">
            <x v="0"/>
          </reference>
          <reference field="2" count="1" selected="0">
            <x v="4"/>
          </reference>
        </references>
      </pivotArea>
    </chartFormat>
    <chartFormat chart="2" format="17" series="1">
      <pivotArea type="data" outline="0" fieldPosition="0">
        <references count="2">
          <reference field="4294967294" count="1" selected="0">
            <x v="0"/>
          </reference>
          <reference field="2" count="1" selected="0">
            <x v="5"/>
          </reference>
        </references>
      </pivotArea>
    </chartFormat>
    <chartFormat chart="2" format="18" series="1">
      <pivotArea type="data" outline="0" fieldPosition="0">
        <references count="2">
          <reference field="4294967294" count="1" selected="0">
            <x v="0"/>
          </reference>
          <reference field="2"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9A2063C9-9838-4BEB-B754-05ED5A8D8EC6}" autoFormatId="16" applyNumberFormats="0" applyBorderFormats="0" applyFontFormats="0" applyPatternFormats="0" applyAlignmentFormats="0" applyWidthHeightFormats="0">
  <queryTableRefresh nextId="24" unboundColumnsRight="2">
    <queryTableFields count="19">
      <queryTableField id="1" name="App" tableColumnId="1"/>
      <queryTableField id="2" name="Filter" tableColumnId="2"/>
      <queryTableField id="3" name="Status" tableColumnId="3"/>
      <queryTableField id="4" name="Obj" tableColumnId="4"/>
      <queryTableField id="5" name="Requested" tableColumnId="5"/>
      <queryTableField id="6" name="CurrentParent" tableColumnId="6"/>
      <queryTableField id="7" name="type" tableColumnId="7"/>
      <queryTableField id="8" name="LFF_ID" tableColumnId="8"/>
      <queryTableField id="9" name="Analysis" tableColumnId="9"/>
      <queryTableField id="11" name="Sector" tableColumnId="11"/>
      <queryTableField id="12" name="Forecast" tableColumnId="12"/>
      <queryTableField id="13" name="DateOpened" tableColumnId="13"/>
      <queryTableField id="14" name="DateMapped" tableColumnId="14"/>
      <queryTableField id="15" name="DateClosed" tableColumnId="15"/>
      <queryTableField id="16" name="Delayed?" tableColumnId="16"/>
      <queryTableField id="17" name="DaysAgeing" tableColumnId="17"/>
      <queryTableField id="18" name="Author" tableColumnId="18"/>
      <queryTableField id="21" dataBound="0" tableColumnId="21"/>
      <queryTableField id="22" dataBound="0" tableColumnId="2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A6BE703-F113-457D-A19A-C0D0218F4127}" name="Proc" displayName="Proc" ref="A2:S344" tableType="queryTable" totalsRowShown="0" headerRowDxfId="70" dataDxfId="69">
  <autoFilter ref="A2:S344" xr:uid="{7A6BE703-F113-457D-A19A-C0D0218F4127}"/>
  <tableColumns count="19">
    <tableColumn id="1" xr3:uid="{4870ADB6-EDD3-4606-B127-4ACDDE776F5D}" uniqueName="1" name="App" queryTableFieldId="1" dataDxfId="18"/>
    <tableColumn id="2" xr3:uid="{CBF6B912-CBB5-44D6-A562-DF03F93533BC}" uniqueName="2" name="Filter" queryTableFieldId="2" dataDxfId="17"/>
    <tableColumn id="3" xr3:uid="{5C937F9C-1E94-4ED4-9B67-4B7ED920DDBF}" uniqueName="3" name="Status" queryTableFieldId="3" dataDxfId="16"/>
    <tableColumn id="4" xr3:uid="{8D527A26-A627-45E0-A4EC-A0659270469C}" uniqueName="4" name="Obj" queryTableFieldId="4" dataDxfId="15"/>
    <tableColumn id="5" xr3:uid="{B5B1D2DC-44C0-4DB8-A92F-8EE30ED3ABD7}" uniqueName="5" name="Requested" queryTableFieldId="5" dataDxfId="14"/>
    <tableColumn id="6" xr3:uid="{B02CB1B4-2C77-4510-8FD9-21B4D3B16D2A}" uniqueName="6" name="CurrentParent" queryTableFieldId="6" dataDxfId="13"/>
    <tableColumn id="7" xr3:uid="{58C1723F-CF2B-4404-A504-4A84B02F2C6F}" uniqueName="7" name="type" queryTableFieldId="7" dataDxfId="12"/>
    <tableColumn id="8" xr3:uid="{F3963F5A-DCC0-4467-9715-C30250E5341C}" uniqueName="8" name="LFF_ID" queryTableFieldId="8" dataDxfId="11"/>
    <tableColumn id="9" xr3:uid="{81C46FB4-F94C-49A1-9091-7F01F968AA0A}" uniqueName="9" name="Analysis" queryTableFieldId="9" dataDxfId="10"/>
    <tableColumn id="11" xr3:uid="{9948AB59-A213-4C8B-AEEE-47A96427402D}" uniqueName="11" name="Sector" queryTableFieldId="11" dataDxfId="9"/>
    <tableColumn id="12" xr3:uid="{262CA590-BA69-4399-A591-6A9527F2A0DF}" uniqueName="12" name="Forecast" queryTableFieldId="12" dataDxfId="8"/>
    <tableColumn id="13" xr3:uid="{364AA344-A006-4108-B79A-C529F443BB73}" uniqueName="13" name="DateOpened" queryTableFieldId="13" dataDxfId="7"/>
    <tableColumn id="14" xr3:uid="{BB44F287-F924-488A-919D-8C8401C27EA7}" uniqueName="14" name="DateMapped" queryTableFieldId="14" dataDxfId="6"/>
    <tableColumn id="15" xr3:uid="{771CB4BC-8557-4818-A626-694126D91039}" uniqueName="15" name="DateClosed" queryTableFieldId="15" dataDxfId="5"/>
    <tableColumn id="16" xr3:uid="{C7A738BC-02DF-4C2B-9920-26938F8E9CBF}" uniqueName="16" name="Delayed?" queryTableFieldId="16" dataDxfId="4"/>
    <tableColumn id="17" xr3:uid="{13AD3F15-85F1-4420-9703-7071AF6A884B}" uniqueName="17" name="DaysAgeing" queryTableFieldId="17" dataDxfId="3"/>
    <tableColumn id="18" xr3:uid="{87717F22-8EEE-4BD2-AB65-0EDA41DF2D11}" uniqueName="18" name="Author" queryTableFieldId="18" dataDxfId="2"/>
    <tableColumn id="21" xr3:uid="{717860F8-9C5E-4366-9A06-EB4874653786}" uniqueName="21" name="TM1" queryTableFieldId="21" dataDxfId="1">
      <calculatedColumnFormula array="1">_xll.ELPAR($D$1,D3,1)</calculatedColumnFormula>
    </tableColumn>
    <tableColumn id="22" xr3:uid="{BF164BE6-2B49-47F4-80BB-BC18D61A68E5}" uniqueName="22" name="RESOLVED?" queryTableFieldId="22" dataDxfId="0">
      <calculatedColumnFormula>IF(ISERROR(Proc[[#This Row],[TM1]]),C3,IF(LEFT(Proc[[#This Row],[TM1]],10)=Proc[[#This Row],[Requested]],"MAPPED",C3))</calculatedColumnFormula>
    </tableColumn>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5EC56CC-C4BC-4A9D-9AC3-3A959BFF4D69}" name="Overview" displayName="Overview" ref="C3:L8" totalsRowShown="0" headerRowDxfId="55">
  <autoFilter ref="C3:L8" xr:uid="{F5EC56CC-C4BC-4A9D-9AC3-3A959BFF4D69}"/>
  <tableColumns count="10">
    <tableColumn id="1" xr3:uid="{DE54352E-6718-41AE-AA03-2959D165085C}" name="Waiting for Tm1 Replication" dataDxfId="54">
      <calculatedColumnFormula>COUNTIFS(Proc!$A:$A,$B4,Proc!$S:$S,C$3)</calculatedColumnFormula>
    </tableColumn>
    <tableColumn id="2" xr3:uid="{71D616B1-874F-47C5-A686-BAA0A60B3E74}" name="Waiting for MDGF approval" dataDxfId="53">
      <calculatedColumnFormula>COUNTIFS(Proc!$A:$A,$B4,Proc!$S:$S,D$3)</calculatedColumnFormula>
    </tableColumn>
    <tableColumn id="3" xr3:uid="{8D391610-8CAB-46F1-A8F9-DF5B1979658C}" name="Waiting for Requestor" dataDxfId="52">
      <calculatedColumnFormula>COUNTIFS(Proc!$A:$A,$B4,Proc!$S:$S,E$3)</calculatedColumnFormula>
    </tableColumn>
    <tableColumn id="4" xr3:uid="{2F1F4532-E75A-4E41-B9E7-216D35134E28}" name="New" dataDxfId="51">
      <calculatedColumnFormula>COUNTIFS(Proc!$A:$A,$B4,Proc!$S:$S,F$3)</calculatedColumnFormula>
    </tableColumn>
    <tableColumn id="5" xr3:uid="{72BE124C-3831-4249-BDEF-F600BC25DCFE}" name="Cancelled" dataDxfId="50">
      <calculatedColumnFormula>COUNTIFS(Proc!$A:$A,$B4,Proc!$S:$S,G$3)</calculatedColumnFormula>
    </tableColumn>
    <tableColumn id="6" xr3:uid="{F49B10CE-5BE5-46A7-BEDA-5AB85CBB120A}" name="Not for mapping/Invalid" dataDxfId="49">
      <calculatedColumnFormula>COUNTIFS(Proc!$A:$A,$B4,Proc!$S:$S,H$3)</calculatedColumnFormula>
    </tableColumn>
    <tableColumn id="7" xr3:uid="{ABA65020-471B-41DA-A555-7BF17511C3D8}" name="MAPPED" dataDxfId="48">
      <calculatedColumnFormula>COUNTIFS(Proc!$A:$A,$B4,Proc!$S:$S,I$3)</calculatedColumnFormula>
    </tableColumn>
    <tableColumn id="8" xr3:uid="{55E219ED-5437-48B4-A1C7-4FD32CBBB2AA}" name="Overall Status" dataDxfId="47">
      <calculatedColumnFormula>IF($F4&gt;0,"Pending",IF(OR($C4&gt;0,$D4&gt;0,$E4&gt;0),"Pending","OK"))</calculatedColumnFormula>
    </tableColumn>
    <tableColumn id="9" xr3:uid="{2AA684BE-7E23-4F1B-B07B-81AE9A41AFA5}" name="Total Count of Resolved Objects" dataDxfId="46">
      <calculatedColumnFormula>Overview[[#This Row],[MAPPED]]</calculatedColumnFormula>
    </tableColumn>
    <tableColumn id="10" xr3:uid="{27D053A0-9201-4B1E-B61D-A293D0C8C445}" name="Resolution Comments" dataDxfId="45">
      <calculatedColumnFormula>IF(J4="OK",IF(K4&gt;0,IF(I4&gt;1,CONCATENATE(TEXT(I4,"0")," ","objects have been successfully mapped."),"Object has been successfully mapped."),""),"")</calculatedColumnFormula>
    </tableColumn>
  </tableColumns>
  <tableStyleInfo name="TableStyleMedium2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FD5481B-304D-4BE9-8F56-4ADB4E48A7BD}" name="Table13" displayName="Table13" ref="A1:G19">
  <autoFilter ref="A1:G19" xr:uid="{B5C2FB34-5DE6-4A5C-8026-8C500B453614}"/>
  <tableColumns count="7">
    <tableColumn id="1" xr3:uid="{AE98A303-CBE8-474C-A986-32469EDD492A}" name="Comment"/>
    <tableColumn id="2" xr3:uid="{DD3B2C20-3653-4E59-8C9A-D02B4192A7DA}" name="CO"/>
    <tableColumn id="4" xr3:uid="{2645F7DF-057A-48A8-BA51-0B9992FA8E6C}" name="Requested"/>
    <tableColumn id="3" xr3:uid="{6A590FBC-DE3C-4C0A-AA1C-61ED80B1D021}" name="TM1" totalsRowFunction="custom" dataDxfId="38" totalsRowDxfId="37">
      <calculatedColumnFormula array="1">_xll.ELPAR(Proc!$D$1,B2,1)</calculatedColumnFormula>
      <totalsRowFormula>_xll.DBRA("rc-2025:mCostObject_2025",_xll.ELPAR("rc-2025:mCostObject_2025",#REF!,1),"Key&amp;English")</totalsRowFormula>
    </tableColumn>
    <tableColumn id="7" xr3:uid="{EB38B92C-129C-4939-BF5A-E45742108837}" name="Match?" dataDxfId="36" totalsRowDxfId="35">
      <calculatedColumnFormula>LEFT(Table13[[#This Row],[TM1]],10)=Table13[[#This Row],[Requested]]</calculatedColumnFormula>
    </tableColumn>
    <tableColumn id="5" xr3:uid="{AA052BF4-5066-4E48-88E0-AEA0C20A6D97}" name="Level 1" dataDxfId="34" totalsRowDxfId="33">
      <calculatedColumnFormula array="1">_xll.ELPAR(Proc!$D$1,D2,1)</calculatedColumnFormula>
    </tableColumn>
    <tableColumn id="6" xr3:uid="{79779B3B-3A37-48B2-ABBB-3622688F6691}" name="Level 2" dataDxfId="32" totalsRowDxfId="31">
      <calculatedColumnFormula array="1">_xll.ELPAR(Proc!$D$1,F2,1)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ustomProperty" Target="../customProperty3.bin"/><Relationship Id="rId2" Type="http://schemas.openxmlformats.org/officeDocument/2006/relationships/customProperty" Target="../customProperty2.bin"/><Relationship Id="rId1" Type="http://schemas.openxmlformats.org/officeDocument/2006/relationships/customProperty" Target="../customProperty1.bin"/></Relationships>
</file>

<file path=xl/worksheets/_rels/sheet2.xml.rels><?xml version="1.0" encoding="UTF-8" standalone="yes"?>
<Relationships xmlns="http://schemas.openxmlformats.org/package/2006/relationships"><Relationship Id="rId2" Type="http://schemas.openxmlformats.org/officeDocument/2006/relationships/customProperty" Target="../customProperty5.bin"/><Relationship Id="rId1" Type="http://schemas.openxmlformats.org/officeDocument/2006/relationships/customProperty" Target="../customProperty4.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6.bin"/><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ustomProperty" Target="../customProperty9.bin"/><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5" Type="http://schemas.openxmlformats.org/officeDocument/2006/relationships/table" Target="../tables/table2.xml"/><Relationship Id="rId4"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printerSettings" Target="../printerSettings/printerSettings4.bin"/><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customProperty" Target="../customProperty11.bin"/><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customProperty" Target="../customProperty12.bin"/></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3.bin"/><Relationship Id="rId2" Type="http://schemas.openxmlformats.org/officeDocument/2006/relationships/printerSettings" Target="../printerSettings/printerSettings6.bin"/><Relationship Id="rId1" Type="http://schemas.openxmlformats.org/officeDocument/2006/relationships/pivotTable" Target="../pivotTables/pivotTable3.xml"/></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89407-4E7B-4CCA-AFD7-B51D6B28AA73}">
  <sheetPr codeName="Sheet1"/>
  <dimension ref="A1"/>
  <sheetViews>
    <sheetView workbookViewId="0"/>
  </sheetViews>
  <sheetFormatPr defaultRowHeight="15"/>
  <sheetData/>
  <pageMargins left="0.7" right="0.7" top="0.75" bottom="0.75" header="0.3" footer="0.3"/>
  <customProperties>
    <customPr name="_pios_id" r:id="rId1"/>
    <customPr name="CofWorksheetType" r:id="rId2"/>
    <customPr name="serializedData2" r:id="rId3"/>
  </customPropertie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C8472-C20D-4D67-9C30-81D3A3874228}">
  <sheetPr codeName="Sheet2"/>
  <dimension ref="A1"/>
  <sheetViews>
    <sheetView workbookViewId="0"/>
  </sheetViews>
  <sheetFormatPr defaultRowHeight="15"/>
  <sheetData/>
  <pageMargins left="0.7" right="0.7" top="0.75" bottom="0.75" header="0.3" footer="0.3"/>
  <customProperties>
    <customPr name="_pios_id" r:id="rId1"/>
    <customPr name="CafeStyleVersion" r:id="rId2"/>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AADA9-3A72-4388-8097-383B74F24E5F}">
  <sheetPr codeName="Sheet9"/>
  <dimension ref="A1:F122"/>
  <sheetViews>
    <sheetView showGridLines="0" zoomScale="85" zoomScaleNormal="85" workbookViewId="0">
      <selection activeCell="B11" sqref="B11"/>
    </sheetView>
  </sheetViews>
  <sheetFormatPr defaultRowHeight="14.25"/>
  <cols>
    <col min="1" max="1" width="103.5703125" style="9" customWidth="1"/>
    <col min="2" max="2" width="51.85546875" style="9" customWidth="1"/>
    <col min="3" max="3" width="9.140625" style="9"/>
    <col min="4" max="4" width="26.5703125" style="9" bestFit="1" customWidth="1"/>
    <col min="5" max="16384" width="9.140625" style="9"/>
  </cols>
  <sheetData>
    <row r="1" spans="1:5" ht="15" thickBot="1">
      <c r="A1" s="13" t="s">
        <v>24</v>
      </c>
      <c r="B1" s="20">
        <f ca="1">TODAY()</f>
        <v>45846</v>
      </c>
      <c r="C1" s="29">
        <v>29</v>
      </c>
      <c r="D1" s="21">
        <f ca="1">B1+C1</f>
        <v>45875</v>
      </c>
      <c r="E1" s="9" t="s">
        <v>48</v>
      </c>
    </row>
    <row r="2" spans="1:5" ht="43.5" thickBot="1">
      <c r="A2" s="10" t="s">
        <v>145</v>
      </c>
      <c r="B2" s="20"/>
    </row>
    <row r="4" spans="1:5">
      <c r="A4" s="14" t="s">
        <v>25</v>
      </c>
    </row>
    <row r="6" spans="1:5" ht="15" thickBot="1">
      <c r="A6" s="13" t="s">
        <v>40</v>
      </c>
    </row>
    <row r="7" spans="1:5" ht="29.25" thickBot="1">
      <c r="A7" s="11" t="s">
        <v>38</v>
      </c>
      <c r="B7" s="15" t="s">
        <v>31</v>
      </c>
    </row>
    <row r="8" spans="1:5">
      <c r="A8" s="12"/>
    </row>
    <row r="9" spans="1:5" ht="15" thickBot="1">
      <c r="A9" s="13" t="s">
        <v>39</v>
      </c>
    </row>
    <row r="10" spans="1:5" ht="15" thickBot="1">
      <c r="A10" s="11" t="s">
        <v>26</v>
      </c>
    </row>
    <row r="12" spans="1:5" ht="15" thickBot="1">
      <c r="A12" s="13" t="s">
        <v>27</v>
      </c>
    </row>
    <row r="13" spans="1:5" ht="72" thickBot="1">
      <c r="A13" s="10" t="s">
        <v>75</v>
      </c>
      <c r="C13" s="25"/>
    </row>
    <row r="15" spans="1:5" ht="15" thickBot="1">
      <c r="A15" s="13" t="s">
        <v>52</v>
      </c>
    </row>
    <row r="16" spans="1:5" ht="15" thickBot="1">
      <c r="A16" s="11" t="s">
        <v>53</v>
      </c>
    </row>
    <row r="19" spans="1:1">
      <c r="A19" s="23" t="s">
        <v>139</v>
      </c>
    </row>
    <row r="21" spans="1:1">
      <c r="A21" s="9" t="s">
        <v>138</v>
      </c>
    </row>
    <row r="24" spans="1:1">
      <c r="A24" s="16" t="s">
        <v>28</v>
      </c>
    </row>
    <row r="25" spans="1:1">
      <c r="A25" s="16" t="s">
        <v>29</v>
      </c>
    </row>
    <row r="26" spans="1:1">
      <c r="A26" s="16" t="s">
        <v>30</v>
      </c>
    </row>
    <row r="29" spans="1:1">
      <c r="A29" s="9" t="s">
        <v>37</v>
      </c>
    </row>
    <row r="35" spans="1:1">
      <c r="A35" s="9" t="s">
        <v>42</v>
      </c>
    </row>
    <row r="37" spans="1:1">
      <c r="A37" s="9" t="s">
        <v>43</v>
      </c>
    </row>
    <row r="59" spans="1:1">
      <c r="A59" s="9" t="s">
        <v>44</v>
      </c>
    </row>
    <row r="74" spans="1:6">
      <c r="A74" s="9" t="s">
        <v>45</v>
      </c>
    </row>
    <row r="77" spans="1:6">
      <c r="A77" s="9" t="s">
        <v>54</v>
      </c>
      <c r="B77" s="9">
        <v>400</v>
      </c>
      <c r="C77" s="9" t="s">
        <v>55</v>
      </c>
      <c r="E77" s="9" t="s">
        <v>59</v>
      </c>
      <c r="F77" s="9" t="s">
        <v>62</v>
      </c>
    </row>
    <row r="78" spans="1:6">
      <c r="A78" s="9" t="s">
        <v>56</v>
      </c>
      <c r="B78" s="9">
        <v>401</v>
      </c>
      <c r="C78" s="9" t="s">
        <v>55</v>
      </c>
      <c r="E78" s="9" t="s">
        <v>60</v>
      </c>
      <c r="F78" s="9" t="s">
        <v>63</v>
      </c>
    </row>
    <row r="79" spans="1:6">
      <c r="A79" s="9" t="s">
        <v>57</v>
      </c>
      <c r="B79" s="9">
        <v>402</v>
      </c>
      <c r="C79" s="9" t="s">
        <v>55</v>
      </c>
      <c r="E79" s="9" t="s">
        <v>61</v>
      </c>
      <c r="F79" s="9" t="s">
        <v>64</v>
      </c>
    </row>
    <row r="80" spans="1:6">
      <c r="A80" s="9" t="s">
        <v>58</v>
      </c>
      <c r="B80" s="9">
        <v>403</v>
      </c>
      <c r="C80" s="9" t="s">
        <v>55</v>
      </c>
      <c r="E80" s="9" t="s">
        <v>32</v>
      </c>
    </row>
    <row r="86" spans="1:1">
      <c r="A86" s="9" t="s">
        <v>70</v>
      </c>
    </row>
    <row r="87" spans="1:1">
      <c r="A87" s="9" t="s">
        <v>71</v>
      </c>
    </row>
    <row r="88" spans="1:1">
      <c r="A88" s="9" t="s">
        <v>72</v>
      </c>
    </row>
    <row r="89" spans="1:1">
      <c r="A89" s="9" t="s">
        <v>73</v>
      </c>
    </row>
    <row r="94" spans="1:1">
      <c r="A94" s="9" t="s">
        <v>74</v>
      </c>
    </row>
    <row r="122" spans="1:1">
      <c r="A122" s="9" t="s">
        <v>140</v>
      </c>
    </row>
  </sheetData>
  <pageMargins left="0.7" right="0.7" top="0.75" bottom="0.75" header="0.3" footer="0.3"/>
  <pageSetup orientation="portrait" r:id="rId1"/>
  <customProperties>
    <customPr name="_pios_id" r:id="rId2"/>
  </customProperties>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B1ED7D-EE0C-4913-9E5A-CD0D6D9CDED1}">
  <sheetPr codeName="Sheet7"/>
  <dimension ref="A1:S344"/>
  <sheetViews>
    <sheetView showGridLines="0" tabSelected="1" topLeftCell="A203" zoomScale="70" zoomScaleNormal="70" workbookViewId="0">
      <selection activeCell="D22" sqref="D22"/>
    </sheetView>
  </sheetViews>
  <sheetFormatPr defaultRowHeight="15.75" outlineLevelCol="1"/>
  <cols>
    <col min="1" max="1" width="14.28515625" bestFit="1" customWidth="1"/>
    <col min="2" max="2" width="11.42578125" bestFit="1" customWidth="1"/>
    <col min="3" max="3" width="35" bestFit="1" customWidth="1"/>
    <col min="4" max="4" width="81.140625" bestFit="1" customWidth="1"/>
    <col min="5" max="5" width="18.140625" bestFit="1" customWidth="1"/>
    <col min="6" max="6" width="51.140625" hidden="1" customWidth="1" outlineLevel="1"/>
    <col min="7" max="7" width="15.7109375" hidden="1" customWidth="1" outlineLevel="1"/>
    <col min="8" max="8" width="16.7109375" hidden="1" customWidth="1" outlineLevel="1"/>
    <col min="9" max="9" width="64.5703125" hidden="1" customWidth="1" outlineLevel="1"/>
    <col min="10" max="10" width="13.140625" hidden="1" customWidth="1" outlineLevel="1"/>
    <col min="11" max="11" width="16.28515625" hidden="1" customWidth="1" outlineLevel="1"/>
    <col min="12" max="12" width="21" hidden="1" customWidth="1" outlineLevel="1"/>
    <col min="13" max="13" width="21.140625" hidden="1" customWidth="1" outlineLevel="1"/>
    <col min="14" max="14" width="19.7109375" hidden="1" customWidth="1" outlineLevel="1"/>
    <col min="15" max="15" width="16.85546875" hidden="1" customWidth="1" outlineLevel="1"/>
    <col min="16" max="16" width="20.5703125" hidden="1" customWidth="1" outlineLevel="1"/>
    <col min="17" max="17" width="23.85546875" hidden="1" customWidth="1" outlineLevel="1"/>
    <col min="18" max="18" width="21.42578125" bestFit="1" customWidth="1" collapsed="1"/>
    <col min="19" max="19" width="35" style="7" bestFit="1" customWidth="1"/>
    <col min="21" max="21" width="10" bestFit="1" customWidth="1"/>
  </cols>
  <sheetData>
    <row r="1" spans="1:19" ht="81.75" customHeight="1">
      <c r="B1" s="26" t="s">
        <v>141</v>
      </c>
      <c r="C1" s="26">
        <f ca="1">YEAR(TODAY())</f>
        <v>2025</v>
      </c>
      <c r="D1" s="26" t="str">
        <f ca="1">"rc-"&amp;C1&amp;":mCostObject_"&amp;C1</f>
        <v>rc-2025:mCostObject_2025</v>
      </c>
    </row>
    <row r="2" spans="1:19">
      <c r="A2" s="6" t="s">
        <v>7</v>
      </c>
      <c r="B2" s="6" t="s">
        <v>8</v>
      </c>
      <c r="C2" s="6" t="s">
        <v>9</v>
      </c>
      <c r="D2" s="6" t="s">
        <v>10</v>
      </c>
      <c r="E2" s="6" t="s">
        <v>1</v>
      </c>
      <c r="F2" s="6" t="s">
        <v>11</v>
      </c>
      <c r="G2" s="6" t="s">
        <v>12</v>
      </c>
      <c r="H2" s="6" t="s">
        <v>13</v>
      </c>
      <c r="I2" s="6" t="s">
        <v>14</v>
      </c>
      <c r="J2" s="6" t="s">
        <v>15</v>
      </c>
      <c r="K2" s="6" t="s">
        <v>16</v>
      </c>
      <c r="L2" s="6" t="s">
        <v>17</v>
      </c>
      <c r="M2" s="6" t="s">
        <v>18</v>
      </c>
      <c r="N2" s="6" t="s">
        <v>19</v>
      </c>
      <c r="O2" s="6" t="s">
        <v>20</v>
      </c>
      <c r="P2" s="6" t="s">
        <v>21</v>
      </c>
      <c r="Q2" s="6" t="s">
        <v>22</v>
      </c>
      <c r="R2" s="6" t="s">
        <v>0</v>
      </c>
      <c r="S2" s="7" t="s">
        <v>23</v>
      </c>
    </row>
    <row r="3" spans="1:19">
      <c r="A3" s="7" t="s">
        <v>172</v>
      </c>
      <c r="B3" s="7" t="s">
        <v>143</v>
      </c>
      <c r="C3" s="7" t="s">
        <v>47</v>
      </c>
      <c r="D3" s="7" t="s">
        <v>173</v>
      </c>
      <c r="E3" s="7" t="s">
        <v>174</v>
      </c>
      <c r="F3" s="7"/>
      <c r="G3" s="7" t="s">
        <v>146</v>
      </c>
      <c r="H3" s="7" t="s">
        <v>147</v>
      </c>
      <c r="I3" s="7" t="s">
        <v>175</v>
      </c>
      <c r="J3" s="7" t="s">
        <v>60</v>
      </c>
      <c r="K3" s="7"/>
      <c r="L3" s="8">
        <v>45828</v>
      </c>
      <c r="M3" s="8"/>
      <c r="N3" s="8"/>
      <c r="O3" s="7" t="s">
        <v>191</v>
      </c>
      <c r="P3" s="6">
        <v>11</v>
      </c>
      <c r="Q3" s="7" t="s">
        <v>176</v>
      </c>
      <c r="R3" s="7" t="str" cm="1">
        <f t="array" aca="1" ref="R3" ca="1">_xll.ELPAR($D$1,D3,1)</f>
        <v>RECALC_0_341_</v>
      </c>
      <c r="S3" s="7" t="str">
        <f ca="1">IF(ISERROR(Proc[[#This Row],[TM1]]),C3,IF(LEFT(Proc[[#This Row],[TM1]],10)=Proc[[#This Row],[Requested]],"MAPPED",C3))</f>
        <v>Not for mapping/Invalid</v>
      </c>
    </row>
    <row r="4" spans="1:19">
      <c r="A4" s="7" t="s">
        <v>172</v>
      </c>
      <c r="B4" s="7" t="s">
        <v>143</v>
      </c>
      <c r="C4" s="7" t="s">
        <v>34</v>
      </c>
      <c r="D4" s="7" t="s">
        <v>178</v>
      </c>
      <c r="E4" s="7" t="s">
        <v>177</v>
      </c>
      <c r="F4" s="7"/>
      <c r="G4" s="7" t="s">
        <v>146</v>
      </c>
      <c r="H4" s="7" t="s">
        <v>147</v>
      </c>
      <c r="I4" s="7"/>
      <c r="J4" s="7" t="s">
        <v>60</v>
      </c>
      <c r="K4" s="7"/>
      <c r="L4" s="8">
        <v>45828</v>
      </c>
      <c r="M4" s="8"/>
      <c r="N4" s="8"/>
      <c r="O4" s="7" t="s">
        <v>191</v>
      </c>
      <c r="P4" s="6">
        <v>11</v>
      </c>
      <c r="Q4" s="7" t="s">
        <v>176</v>
      </c>
      <c r="R4" s="7" t="str" cm="1">
        <f t="array" aca="1" ref="R4" ca="1">_xll.ELPAR($D$1,D4,1)</f>
        <v>RECALC_0_312_</v>
      </c>
      <c r="S4" s="7" t="str">
        <f ca="1">IF(ISERROR(Proc[[#This Row],[TM1]]),C4,IF(LEFT(Proc[[#This Row],[TM1]],10)=Proc[[#This Row],[Requested]],"MAPPED",C4))</f>
        <v>Waiting for Tm1 Replication</v>
      </c>
    </row>
    <row r="5" spans="1:19">
      <c r="A5" s="7" t="s">
        <v>180</v>
      </c>
      <c r="B5" s="7" t="s">
        <v>143</v>
      </c>
      <c r="C5" s="7" t="s">
        <v>33</v>
      </c>
      <c r="D5" s="7" t="s">
        <v>181</v>
      </c>
      <c r="E5" s="7" t="s">
        <v>182</v>
      </c>
      <c r="F5" s="7" t="s">
        <v>183</v>
      </c>
      <c r="G5" s="7" t="s">
        <v>179</v>
      </c>
      <c r="H5" s="7" t="s">
        <v>184</v>
      </c>
      <c r="I5" s="7" t="s">
        <v>185</v>
      </c>
      <c r="J5" s="7" t="s">
        <v>32</v>
      </c>
      <c r="K5" s="7"/>
      <c r="L5" s="8">
        <v>45832</v>
      </c>
      <c r="M5" s="8"/>
      <c r="N5" s="8"/>
      <c r="O5" s="7" t="s">
        <v>191</v>
      </c>
      <c r="P5" s="6">
        <v>9</v>
      </c>
      <c r="Q5" s="7" t="s">
        <v>186</v>
      </c>
      <c r="R5" s="7" t="str" cm="1">
        <f t="array" aca="1" ref="R5" ca="1">_xll.ELPAR($D$1,D5,1)</f>
        <v>RECALC_0_280_</v>
      </c>
      <c r="S5" s="7" t="str">
        <f ca="1">IF(ISERROR(Proc[[#This Row],[TM1]]),C5,IF(LEFT(Proc[[#This Row],[TM1]],10)=Proc[[#This Row],[Requested]],"MAPPED",C5))</f>
        <v>Waiting for MDGF approval</v>
      </c>
    </row>
    <row r="6" spans="1:19">
      <c r="A6" s="7" t="s">
        <v>180</v>
      </c>
      <c r="B6" s="7" t="s">
        <v>143</v>
      </c>
      <c r="C6" s="7" t="s">
        <v>33</v>
      </c>
      <c r="D6" s="7" t="s">
        <v>187</v>
      </c>
      <c r="E6" s="7" t="s">
        <v>188</v>
      </c>
      <c r="F6" s="7" t="s">
        <v>189</v>
      </c>
      <c r="G6" s="7" t="s">
        <v>179</v>
      </c>
      <c r="H6" s="7" t="s">
        <v>190</v>
      </c>
      <c r="I6" s="7" t="s">
        <v>185</v>
      </c>
      <c r="J6" s="7" t="s">
        <v>32</v>
      </c>
      <c r="K6" s="7"/>
      <c r="L6" s="8">
        <v>45832</v>
      </c>
      <c r="M6" s="8"/>
      <c r="N6" s="8"/>
      <c r="O6" s="7" t="s">
        <v>191</v>
      </c>
      <c r="P6" s="6">
        <v>9</v>
      </c>
      <c r="Q6" s="7" t="s">
        <v>186</v>
      </c>
      <c r="R6" s="7" t="str" cm="1">
        <f t="array" aca="1" ref="R6" ca="1">_xll.ELPAR($D$1,D6,1)</f>
        <v>RECALC_0_266_</v>
      </c>
      <c r="S6" s="7" t="str">
        <f ca="1">IF(ISERROR(Proc[[#This Row],[TM1]]),C6,IF(LEFT(Proc[[#This Row],[TM1]],10)=Proc[[#This Row],[Requested]],"MAPPED",C6))</f>
        <v>Waiting for MDGF approval</v>
      </c>
    </row>
    <row r="7" spans="1:19">
      <c r="A7" s="7" t="s">
        <v>198</v>
      </c>
      <c r="B7" s="7" t="s">
        <v>143</v>
      </c>
      <c r="C7" s="7" t="s">
        <v>33</v>
      </c>
      <c r="D7" s="7" t="s">
        <v>199</v>
      </c>
      <c r="E7" s="7" t="s">
        <v>200</v>
      </c>
      <c r="F7" s="7" t="s">
        <v>201</v>
      </c>
      <c r="G7" s="7" t="s">
        <v>179</v>
      </c>
      <c r="H7" s="7" t="s">
        <v>202</v>
      </c>
      <c r="I7" s="7" t="s">
        <v>203</v>
      </c>
      <c r="J7" s="7" t="s">
        <v>32</v>
      </c>
      <c r="K7" s="7"/>
      <c r="L7" s="8">
        <v>45839</v>
      </c>
      <c r="M7" s="8"/>
      <c r="N7" s="8"/>
      <c r="O7" s="7" t="s">
        <v>144</v>
      </c>
      <c r="P7" s="6">
        <v>4</v>
      </c>
      <c r="Q7" s="7" t="s">
        <v>204</v>
      </c>
      <c r="R7" s="7" t="str" cm="1">
        <f t="array" aca="1" ref="R7" ca="1">_xll.ELPAR($D$1,D7,1)</f>
        <v>RECALC_0_257_</v>
      </c>
      <c r="S7" s="7" t="str">
        <f ca="1">IF(ISERROR(Proc[[#This Row],[TM1]]),C7,IF(LEFT(Proc[[#This Row],[TM1]],10)=Proc[[#This Row],[Requested]],"MAPPED",C7))</f>
        <v>Waiting for MDGF approval</v>
      </c>
    </row>
    <row r="8" spans="1:19">
      <c r="A8" s="7" t="s">
        <v>205</v>
      </c>
      <c r="B8" s="7" t="s">
        <v>143</v>
      </c>
      <c r="C8" s="7" t="s">
        <v>34</v>
      </c>
      <c r="D8" s="7" t="s">
        <v>206</v>
      </c>
      <c r="E8" s="7" t="s">
        <v>207</v>
      </c>
      <c r="F8" s="7" t="s">
        <v>208</v>
      </c>
      <c r="G8" s="7" t="s">
        <v>146</v>
      </c>
      <c r="H8" s="7" t="s">
        <v>147</v>
      </c>
      <c r="I8" s="7"/>
      <c r="J8" s="7" t="s">
        <v>59</v>
      </c>
      <c r="K8" s="7"/>
      <c r="L8" s="8">
        <v>45841</v>
      </c>
      <c r="M8" s="8"/>
      <c r="N8" s="8"/>
      <c r="O8" s="7" t="s">
        <v>144</v>
      </c>
      <c r="P8" s="6">
        <v>2</v>
      </c>
      <c r="Q8" s="7" t="s">
        <v>209</v>
      </c>
      <c r="R8" s="7" t="str" cm="1">
        <f t="array" aca="1" ref="R8" ca="1">_xll.ELPAR($D$1,D8,1)</f>
        <v>RECALC_0_216_</v>
      </c>
      <c r="S8" s="7" t="str">
        <f ca="1">IF(ISERROR(Proc[[#This Row],[TM1]]),C8,IF(LEFT(Proc[[#This Row],[TM1]],10)=Proc[[#This Row],[Requested]],"MAPPED",C8))</f>
        <v>Waiting for Tm1 Replication</v>
      </c>
    </row>
    <row r="9" spans="1:19">
      <c r="A9" s="7" t="s">
        <v>210</v>
      </c>
      <c r="B9" s="7" t="s">
        <v>143</v>
      </c>
      <c r="C9" s="7" t="s">
        <v>34</v>
      </c>
      <c r="D9" s="7" t="s">
        <v>211</v>
      </c>
      <c r="E9" s="7" t="s">
        <v>212</v>
      </c>
      <c r="F9" s="7" t="s">
        <v>213</v>
      </c>
      <c r="G9" s="7" t="s">
        <v>146</v>
      </c>
      <c r="H9" s="7" t="s">
        <v>147</v>
      </c>
      <c r="I9" s="7"/>
      <c r="J9" s="7" t="s">
        <v>59</v>
      </c>
      <c r="K9" s="7"/>
      <c r="L9" s="8">
        <v>45841</v>
      </c>
      <c r="M9" s="8"/>
      <c r="N9" s="8"/>
      <c r="O9" s="7" t="s">
        <v>144</v>
      </c>
      <c r="P9" s="6">
        <v>2</v>
      </c>
      <c r="Q9" s="7" t="s">
        <v>209</v>
      </c>
      <c r="R9" s="7" t="str" cm="1">
        <f t="array" aca="1" ref="R9" ca="1">_xll.ELPAR($D$1,D9,1)</f>
        <v>RECALC_0_340_</v>
      </c>
      <c r="S9" s="7" t="str">
        <f ca="1">IF(ISERROR(Proc[[#This Row],[TM1]]),C9,IF(LEFT(Proc[[#This Row],[TM1]],10)=Proc[[#This Row],[Requested]],"MAPPED",C9))</f>
        <v>Waiting for Tm1 Replication</v>
      </c>
    </row>
    <row r="10" spans="1:19">
      <c r="A10" s="7" t="s">
        <v>214</v>
      </c>
      <c r="B10" s="7" t="s">
        <v>143</v>
      </c>
      <c r="C10" s="7" t="s">
        <v>33</v>
      </c>
      <c r="D10" s="7" t="s">
        <v>215</v>
      </c>
      <c r="E10" s="7" t="s">
        <v>216</v>
      </c>
      <c r="F10" s="7" t="s">
        <v>217</v>
      </c>
      <c r="G10" s="7" t="s">
        <v>179</v>
      </c>
      <c r="H10" s="7" t="s">
        <v>218</v>
      </c>
      <c r="I10" s="7" t="s">
        <v>219</v>
      </c>
      <c r="J10" s="7" t="s">
        <v>32</v>
      </c>
      <c r="K10" s="7"/>
      <c r="L10" s="8">
        <v>45841</v>
      </c>
      <c r="M10" s="8"/>
      <c r="N10" s="8"/>
      <c r="O10" s="7" t="s">
        <v>144</v>
      </c>
      <c r="P10" s="6">
        <v>2</v>
      </c>
      <c r="Q10" s="7" t="s">
        <v>220</v>
      </c>
      <c r="R10" s="7" t="str" cm="1">
        <f t="array" aca="1" ref="R10" ca="1">_xll.ELPAR($D$1,D10,1)</f>
        <v>RECALC_0_311_</v>
      </c>
      <c r="S10" s="7" t="str">
        <f ca="1">IF(ISERROR(Proc[[#This Row],[TM1]]),C10,IF(LEFT(Proc[[#This Row],[TM1]],10)=Proc[[#This Row],[Requested]],"MAPPED",C10))</f>
        <v>Waiting for MDGF approval</v>
      </c>
    </row>
    <row r="11" spans="1:19">
      <c r="A11" s="7" t="s">
        <v>214</v>
      </c>
      <c r="B11" s="7" t="s">
        <v>143</v>
      </c>
      <c r="C11" s="7" t="s">
        <v>33</v>
      </c>
      <c r="D11" s="7" t="s">
        <v>221</v>
      </c>
      <c r="E11" s="7" t="s">
        <v>216</v>
      </c>
      <c r="F11" s="7" t="s">
        <v>222</v>
      </c>
      <c r="G11" s="7" t="s">
        <v>179</v>
      </c>
      <c r="H11" s="7" t="s">
        <v>223</v>
      </c>
      <c r="I11" s="7" t="s">
        <v>219</v>
      </c>
      <c r="J11" s="7" t="s">
        <v>32</v>
      </c>
      <c r="K11" s="7"/>
      <c r="L11" s="8">
        <v>45841</v>
      </c>
      <c r="M11" s="8"/>
      <c r="N11" s="8"/>
      <c r="O11" s="7" t="s">
        <v>144</v>
      </c>
      <c r="P11" s="6">
        <v>2</v>
      </c>
      <c r="Q11" s="7" t="s">
        <v>220</v>
      </c>
      <c r="R11" s="7" t="str" cm="1">
        <f t="array" aca="1" ref="R11" ca="1">_xll.ELPAR($D$1,D11,1)</f>
        <v>RECALC_0_279_</v>
      </c>
      <c r="S11" s="7" t="str">
        <f ca="1">IF(ISERROR(Proc[[#This Row],[TM1]]),C11,IF(LEFT(Proc[[#This Row],[TM1]],10)=Proc[[#This Row],[Requested]],"MAPPED",C11))</f>
        <v>Waiting for MDGF approval</v>
      </c>
    </row>
    <row r="12" spans="1:19">
      <c r="A12" s="7" t="s">
        <v>214</v>
      </c>
      <c r="B12" s="7" t="s">
        <v>143</v>
      </c>
      <c r="C12" s="7" t="s">
        <v>33</v>
      </c>
      <c r="D12" s="7" t="s">
        <v>224</v>
      </c>
      <c r="E12" s="7" t="s">
        <v>225</v>
      </c>
      <c r="F12" s="7" t="s">
        <v>226</v>
      </c>
      <c r="G12" s="7" t="s">
        <v>179</v>
      </c>
      <c r="H12" s="7" t="s">
        <v>227</v>
      </c>
      <c r="I12" s="7" t="s">
        <v>219</v>
      </c>
      <c r="J12" s="7" t="s">
        <v>32</v>
      </c>
      <c r="K12" s="7"/>
      <c r="L12" s="8">
        <v>45841</v>
      </c>
      <c r="M12" s="8"/>
      <c r="N12" s="8"/>
      <c r="O12" s="7" t="s">
        <v>144</v>
      </c>
      <c r="P12" s="6">
        <v>2</v>
      </c>
      <c r="Q12" s="7" t="s">
        <v>220</v>
      </c>
      <c r="R12" s="7" t="str" cm="1">
        <f t="array" aca="1" ref="R12" ca="1">_xll.ELPAR($D$1,D12,1)</f>
        <v>RECALC_0_265_</v>
      </c>
      <c r="S12" s="7" t="str">
        <f ca="1">IF(ISERROR(Proc[[#This Row],[TM1]]),C12,IF(LEFT(Proc[[#This Row],[TM1]],10)=Proc[[#This Row],[Requested]],"MAPPED",C12))</f>
        <v>Waiting for MDGF approval</v>
      </c>
    </row>
    <row r="13" spans="1:19">
      <c r="A13" s="7" t="s">
        <v>214</v>
      </c>
      <c r="B13" s="7" t="s">
        <v>143</v>
      </c>
      <c r="C13" s="7" t="s">
        <v>33</v>
      </c>
      <c r="D13" s="7" t="s">
        <v>228</v>
      </c>
      <c r="E13" s="7" t="s">
        <v>225</v>
      </c>
      <c r="F13" s="7" t="s">
        <v>226</v>
      </c>
      <c r="G13" s="7" t="s">
        <v>179</v>
      </c>
      <c r="H13" s="7" t="s">
        <v>229</v>
      </c>
      <c r="I13" s="7" t="s">
        <v>219</v>
      </c>
      <c r="J13" s="7" t="s">
        <v>32</v>
      </c>
      <c r="K13" s="7"/>
      <c r="L13" s="8">
        <v>45841</v>
      </c>
      <c r="M13" s="8"/>
      <c r="N13" s="8"/>
      <c r="O13" s="7" t="s">
        <v>144</v>
      </c>
      <c r="P13" s="6">
        <v>2</v>
      </c>
      <c r="Q13" s="7" t="s">
        <v>220</v>
      </c>
      <c r="R13" s="7" t="str" cm="1">
        <f t="array" aca="1" ref="R13" ca="1">_xll.ELPAR($D$1,D13,1)</f>
        <v>RECALC_0_147_</v>
      </c>
      <c r="S13" s="7" t="str">
        <f ca="1">IF(ISERROR(Proc[[#This Row],[TM1]]),C13,IF(LEFT(Proc[[#This Row],[TM1]],10)=Proc[[#This Row],[Requested]],"MAPPED",C13))</f>
        <v>Waiting for MDGF approval</v>
      </c>
    </row>
    <row r="14" spans="1:19">
      <c r="A14" s="7" t="s">
        <v>214</v>
      </c>
      <c r="B14" s="7" t="s">
        <v>143</v>
      </c>
      <c r="C14" s="7" t="s">
        <v>33</v>
      </c>
      <c r="D14" s="7" t="s">
        <v>230</v>
      </c>
      <c r="E14" s="7" t="s">
        <v>225</v>
      </c>
      <c r="F14" s="7" t="s">
        <v>226</v>
      </c>
      <c r="G14" s="7" t="s">
        <v>179</v>
      </c>
      <c r="H14" s="7" t="s">
        <v>231</v>
      </c>
      <c r="I14" s="7" t="s">
        <v>219</v>
      </c>
      <c r="J14" s="7" t="s">
        <v>32</v>
      </c>
      <c r="K14" s="7"/>
      <c r="L14" s="8">
        <v>45841</v>
      </c>
      <c r="M14" s="8"/>
      <c r="N14" s="8"/>
      <c r="O14" s="7" t="s">
        <v>144</v>
      </c>
      <c r="P14" s="6">
        <v>2</v>
      </c>
      <c r="Q14" s="7" t="s">
        <v>220</v>
      </c>
      <c r="R14" s="7" t="str" cm="1">
        <f t="array" aca="1" ref="R14" ca="1">_xll.ELPAR($D$1,D14,1)</f>
        <v>RECALC_0_113_</v>
      </c>
      <c r="S14" s="7" t="str">
        <f ca="1">IF(ISERROR(Proc[[#This Row],[TM1]]),C14,IF(LEFT(Proc[[#This Row],[TM1]],10)=Proc[[#This Row],[Requested]],"MAPPED",C14))</f>
        <v>Waiting for MDGF approval</v>
      </c>
    </row>
    <row r="15" spans="1:19">
      <c r="A15" s="7" t="s">
        <v>214</v>
      </c>
      <c r="B15" s="7" t="s">
        <v>143</v>
      </c>
      <c r="C15" s="7" t="s">
        <v>33</v>
      </c>
      <c r="D15" s="7" t="s">
        <v>232</v>
      </c>
      <c r="E15" s="7" t="s">
        <v>233</v>
      </c>
      <c r="F15" s="7" t="s">
        <v>234</v>
      </c>
      <c r="G15" s="7" t="s">
        <v>179</v>
      </c>
      <c r="H15" s="7" t="s">
        <v>235</v>
      </c>
      <c r="I15" s="7" t="s">
        <v>219</v>
      </c>
      <c r="J15" s="7" t="s">
        <v>32</v>
      </c>
      <c r="K15" s="7"/>
      <c r="L15" s="8">
        <v>45841</v>
      </c>
      <c r="M15" s="8"/>
      <c r="N15" s="8"/>
      <c r="O15" s="7" t="s">
        <v>144</v>
      </c>
      <c r="P15" s="6">
        <v>2</v>
      </c>
      <c r="Q15" s="7" t="s">
        <v>220</v>
      </c>
      <c r="R15" s="7" t="str" cm="1">
        <f t="array" aca="1" ref="R15" ca="1">_xll.ELPAR($D$1,D15,1)</f>
        <v>RECALC_0_339_</v>
      </c>
      <c r="S15" s="7" t="str">
        <f ca="1">IF(ISERROR(Proc[[#This Row],[TM1]]),C15,IF(LEFT(Proc[[#This Row],[TM1]],10)=Proc[[#This Row],[Requested]],"MAPPED",C15))</f>
        <v>Waiting for MDGF approval</v>
      </c>
    </row>
    <row r="16" spans="1:19">
      <c r="A16" s="7" t="s">
        <v>214</v>
      </c>
      <c r="B16" s="7" t="s">
        <v>143</v>
      </c>
      <c r="C16" s="7" t="s">
        <v>33</v>
      </c>
      <c r="D16" s="7" t="s">
        <v>236</v>
      </c>
      <c r="E16" s="7" t="s">
        <v>233</v>
      </c>
      <c r="F16" s="7" t="s">
        <v>234</v>
      </c>
      <c r="G16" s="7" t="s">
        <v>179</v>
      </c>
      <c r="H16" s="7" t="s">
        <v>237</v>
      </c>
      <c r="I16" s="7" t="s">
        <v>219</v>
      </c>
      <c r="J16" s="7" t="s">
        <v>32</v>
      </c>
      <c r="K16" s="7"/>
      <c r="L16" s="8">
        <v>45841</v>
      </c>
      <c r="M16" s="8"/>
      <c r="N16" s="8"/>
      <c r="O16" s="7" t="s">
        <v>144</v>
      </c>
      <c r="P16" s="6">
        <v>2</v>
      </c>
      <c r="Q16" s="7" t="s">
        <v>220</v>
      </c>
      <c r="R16" s="7" t="str" cm="1">
        <f t="array" aca="1" ref="R16" ca="1">_xll.ELPAR($D$1,D16,1)</f>
        <v>RECALC_0_310_</v>
      </c>
      <c r="S16" s="7" t="str">
        <f ca="1">IF(ISERROR(Proc[[#This Row],[TM1]]),C16,IF(LEFT(Proc[[#This Row],[TM1]],10)=Proc[[#This Row],[Requested]],"MAPPED",C16))</f>
        <v>Waiting for MDGF approval</v>
      </c>
    </row>
    <row r="17" spans="1:19">
      <c r="A17" s="7" t="s">
        <v>214</v>
      </c>
      <c r="B17" s="7" t="s">
        <v>143</v>
      </c>
      <c r="C17" s="7" t="s">
        <v>33</v>
      </c>
      <c r="D17" s="7" t="s">
        <v>238</v>
      </c>
      <c r="E17" s="7" t="s">
        <v>233</v>
      </c>
      <c r="F17" s="7" t="s">
        <v>234</v>
      </c>
      <c r="G17" s="7" t="s">
        <v>179</v>
      </c>
      <c r="H17" s="7" t="s">
        <v>239</v>
      </c>
      <c r="I17" s="7" t="s">
        <v>219</v>
      </c>
      <c r="J17" s="7" t="s">
        <v>32</v>
      </c>
      <c r="K17" s="7"/>
      <c r="L17" s="8">
        <v>45841</v>
      </c>
      <c r="M17" s="8"/>
      <c r="N17" s="8"/>
      <c r="O17" s="7" t="s">
        <v>144</v>
      </c>
      <c r="P17" s="6">
        <v>2</v>
      </c>
      <c r="Q17" s="7" t="s">
        <v>220</v>
      </c>
      <c r="R17" s="7" t="str" cm="1">
        <f t="array" aca="1" ref="R17" ca="1">_xll.ELPAR($D$1,D17,1)</f>
        <v>RECALC_0_278_</v>
      </c>
      <c r="S17" s="7" t="str">
        <f ca="1">IF(ISERROR(Proc[[#This Row],[TM1]]),C17,IF(LEFT(Proc[[#This Row],[TM1]],10)=Proc[[#This Row],[Requested]],"MAPPED",C17))</f>
        <v>Waiting for MDGF approval</v>
      </c>
    </row>
    <row r="18" spans="1:19">
      <c r="A18" s="7" t="s">
        <v>214</v>
      </c>
      <c r="B18" s="7" t="s">
        <v>143</v>
      </c>
      <c r="C18" s="7" t="s">
        <v>33</v>
      </c>
      <c r="D18" s="7" t="s">
        <v>240</v>
      </c>
      <c r="E18" s="7" t="s">
        <v>233</v>
      </c>
      <c r="F18" s="7" t="s">
        <v>234</v>
      </c>
      <c r="G18" s="7" t="s">
        <v>179</v>
      </c>
      <c r="H18" s="7" t="s">
        <v>241</v>
      </c>
      <c r="I18" s="7" t="s">
        <v>219</v>
      </c>
      <c r="J18" s="7" t="s">
        <v>32</v>
      </c>
      <c r="K18" s="7"/>
      <c r="L18" s="8">
        <v>45841</v>
      </c>
      <c r="M18" s="8"/>
      <c r="N18" s="8"/>
      <c r="O18" s="7" t="s">
        <v>144</v>
      </c>
      <c r="P18" s="6">
        <v>2</v>
      </c>
      <c r="Q18" s="7" t="s">
        <v>220</v>
      </c>
      <c r="R18" s="7" t="str" cm="1">
        <f t="array" aca="1" ref="R18" ca="1">_xll.ELPAR($D$1,D18,1)</f>
        <v>RECALC_0_264_</v>
      </c>
      <c r="S18" s="7" t="str">
        <f ca="1">IF(ISERROR(Proc[[#This Row],[TM1]]),C18,IF(LEFT(Proc[[#This Row],[TM1]],10)=Proc[[#This Row],[Requested]],"MAPPED",C18))</f>
        <v>Waiting for MDGF approval</v>
      </c>
    </row>
    <row r="19" spans="1:19">
      <c r="A19" s="7" t="s">
        <v>214</v>
      </c>
      <c r="B19" s="7" t="s">
        <v>143</v>
      </c>
      <c r="C19" s="7" t="s">
        <v>33</v>
      </c>
      <c r="D19" s="7" t="s">
        <v>242</v>
      </c>
      <c r="E19" s="7" t="s">
        <v>233</v>
      </c>
      <c r="F19" s="7" t="s">
        <v>234</v>
      </c>
      <c r="G19" s="7" t="s">
        <v>179</v>
      </c>
      <c r="H19" s="7" t="s">
        <v>243</v>
      </c>
      <c r="I19" s="7" t="s">
        <v>219</v>
      </c>
      <c r="J19" s="7" t="s">
        <v>32</v>
      </c>
      <c r="K19" s="7"/>
      <c r="L19" s="8">
        <v>45841</v>
      </c>
      <c r="M19" s="8"/>
      <c r="N19" s="8"/>
      <c r="O19" s="7" t="s">
        <v>144</v>
      </c>
      <c r="P19" s="6">
        <v>2</v>
      </c>
      <c r="Q19" s="7" t="s">
        <v>220</v>
      </c>
      <c r="R19" s="7" t="str" cm="1">
        <f t="array" aca="1" ref="R19" ca="1">_xll.ELPAR($D$1,D19,1)</f>
        <v>RECALC_0_59_</v>
      </c>
      <c r="S19" s="7" t="str">
        <f ca="1">IF(ISERROR(Proc[[#This Row],[TM1]]),C19,IF(LEFT(Proc[[#This Row],[TM1]],10)=Proc[[#This Row],[Requested]],"MAPPED",C19))</f>
        <v>Waiting for MDGF approval</v>
      </c>
    </row>
    <row r="20" spans="1:19">
      <c r="A20" s="7" t="s">
        <v>214</v>
      </c>
      <c r="B20" s="7" t="s">
        <v>143</v>
      </c>
      <c r="C20" s="7" t="s">
        <v>33</v>
      </c>
      <c r="D20" s="7" t="s">
        <v>244</v>
      </c>
      <c r="E20" s="7" t="s">
        <v>233</v>
      </c>
      <c r="F20" s="7" t="s">
        <v>234</v>
      </c>
      <c r="G20" s="7" t="s">
        <v>179</v>
      </c>
      <c r="H20" s="7" t="s">
        <v>245</v>
      </c>
      <c r="I20" s="7" t="s">
        <v>219</v>
      </c>
      <c r="J20" s="7" t="s">
        <v>32</v>
      </c>
      <c r="K20" s="7"/>
      <c r="L20" s="8">
        <v>45841</v>
      </c>
      <c r="M20" s="8"/>
      <c r="N20" s="8"/>
      <c r="O20" s="7" t="s">
        <v>144</v>
      </c>
      <c r="P20" s="6">
        <v>2</v>
      </c>
      <c r="Q20" s="7" t="s">
        <v>220</v>
      </c>
      <c r="R20" s="7" t="str" cm="1">
        <f t="array" aca="1" ref="R20" ca="1">_xll.ELPAR($D$1,D20,1)</f>
        <v>RECALC_0_256_</v>
      </c>
      <c r="S20" s="7" t="str">
        <f ca="1">IF(ISERROR(Proc[[#This Row],[TM1]]),C20,IF(LEFT(Proc[[#This Row],[TM1]],10)=Proc[[#This Row],[Requested]],"MAPPED",C20))</f>
        <v>Waiting for MDGF approval</v>
      </c>
    </row>
    <row r="21" spans="1:19">
      <c r="A21" s="7" t="s">
        <v>214</v>
      </c>
      <c r="B21" s="7" t="s">
        <v>143</v>
      </c>
      <c r="C21" s="7" t="s">
        <v>33</v>
      </c>
      <c r="D21" s="7" t="s">
        <v>246</v>
      </c>
      <c r="E21" s="7" t="s">
        <v>233</v>
      </c>
      <c r="F21" s="7" t="s">
        <v>234</v>
      </c>
      <c r="G21" s="7" t="s">
        <v>179</v>
      </c>
      <c r="H21" s="7" t="s">
        <v>247</v>
      </c>
      <c r="I21" s="7" t="s">
        <v>219</v>
      </c>
      <c r="J21" s="7" t="s">
        <v>32</v>
      </c>
      <c r="K21" s="7"/>
      <c r="L21" s="8">
        <v>45841</v>
      </c>
      <c r="M21" s="8"/>
      <c r="N21" s="8"/>
      <c r="O21" s="7" t="s">
        <v>144</v>
      </c>
      <c r="P21" s="6">
        <v>2</v>
      </c>
      <c r="Q21" s="7" t="s">
        <v>220</v>
      </c>
      <c r="R21" s="7" t="str" cm="1">
        <f t="array" aca="1" ref="R21" ca="1">_xll.ELPAR($D$1,D21,1)</f>
        <v>RECALC_0_338_</v>
      </c>
      <c r="S21" s="7" t="str">
        <f ca="1">IF(ISERROR(Proc[[#This Row],[TM1]]),C21,IF(LEFT(Proc[[#This Row],[TM1]],10)=Proc[[#This Row],[Requested]],"MAPPED",C21))</f>
        <v>Waiting for MDGF approval</v>
      </c>
    </row>
    <row r="22" spans="1:19">
      <c r="A22" s="7" t="s">
        <v>214</v>
      </c>
      <c r="B22" s="7" t="s">
        <v>143</v>
      </c>
      <c r="C22" s="7" t="s">
        <v>33</v>
      </c>
      <c r="D22" s="7" t="s">
        <v>248</v>
      </c>
      <c r="E22" s="7" t="s">
        <v>249</v>
      </c>
      <c r="F22" s="7" t="s">
        <v>250</v>
      </c>
      <c r="G22" s="7" t="s">
        <v>179</v>
      </c>
      <c r="H22" s="7" t="s">
        <v>251</v>
      </c>
      <c r="I22" s="7" t="s">
        <v>219</v>
      </c>
      <c r="J22" s="7" t="s">
        <v>32</v>
      </c>
      <c r="K22" s="7"/>
      <c r="L22" s="8">
        <v>45841</v>
      </c>
      <c r="M22" s="8"/>
      <c r="N22" s="8"/>
      <c r="O22" s="7" t="s">
        <v>144</v>
      </c>
      <c r="P22" s="6">
        <v>2</v>
      </c>
      <c r="Q22" s="7" t="s">
        <v>220</v>
      </c>
      <c r="R22" s="7" t="str" cm="1">
        <f t="array" aca="1" ref="R22" ca="1">_xll.ELPAR($D$1,D22,1)</f>
        <v>RECALC_0_309_</v>
      </c>
      <c r="S22" s="7" t="str">
        <f ca="1">IF(ISERROR(Proc[[#This Row],[TM1]]),C22,IF(LEFT(Proc[[#This Row],[TM1]],10)=Proc[[#This Row],[Requested]],"MAPPED",C22))</f>
        <v>Waiting for MDGF approval</v>
      </c>
    </row>
    <row r="23" spans="1:19">
      <c r="A23" s="7" t="s">
        <v>214</v>
      </c>
      <c r="B23" s="7" t="s">
        <v>143</v>
      </c>
      <c r="C23" s="7" t="s">
        <v>33</v>
      </c>
      <c r="D23" s="7" t="s">
        <v>252</v>
      </c>
      <c r="E23" s="7" t="s">
        <v>249</v>
      </c>
      <c r="F23" s="7" t="s">
        <v>253</v>
      </c>
      <c r="G23" s="7" t="s">
        <v>179</v>
      </c>
      <c r="H23" s="7" t="s">
        <v>254</v>
      </c>
      <c r="I23" s="7" t="s">
        <v>219</v>
      </c>
      <c r="J23" s="7" t="s">
        <v>32</v>
      </c>
      <c r="K23" s="7"/>
      <c r="L23" s="8">
        <v>45841</v>
      </c>
      <c r="M23" s="8"/>
      <c r="N23" s="8"/>
      <c r="O23" s="7" t="s">
        <v>144</v>
      </c>
      <c r="P23" s="6">
        <v>2</v>
      </c>
      <c r="Q23" s="7" t="s">
        <v>220</v>
      </c>
      <c r="R23" s="7" t="str" cm="1">
        <f t="array" aca="1" ref="R23" ca="1">_xll.ELPAR($D$1,D23,1)</f>
        <v>RECALC_0_277_</v>
      </c>
      <c r="S23" s="7" t="str">
        <f ca="1">IF(ISERROR(Proc[[#This Row],[TM1]]),C23,IF(LEFT(Proc[[#This Row],[TM1]],10)=Proc[[#This Row],[Requested]],"MAPPED",C23))</f>
        <v>Waiting for MDGF approval</v>
      </c>
    </row>
    <row r="24" spans="1:19">
      <c r="A24" s="7" t="s">
        <v>214</v>
      </c>
      <c r="B24" s="7" t="s">
        <v>143</v>
      </c>
      <c r="C24" s="7" t="s">
        <v>33</v>
      </c>
      <c r="D24" s="7" t="s">
        <v>255</v>
      </c>
      <c r="E24" s="7" t="s">
        <v>249</v>
      </c>
      <c r="F24" s="7" t="s">
        <v>250</v>
      </c>
      <c r="G24" s="7" t="s">
        <v>179</v>
      </c>
      <c r="H24" s="7" t="s">
        <v>256</v>
      </c>
      <c r="I24" s="7" t="s">
        <v>219</v>
      </c>
      <c r="J24" s="7" t="s">
        <v>32</v>
      </c>
      <c r="K24" s="7"/>
      <c r="L24" s="8">
        <v>45841</v>
      </c>
      <c r="M24" s="8"/>
      <c r="N24" s="8"/>
      <c r="O24" s="7" t="s">
        <v>144</v>
      </c>
      <c r="P24" s="6">
        <v>2</v>
      </c>
      <c r="Q24" s="7" t="s">
        <v>220</v>
      </c>
      <c r="R24" s="7" t="str" cm="1">
        <f t="array" aca="1" ref="R24" ca="1">_xll.ELPAR($D$1,D24,1)</f>
        <v>RECALC_0_263_</v>
      </c>
      <c r="S24" s="7" t="str">
        <f ca="1">IF(ISERROR(Proc[[#This Row],[TM1]]),C24,IF(LEFT(Proc[[#This Row],[TM1]],10)=Proc[[#This Row],[Requested]],"MAPPED",C24))</f>
        <v>Waiting for MDGF approval</v>
      </c>
    </row>
    <row r="25" spans="1:19">
      <c r="A25" s="7" t="s">
        <v>214</v>
      </c>
      <c r="B25" s="7" t="s">
        <v>143</v>
      </c>
      <c r="C25" s="7" t="s">
        <v>33</v>
      </c>
      <c r="D25" s="7" t="s">
        <v>257</v>
      </c>
      <c r="E25" s="7" t="s">
        <v>258</v>
      </c>
      <c r="F25" s="7" t="s">
        <v>259</v>
      </c>
      <c r="G25" s="7" t="s">
        <v>179</v>
      </c>
      <c r="H25" s="7" t="s">
        <v>260</v>
      </c>
      <c r="I25" s="7" t="s">
        <v>219</v>
      </c>
      <c r="J25" s="7" t="s">
        <v>32</v>
      </c>
      <c r="K25" s="7"/>
      <c r="L25" s="8">
        <v>45841</v>
      </c>
      <c r="M25" s="8"/>
      <c r="N25" s="8"/>
      <c r="O25" s="7" t="s">
        <v>144</v>
      </c>
      <c r="P25" s="6">
        <v>2</v>
      </c>
      <c r="Q25" s="7" t="s">
        <v>220</v>
      </c>
      <c r="R25" s="7" t="str" cm="1">
        <f t="array" aca="1" ref="R25" ca="1">_xll.ELPAR($D$1,D25,1)</f>
        <v>RECALC_0_197_</v>
      </c>
      <c r="S25" s="7" t="str">
        <f ca="1">IF(ISERROR(Proc[[#This Row],[TM1]]),C25,IF(LEFT(Proc[[#This Row],[TM1]],10)=Proc[[#This Row],[Requested]],"MAPPED",C25))</f>
        <v>Waiting for MDGF approval</v>
      </c>
    </row>
    <row r="26" spans="1:19">
      <c r="A26" s="7" t="s">
        <v>214</v>
      </c>
      <c r="B26" s="7" t="s">
        <v>143</v>
      </c>
      <c r="C26" s="7" t="s">
        <v>33</v>
      </c>
      <c r="D26" s="7" t="s">
        <v>261</v>
      </c>
      <c r="E26" s="7" t="s">
        <v>249</v>
      </c>
      <c r="F26" s="7" t="s">
        <v>250</v>
      </c>
      <c r="G26" s="7" t="s">
        <v>179</v>
      </c>
      <c r="H26" s="7" t="s">
        <v>262</v>
      </c>
      <c r="I26" s="7" t="s">
        <v>219</v>
      </c>
      <c r="J26" s="7" t="s">
        <v>32</v>
      </c>
      <c r="K26" s="7"/>
      <c r="L26" s="8">
        <v>45841</v>
      </c>
      <c r="M26" s="8"/>
      <c r="N26" s="8"/>
      <c r="O26" s="7" t="s">
        <v>144</v>
      </c>
      <c r="P26" s="6">
        <v>2</v>
      </c>
      <c r="Q26" s="7" t="s">
        <v>220</v>
      </c>
      <c r="R26" s="7" t="str" cm="1">
        <f t="array" aca="1" ref="R26" ca="1">_xll.ELPAR($D$1,D26,1)</f>
        <v>RECALC_0_146_</v>
      </c>
      <c r="S26" s="7" t="str">
        <f ca="1">IF(ISERROR(Proc[[#This Row],[TM1]]),C26,IF(LEFT(Proc[[#This Row],[TM1]],10)=Proc[[#This Row],[Requested]],"MAPPED",C26))</f>
        <v>Waiting for MDGF approval</v>
      </c>
    </row>
    <row r="27" spans="1:19">
      <c r="A27" s="7" t="s">
        <v>214</v>
      </c>
      <c r="B27" s="7" t="s">
        <v>143</v>
      </c>
      <c r="C27" s="7" t="s">
        <v>33</v>
      </c>
      <c r="D27" s="7" t="s">
        <v>263</v>
      </c>
      <c r="E27" s="7" t="s">
        <v>258</v>
      </c>
      <c r="F27" s="7" t="s">
        <v>264</v>
      </c>
      <c r="G27" s="7" t="s">
        <v>179</v>
      </c>
      <c r="H27" s="7" t="s">
        <v>265</v>
      </c>
      <c r="I27" s="7" t="s">
        <v>219</v>
      </c>
      <c r="J27" s="7" t="s">
        <v>32</v>
      </c>
      <c r="K27" s="7"/>
      <c r="L27" s="8">
        <v>45841</v>
      </c>
      <c r="M27" s="8"/>
      <c r="N27" s="8"/>
      <c r="O27" s="7" t="s">
        <v>144</v>
      </c>
      <c r="P27" s="6">
        <v>2</v>
      </c>
      <c r="Q27" s="7" t="s">
        <v>220</v>
      </c>
      <c r="R27" s="7" t="str" cm="1">
        <f t="array" aca="1" ref="R27" ca="1">_xll.ELPAR($D$1,D27,1)</f>
        <v>RECALC_0_337_</v>
      </c>
      <c r="S27" s="7" t="str">
        <f ca="1">IF(ISERROR(Proc[[#This Row],[TM1]]),C27,IF(LEFT(Proc[[#This Row],[TM1]],10)=Proc[[#This Row],[Requested]],"MAPPED",C27))</f>
        <v>Waiting for MDGF approval</v>
      </c>
    </row>
    <row r="28" spans="1:19">
      <c r="A28" s="7" t="s">
        <v>214</v>
      </c>
      <c r="B28" s="7" t="s">
        <v>143</v>
      </c>
      <c r="C28" s="7" t="s">
        <v>33</v>
      </c>
      <c r="D28" s="7" t="s">
        <v>266</v>
      </c>
      <c r="E28" s="7" t="s">
        <v>267</v>
      </c>
      <c r="F28" s="7" t="s">
        <v>250</v>
      </c>
      <c r="G28" s="7" t="s">
        <v>179</v>
      </c>
      <c r="H28" s="7" t="s">
        <v>268</v>
      </c>
      <c r="I28" s="7" t="s">
        <v>219</v>
      </c>
      <c r="J28" s="7" t="s">
        <v>32</v>
      </c>
      <c r="K28" s="7"/>
      <c r="L28" s="8">
        <v>45841</v>
      </c>
      <c r="M28" s="8"/>
      <c r="N28" s="8"/>
      <c r="O28" s="7" t="s">
        <v>144</v>
      </c>
      <c r="P28" s="6">
        <v>2</v>
      </c>
      <c r="Q28" s="7" t="s">
        <v>220</v>
      </c>
      <c r="R28" s="7" t="str" cm="1">
        <f t="array" aca="1" ref="R28" ca="1">_xll.ELPAR($D$1,D28,1)</f>
        <v>RECALC_0_308_</v>
      </c>
      <c r="S28" s="7" t="str">
        <f ca="1">IF(ISERROR(Proc[[#This Row],[TM1]]),C28,IF(LEFT(Proc[[#This Row],[TM1]],10)=Proc[[#This Row],[Requested]],"MAPPED",C28))</f>
        <v>Waiting for MDGF approval</v>
      </c>
    </row>
    <row r="29" spans="1:19">
      <c r="A29" s="7" t="s">
        <v>214</v>
      </c>
      <c r="B29" s="7" t="s">
        <v>143</v>
      </c>
      <c r="C29" s="7" t="s">
        <v>33</v>
      </c>
      <c r="D29" s="7" t="s">
        <v>269</v>
      </c>
      <c r="E29" s="7" t="s">
        <v>258</v>
      </c>
      <c r="F29" s="7" t="s">
        <v>264</v>
      </c>
      <c r="G29" s="7" t="s">
        <v>179</v>
      </c>
      <c r="H29" s="7" t="s">
        <v>270</v>
      </c>
      <c r="I29" s="7" t="s">
        <v>219</v>
      </c>
      <c r="J29" s="7" t="s">
        <v>32</v>
      </c>
      <c r="K29" s="7"/>
      <c r="L29" s="8">
        <v>45841</v>
      </c>
      <c r="M29" s="8"/>
      <c r="N29" s="8"/>
      <c r="O29" s="7" t="s">
        <v>144</v>
      </c>
      <c r="P29" s="6">
        <v>2</v>
      </c>
      <c r="Q29" s="7" t="s">
        <v>220</v>
      </c>
      <c r="R29" s="7" t="str" cm="1">
        <f t="array" aca="1" ref="R29" ca="1">_xll.ELPAR($D$1,D29,1)</f>
        <v>RECALC_0_276_</v>
      </c>
      <c r="S29" s="7" t="str">
        <f ca="1">IF(ISERROR(Proc[[#This Row],[TM1]]),C29,IF(LEFT(Proc[[#This Row],[TM1]],10)=Proc[[#This Row],[Requested]],"MAPPED",C29))</f>
        <v>Waiting for MDGF approval</v>
      </c>
    </row>
    <row r="30" spans="1:19">
      <c r="A30" s="7" t="s">
        <v>214</v>
      </c>
      <c r="B30" s="7" t="s">
        <v>143</v>
      </c>
      <c r="C30" s="7" t="s">
        <v>33</v>
      </c>
      <c r="D30" s="7" t="s">
        <v>271</v>
      </c>
      <c r="E30" s="7" t="s">
        <v>258</v>
      </c>
      <c r="F30" s="7" t="s">
        <v>264</v>
      </c>
      <c r="G30" s="7" t="s">
        <v>179</v>
      </c>
      <c r="H30" s="7" t="s">
        <v>272</v>
      </c>
      <c r="I30" s="7" t="s">
        <v>219</v>
      </c>
      <c r="J30" s="7" t="s">
        <v>32</v>
      </c>
      <c r="K30" s="7"/>
      <c r="L30" s="8">
        <v>45841</v>
      </c>
      <c r="M30" s="8"/>
      <c r="N30" s="8"/>
      <c r="O30" s="7" t="s">
        <v>144</v>
      </c>
      <c r="P30" s="6">
        <v>2</v>
      </c>
      <c r="Q30" s="7" t="s">
        <v>220</v>
      </c>
      <c r="R30" s="7" t="str" cm="1">
        <f t="array" aca="1" ref="R30" ca="1">_xll.ELPAR($D$1,D30,1)</f>
        <v>RECALC_0_262_</v>
      </c>
      <c r="S30" s="7" t="str">
        <f ca="1">IF(ISERROR(Proc[[#This Row],[TM1]]),C30,IF(LEFT(Proc[[#This Row],[TM1]],10)=Proc[[#This Row],[Requested]],"MAPPED",C30))</f>
        <v>Waiting for MDGF approval</v>
      </c>
    </row>
    <row r="31" spans="1:19">
      <c r="A31" s="7" t="s">
        <v>214</v>
      </c>
      <c r="B31" s="7" t="s">
        <v>143</v>
      </c>
      <c r="C31" s="7" t="s">
        <v>33</v>
      </c>
      <c r="D31" s="7" t="s">
        <v>273</v>
      </c>
      <c r="E31" s="7" t="s">
        <v>249</v>
      </c>
      <c r="F31" s="7" t="s">
        <v>253</v>
      </c>
      <c r="G31" s="7" t="s">
        <v>179</v>
      </c>
      <c r="H31" s="7" t="s">
        <v>274</v>
      </c>
      <c r="I31" s="7" t="s">
        <v>219</v>
      </c>
      <c r="J31" s="7" t="s">
        <v>32</v>
      </c>
      <c r="K31" s="7"/>
      <c r="L31" s="8">
        <v>45841</v>
      </c>
      <c r="M31" s="8"/>
      <c r="N31" s="8"/>
      <c r="O31" s="7" t="s">
        <v>144</v>
      </c>
      <c r="P31" s="6">
        <v>2</v>
      </c>
      <c r="Q31" s="7" t="s">
        <v>220</v>
      </c>
      <c r="R31" s="7" t="str" cm="1">
        <f t="array" aca="1" ref="R31" ca="1">_xll.ELPAR($D$1,D31,1)</f>
        <v>RECALC_0_99_</v>
      </c>
      <c r="S31" s="7" t="str">
        <f ca="1">IF(ISERROR(Proc[[#This Row],[TM1]]),C31,IF(LEFT(Proc[[#This Row],[TM1]],10)=Proc[[#This Row],[Requested]],"MAPPED",C31))</f>
        <v>Waiting for MDGF approval</v>
      </c>
    </row>
    <row r="32" spans="1:19">
      <c r="A32" s="7" t="s">
        <v>214</v>
      </c>
      <c r="B32" s="7" t="s">
        <v>143</v>
      </c>
      <c r="C32" s="7" t="s">
        <v>33</v>
      </c>
      <c r="D32" s="7" t="s">
        <v>275</v>
      </c>
      <c r="E32" s="7" t="s">
        <v>249</v>
      </c>
      <c r="F32" s="7" t="s">
        <v>276</v>
      </c>
      <c r="G32" s="7" t="s">
        <v>179</v>
      </c>
      <c r="H32" s="7" t="s">
        <v>277</v>
      </c>
      <c r="I32" s="7" t="s">
        <v>219</v>
      </c>
      <c r="J32" s="7" t="s">
        <v>32</v>
      </c>
      <c r="K32" s="7"/>
      <c r="L32" s="8">
        <v>45841</v>
      </c>
      <c r="M32" s="8"/>
      <c r="N32" s="8"/>
      <c r="O32" s="7" t="s">
        <v>144</v>
      </c>
      <c r="P32" s="6">
        <v>2</v>
      </c>
      <c r="Q32" s="7" t="s">
        <v>220</v>
      </c>
      <c r="R32" s="7" t="str" cm="1">
        <f t="array" aca="1" ref="R32" ca="1">_xll.ELPAR($D$1,D32,1)</f>
        <v>RECALC_0_58_</v>
      </c>
      <c r="S32" s="7" t="str">
        <f ca="1">IF(ISERROR(Proc[[#This Row],[TM1]]),C32,IF(LEFT(Proc[[#This Row],[TM1]],10)=Proc[[#This Row],[Requested]],"MAPPED",C32))</f>
        <v>Waiting for MDGF approval</v>
      </c>
    </row>
    <row r="33" spans="1:19">
      <c r="A33" s="7" t="s">
        <v>214</v>
      </c>
      <c r="B33" s="7" t="s">
        <v>143</v>
      </c>
      <c r="C33" s="7" t="s">
        <v>33</v>
      </c>
      <c r="D33" s="7" t="s">
        <v>278</v>
      </c>
      <c r="E33" s="7" t="s">
        <v>249</v>
      </c>
      <c r="F33" s="7" t="s">
        <v>253</v>
      </c>
      <c r="G33" s="7" t="s">
        <v>179</v>
      </c>
      <c r="H33" s="7" t="s">
        <v>279</v>
      </c>
      <c r="I33" s="7" t="s">
        <v>219</v>
      </c>
      <c r="J33" s="7" t="s">
        <v>32</v>
      </c>
      <c r="K33" s="7"/>
      <c r="L33" s="8">
        <v>45841</v>
      </c>
      <c r="M33" s="8"/>
      <c r="N33" s="8"/>
      <c r="O33" s="7" t="s">
        <v>144</v>
      </c>
      <c r="P33" s="6">
        <v>2</v>
      </c>
      <c r="Q33" s="7" t="s">
        <v>220</v>
      </c>
      <c r="R33" s="7" t="str" cm="1">
        <f t="array" aca="1" ref="R33" ca="1">_xll.ELPAR($D$1,D33,1)</f>
        <v>RECALC_0_336_</v>
      </c>
      <c r="S33" s="7" t="str">
        <f ca="1">IF(ISERROR(Proc[[#This Row],[TM1]]),C33,IF(LEFT(Proc[[#This Row],[TM1]],10)=Proc[[#This Row],[Requested]],"MAPPED",C33))</f>
        <v>Waiting for MDGF approval</v>
      </c>
    </row>
    <row r="34" spans="1:19">
      <c r="A34" s="7" t="s">
        <v>214</v>
      </c>
      <c r="B34" s="7" t="s">
        <v>143</v>
      </c>
      <c r="C34" s="7" t="s">
        <v>33</v>
      </c>
      <c r="D34" s="7" t="s">
        <v>280</v>
      </c>
      <c r="E34" s="7" t="s">
        <v>249</v>
      </c>
      <c r="F34" s="7" t="s">
        <v>253</v>
      </c>
      <c r="G34" s="7" t="s">
        <v>179</v>
      </c>
      <c r="H34" s="7" t="s">
        <v>281</v>
      </c>
      <c r="I34" s="7" t="s">
        <v>219</v>
      </c>
      <c r="J34" s="7" t="s">
        <v>32</v>
      </c>
      <c r="K34" s="7"/>
      <c r="L34" s="8">
        <v>45841</v>
      </c>
      <c r="M34" s="8"/>
      <c r="N34" s="8"/>
      <c r="O34" s="7" t="s">
        <v>144</v>
      </c>
      <c r="P34" s="6">
        <v>2</v>
      </c>
      <c r="Q34" s="7" t="s">
        <v>220</v>
      </c>
      <c r="R34" s="7" t="str" cm="1">
        <f t="array" aca="1" ref="R34" ca="1">_xll.ELPAR($D$1,D34,1)</f>
        <v>RECALC_0_307_</v>
      </c>
      <c r="S34" s="7" t="str">
        <f ca="1">IF(ISERROR(Proc[[#This Row],[TM1]]),C34,IF(LEFT(Proc[[#This Row],[TM1]],10)=Proc[[#This Row],[Requested]],"MAPPED",C34))</f>
        <v>Waiting for MDGF approval</v>
      </c>
    </row>
    <row r="35" spans="1:19">
      <c r="A35" s="7" t="s">
        <v>214</v>
      </c>
      <c r="B35" s="7" t="s">
        <v>143</v>
      </c>
      <c r="C35" s="7" t="s">
        <v>33</v>
      </c>
      <c r="D35" s="7" t="s">
        <v>282</v>
      </c>
      <c r="E35" s="7" t="s">
        <v>249</v>
      </c>
      <c r="F35" s="7" t="s">
        <v>253</v>
      </c>
      <c r="G35" s="7" t="s">
        <v>179</v>
      </c>
      <c r="H35" s="7" t="s">
        <v>283</v>
      </c>
      <c r="I35" s="7" t="s">
        <v>219</v>
      </c>
      <c r="J35" s="7" t="s">
        <v>32</v>
      </c>
      <c r="K35" s="7"/>
      <c r="L35" s="8">
        <v>45841</v>
      </c>
      <c r="M35" s="8"/>
      <c r="N35" s="8"/>
      <c r="O35" s="7" t="s">
        <v>144</v>
      </c>
      <c r="P35" s="6">
        <v>2</v>
      </c>
      <c r="Q35" s="7" t="s">
        <v>220</v>
      </c>
      <c r="R35" s="7" t="str" cm="1">
        <f t="array" aca="1" ref="R35" ca="1">_xll.ELPAR($D$1,D35,1)</f>
        <v>RECALC_0_275_</v>
      </c>
      <c r="S35" s="7" t="str">
        <f ca="1">IF(ISERROR(Proc[[#This Row],[TM1]]),C35,IF(LEFT(Proc[[#This Row],[TM1]],10)=Proc[[#This Row],[Requested]],"MAPPED",C35))</f>
        <v>Waiting for MDGF approval</v>
      </c>
    </row>
    <row r="36" spans="1:19">
      <c r="A36" s="7" t="s">
        <v>214</v>
      </c>
      <c r="B36" s="7" t="s">
        <v>143</v>
      </c>
      <c r="C36" s="7" t="s">
        <v>33</v>
      </c>
      <c r="D36" s="7" t="s">
        <v>284</v>
      </c>
      <c r="E36" s="7" t="s">
        <v>267</v>
      </c>
      <c r="F36" s="7" t="s">
        <v>253</v>
      </c>
      <c r="G36" s="7" t="s">
        <v>179</v>
      </c>
      <c r="H36" s="7" t="s">
        <v>285</v>
      </c>
      <c r="I36" s="7" t="s">
        <v>219</v>
      </c>
      <c r="J36" s="7" t="s">
        <v>32</v>
      </c>
      <c r="K36" s="7"/>
      <c r="L36" s="8">
        <v>45841</v>
      </c>
      <c r="M36" s="8"/>
      <c r="N36" s="8"/>
      <c r="O36" s="7" t="s">
        <v>144</v>
      </c>
      <c r="P36" s="6">
        <v>2</v>
      </c>
      <c r="Q36" s="7" t="s">
        <v>220</v>
      </c>
      <c r="R36" s="7" t="str" cm="1">
        <f t="array" aca="1" ref="R36" ca="1">_xll.ELPAR($D$1,D36,1)</f>
        <v>RECALC_0_261_</v>
      </c>
      <c r="S36" s="7" t="str">
        <f ca="1">IF(ISERROR(Proc[[#This Row],[TM1]]),C36,IF(LEFT(Proc[[#This Row],[TM1]],10)=Proc[[#This Row],[Requested]],"MAPPED",C36))</f>
        <v>Waiting for MDGF approval</v>
      </c>
    </row>
    <row r="37" spans="1:19">
      <c r="A37" s="7" t="s">
        <v>214</v>
      </c>
      <c r="B37" s="7" t="s">
        <v>143</v>
      </c>
      <c r="C37" s="7" t="s">
        <v>33</v>
      </c>
      <c r="D37" s="7" t="s">
        <v>286</v>
      </c>
      <c r="E37" s="7" t="s">
        <v>249</v>
      </c>
      <c r="F37" s="7" t="s">
        <v>253</v>
      </c>
      <c r="G37" s="7" t="s">
        <v>179</v>
      </c>
      <c r="H37" s="7" t="s">
        <v>287</v>
      </c>
      <c r="I37" s="7" t="s">
        <v>219</v>
      </c>
      <c r="J37" s="7" t="s">
        <v>32</v>
      </c>
      <c r="K37" s="7"/>
      <c r="L37" s="8">
        <v>45841</v>
      </c>
      <c r="M37" s="8"/>
      <c r="N37" s="8"/>
      <c r="O37" s="7" t="s">
        <v>144</v>
      </c>
      <c r="P37" s="6">
        <v>2</v>
      </c>
      <c r="Q37" s="7" t="s">
        <v>220</v>
      </c>
      <c r="R37" s="7" t="str" cm="1">
        <f t="array" aca="1" ref="R37" ca="1">_xll.ELPAR($D$1,D37,1)</f>
        <v>RECALC_0_246_</v>
      </c>
      <c r="S37" s="7" t="str">
        <f ca="1">IF(ISERROR(Proc[[#This Row],[TM1]]),C37,IF(LEFT(Proc[[#This Row],[TM1]],10)=Proc[[#This Row],[Requested]],"MAPPED",C37))</f>
        <v>Waiting for MDGF approval</v>
      </c>
    </row>
    <row r="38" spans="1:19">
      <c r="A38" s="7" t="s">
        <v>214</v>
      </c>
      <c r="B38" s="7" t="s">
        <v>143</v>
      </c>
      <c r="C38" s="7" t="s">
        <v>33</v>
      </c>
      <c r="D38" s="7" t="s">
        <v>288</v>
      </c>
      <c r="E38" s="7" t="s">
        <v>249</v>
      </c>
      <c r="F38" s="7" t="s">
        <v>250</v>
      </c>
      <c r="G38" s="7" t="s">
        <v>179</v>
      </c>
      <c r="H38" s="7" t="s">
        <v>289</v>
      </c>
      <c r="I38" s="7" t="s">
        <v>219</v>
      </c>
      <c r="J38" s="7" t="s">
        <v>32</v>
      </c>
      <c r="K38" s="7"/>
      <c r="L38" s="8">
        <v>45841</v>
      </c>
      <c r="M38" s="8"/>
      <c r="N38" s="8"/>
      <c r="O38" s="7" t="s">
        <v>144</v>
      </c>
      <c r="P38" s="6">
        <v>2</v>
      </c>
      <c r="Q38" s="7" t="s">
        <v>220</v>
      </c>
      <c r="R38" s="7" t="str" cm="1">
        <f t="array" aca="1" ref="R38" ca="1">_xll.ELPAR($D$1,D38,1)</f>
        <v>RECALC_0_196_</v>
      </c>
      <c r="S38" s="7" t="str">
        <f ca="1">IF(ISERROR(Proc[[#This Row],[TM1]]),C38,IF(LEFT(Proc[[#This Row],[TM1]],10)=Proc[[#This Row],[Requested]],"MAPPED",C38))</f>
        <v>Waiting for MDGF approval</v>
      </c>
    </row>
    <row r="39" spans="1:19">
      <c r="A39" s="7" t="s">
        <v>214</v>
      </c>
      <c r="B39" s="7" t="s">
        <v>143</v>
      </c>
      <c r="C39" s="7" t="s">
        <v>33</v>
      </c>
      <c r="D39" s="7" t="s">
        <v>290</v>
      </c>
      <c r="E39" s="7" t="s">
        <v>249</v>
      </c>
      <c r="F39" s="7" t="s">
        <v>250</v>
      </c>
      <c r="G39" s="7" t="s">
        <v>179</v>
      </c>
      <c r="H39" s="7" t="s">
        <v>291</v>
      </c>
      <c r="I39" s="7" t="s">
        <v>219</v>
      </c>
      <c r="J39" s="7" t="s">
        <v>32</v>
      </c>
      <c r="K39" s="7"/>
      <c r="L39" s="8">
        <v>45841</v>
      </c>
      <c r="M39" s="8"/>
      <c r="N39" s="8"/>
      <c r="O39" s="7" t="s">
        <v>144</v>
      </c>
      <c r="P39" s="6">
        <v>2</v>
      </c>
      <c r="Q39" s="7" t="s">
        <v>220</v>
      </c>
      <c r="R39" s="7" t="str" cm="1">
        <f t="array" aca="1" ref="R39" ca="1">_xll.ELPAR($D$1,D39,1)</f>
        <v>RECALC_0_335_</v>
      </c>
      <c r="S39" s="7" t="str">
        <f ca="1">IF(ISERROR(Proc[[#This Row],[TM1]]),C39,IF(LEFT(Proc[[#This Row],[TM1]],10)=Proc[[#This Row],[Requested]],"MAPPED",C39))</f>
        <v>Waiting for MDGF approval</v>
      </c>
    </row>
    <row r="40" spans="1:19">
      <c r="A40" s="7" t="s">
        <v>214</v>
      </c>
      <c r="B40" s="7" t="s">
        <v>143</v>
      </c>
      <c r="C40" s="7" t="s">
        <v>33</v>
      </c>
      <c r="D40" s="7" t="s">
        <v>292</v>
      </c>
      <c r="E40" s="7" t="s">
        <v>267</v>
      </c>
      <c r="F40" s="7" t="s">
        <v>250</v>
      </c>
      <c r="G40" s="7" t="s">
        <v>179</v>
      </c>
      <c r="H40" s="7" t="s">
        <v>293</v>
      </c>
      <c r="I40" s="7" t="s">
        <v>219</v>
      </c>
      <c r="J40" s="7" t="s">
        <v>32</v>
      </c>
      <c r="K40" s="7"/>
      <c r="L40" s="8">
        <v>45841</v>
      </c>
      <c r="M40" s="8"/>
      <c r="N40" s="8"/>
      <c r="O40" s="7" t="s">
        <v>144</v>
      </c>
      <c r="P40" s="6">
        <v>2</v>
      </c>
      <c r="Q40" s="7" t="s">
        <v>220</v>
      </c>
      <c r="R40" s="7" t="str" cm="1">
        <f t="array" aca="1" ref="R40" ca="1">_xll.ELPAR($D$1,D40,1)</f>
        <v>RECALC_0_306_</v>
      </c>
      <c r="S40" s="7" t="str">
        <f ca="1">IF(ISERROR(Proc[[#This Row],[TM1]]),C40,IF(LEFT(Proc[[#This Row],[TM1]],10)=Proc[[#This Row],[Requested]],"MAPPED",C40))</f>
        <v>Waiting for MDGF approval</v>
      </c>
    </row>
    <row r="41" spans="1:19">
      <c r="A41" s="7" t="s">
        <v>214</v>
      </c>
      <c r="B41" s="7" t="s">
        <v>143</v>
      </c>
      <c r="C41" s="7" t="s">
        <v>33</v>
      </c>
      <c r="D41" s="7" t="s">
        <v>294</v>
      </c>
      <c r="E41" s="7" t="s">
        <v>249</v>
      </c>
      <c r="F41" s="7" t="s">
        <v>250</v>
      </c>
      <c r="G41" s="7" t="s">
        <v>179</v>
      </c>
      <c r="H41" s="7" t="s">
        <v>295</v>
      </c>
      <c r="I41" s="7" t="s">
        <v>219</v>
      </c>
      <c r="J41" s="7" t="s">
        <v>32</v>
      </c>
      <c r="K41" s="7"/>
      <c r="L41" s="8">
        <v>45841</v>
      </c>
      <c r="M41" s="8"/>
      <c r="N41" s="8"/>
      <c r="O41" s="7" t="s">
        <v>144</v>
      </c>
      <c r="P41" s="6">
        <v>2</v>
      </c>
      <c r="Q41" s="7" t="s">
        <v>220</v>
      </c>
      <c r="R41" s="7" t="str" cm="1">
        <f t="array" aca="1" ref="R41" ca="1">_xll.ELPAR($D$1,D41,1)</f>
        <v>RECALC_0_274_</v>
      </c>
      <c r="S41" s="7" t="str">
        <f ca="1">IF(ISERROR(Proc[[#This Row],[TM1]]),C41,IF(LEFT(Proc[[#This Row],[TM1]],10)=Proc[[#This Row],[Requested]],"MAPPED",C41))</f>
        <v>Waiting for MDGF approval</v>
      </c>
    </row>
    <row r="42" spans="1:19">
      <c r="A42" s="7" t="s">
        <v>214</v>
      </c>
      <c r="B42" s="7" t="s">
        <v>143</v>
      </c>
      <c r="C42" s="7" t="s">
        <v>33</v>
      </c>
      <c r="D42" s="7" t="s">
        <v>296</v>
      </c>
      <c r="E42" s="7" t="s">
        <v>249</v>
      </c>
      <c r="F42" s="7" t="s">
        <v>250</v>
      </c>
      <c r="G42" s="7" t="s">
        <v>179</v>
      </c>
      <c r="H42" s="7" t="s">
        <v>297</v>
      </c>
      <c r="I42" s="7" t="s">
        <v>219</v>
      </c>
      <c r="J42" s="7" t="s">
        <v>32</v>
      </c>
      <c r="K42" s="7"/>
      <c r="L42" s="8">
        <v>45841</v>
      </c>
      <c r="M42" s="8"/>
      <c r="N42" s="8"/>
      <c r="O42" s="7" t="s">
        <v>144</v>
      </c>
      <c r="P42" s="6">
        <v>2</v>
      </c>
      <c r="Q42" s="7" t="s">
        <v>220</v>
      </c>
      <c r="R42" s="7" t="str" cm="1">
        <f t="array" aca="1" ref="R42" ca="1">_xll.ELPAR($D$1,D42,1)</f>
        <v>RECALC_0_260_</v>
      </c>
      <c r="S42" s="7" t="str">
        <f ca="1">IF(ISERROR(Proc[[#This Row],[TM1]]),C42,IF(LEFT(Proc[[#This Row],[TM1]],10)=Proc[[#This Row],[Requested]],"MAPPED",C42))</f>
        <v>Waiting for MDGF approval</v>
      </c>
    </row>
    <row r="43" spans="1:19">
      <c r="A43" s="7" t="s">
        <v>214</v>
      </c>
      <c r="B43" s="7" t="s">
        <v>143</v>
      </c>
      <c r="C43" s="7" t="s">
        <v>33</v>
      </c>
      <c r="D43" s="7" t="s">
        <v>298</v>
      </c>
      <c r="E43" s="7" t="s">
        <v>249</v>
      </c>
      <c r="F43" s="7" t="s">
        <v>253</v>
      </c>
      <c r="G43" s="7" t="s">
        <v>179</v>
      </c>
      <c r="H43" s="7" t="s">
        <v>299</v>
      </c>
      <c r="I43" s="7" t="s">
        <v>219</v>
      </c>
      <c r="J43" s="7" t="s">
        <v>32</v>
      </c>
      <c r="K43" s="7"/>
      <c r="L43" s="8">
        <v>45841</v>
      </c>
      <c r="M43" s="8"/>
      <c r="N43" s="8"/>
      <c r="O43" s="7" t="s">
        <v>144</v>
      </c>
      <c r="P43" s="6">
        <v>2</v>
      </c>
      <c r="Q43" s="7" t="s">
        <v>220</v>
      </c>
      <c r="R43" s="7" t="str" cm="1">
        <f t="array" aca="1" ref="R43" ca="1">_xll.ELPAR($D$1,D43,1)</f>
        <v>RECALC_0_129_</v>
      </c>
      <c r="S43" s="7" t="str">
        <f ca="1">IF(ISERROR(Proc[[#This Row],[TM1]]),C43,IF(LEFT(Proc[[#This Row],[TM1]],10)=Proc[[#This Row],[Requested]],"MAPPED",C43))</f>
        <v>Waiting for MDGF approval</v>
      </c>
    </row>
    <row r="44" spans="1:19">
      <c r="A44" s="7" t="s">
        <v>214</v>
      </c>
      <c r="B44" s="7" t="s">
        <v>143</v>
      </c>
      <c r="C44" s="7" t="s">
        <v>33</v>
      </c>
      <c r="D44" s="7" t="s">
        <v>300</v>
      </c>
      <c r="E44" s="7" t="s">
        <v>258</v>
      </c>
      <c r="F44" s="7" t="s">
        <v>264</v>
      </c>
      <c r="G44" s="7" t="s">
        <v>179</v>
      </c>
      <c r="H44" s="7" t="s">
        <v>301</v>
      </c>
      <c r="I44" s="7" t="s">
        <v>219</v>
      </c>
      <c r="J44" s="7" t="s">
        <v>32</v>
      </c>
      <c r="K44" s="7"/>
      <c r="L44" s="8">
        <v>45841</v>
      </c>
      <c r="M44" s="8"/>
      <c r="N44" s="8"/>
      <c r="O44" s="7" t="s">
        <v>144</v>
      </c>
      <c r="P44" s="6">
        <v>2</v>
      </c>
      <c r="Q44" s="7" t="s">
        <v>220</v>
      </c>
      <c r="R44" s="7" t="str" cm="1">
        <f t="array" aca="1" ref="R44" ca="1">_xll.ELPAR($D$1,D44,1)</f>
        <v>RECALC_0_98_</v>
      </c>
      <c r="S44" s="7" t="str">
        <f ca="1">IF(ISERROR(Proc[[#This Row],[TM1]]),C44,IF(LEFT(Proc[[#This Row],[TM1]],10)=Proc[[#This Row],[Requested]],"MAPPED",C44))</f>
        <v>Waiting for MDGF approval</v>
      </c>
    </row>
    <row r="45" spans="1:19">
      <c r="A45" s="7" t="s">
        <v>214</v>
      </c>
      <c r="B45" s="7" t="s">
        <v>143</v>
      </c>
      <c r="C45" s="7" t="s">
        <v>33</v>
      </c>
      <c r="D45" s="7" t="s">
        <v>302</v>
      </c>
      <c r="E45" s="7" t="s">
        <v>249</v>
      </c>
      <c r="F45" s="7" t="s">
        <v>250</v>
      </c>
      <c r="G45" s="7" t="s">
        <v>179</v>
      </c>
      <c r="H45" s="7" t="s">
        <v>303</v>
      </c>
      <c r="I45" s="7" t="s">
        <v>219</v>
      </c>
      <c r="J45" s="7" t="s">
        <v>32</v>
      </c>
      <c r="K45" s="7"/>
      <c r="L45" s="8">
        <v>45841</v>
      </c>
      <c r="M45" s="8"/>
      <c r="N45" s="8"/>
      <c r="O45" s="7" t="s">
        <v>144</v>
      </c>
      <c r="P45" s="6">
        <v>2</v>
      </c>
      <c r="Q45" s="7" t="s">
        <v>220</v>
      </c>
      <c r="R45" s="7" t="str" cm="1">
        <f t="array" aca="1" ref="R45" ca="1">_xll.ELPAR($D$1,D45,1)</f>
        <v>RECALC_0_334_</v>
      </c>
      <c r="S45" s="7" t="str">
        <f ca="1">IF(ISERROR(Proc[[#This Row],[TM1]]),C45,IF(LEFT(Proc[[#This Row],[TM1]],10)=Proc[[#This Row],[Requested]],"MAPPED",C45))</f>
        <v>Waiting for MDGF approval</v>
      </c>
    </row>
    <row r="46" spans="1:19">
      <c r="A46" s="7" t="s">
        <v>214</v>
      </c>
      <c r="B46" s="7" t="s">
        <v>143</v>
      </c>
      <c r="C46" s="7" t="s">
        <v>33</v>
      </c>
      <c r="D46" s="7" t="s">
        <v>304</v>
      </c>
      <c r="E46" s="7" t="s">
        <v>267</v>
      </c>
      <c r="F46" s="7" t="s">
        <v>250</v>
      </c>
      <c r="G46" s="7" t="s">
        <v>179</v>
      </c>
      <c r="H46" s="7" t="s">
        <v>305</v>
      </c>
      <c r="I46" s="7" t="s">
        <v>219</v>
      </c>
      <c r="J46" s="7" t="s">
        <v>32</v>
      </c>
      <c r="K46" s="7"/>
      <c r="L46" s="8">
        <v>45841</v>
      </c>
      <c r="M46" s="8"/>
      <c r="N46" s="8"/>
      <c r="O46" s="7" t="s">
        <v>144</v>
      </c>
      <c r="P46" s="6">
        <v>2</v>
      </c>
      <c r="Q46" s="7" t="s">
        <v>220</v>
      </c>
      <c r="R46" s="7" t="str" cm="1">
        <f t="array" aca="1" ref="R46" ca="1">_xll.ELPAR($D$1,D46,1)</f>
        <v>RECALC_0_305_</v>
      </c>
      <c r="S46" s="7" t="str">
        <f ca="1">IF(ISERROR(Proc[[#This Row],[TM1]]),C46,IF(LEFT(Proc[[#This Row],[TM1]],10)=Proc[[#This Row],[Requested]],"MAPPED",C46))</f>
        <v>Waiting for MDGF approval</v>
      </c>
    </row>
    <row r="47" spans="1:19">
      <c r="A47" s="7" t="s">
        <v>214</v>
      </c>
      <c r="B47" s="7" t="s">
        <v>143</v>
      </c>
      <c r="C47" s="7" t="s">
        <v>33</v>
      </c>
      <c r="D47" s="7" t="s">
        <v>306</v>
      </c>
      <c r="E47" s="7" t="s">
        <v>267</v>
      </c>
      <c r="F47" s="7" t="s">
        <v>250</v>
      </c>
      <c r="G47" s="7" t="s">
        <v>179</v>
      </c>
      <c r="H47" s="7" t="s">
        <v>307</v>
      </c>
      <c r="I47" s="7" t="s">
        <v>219</v>
      </c>
      <c r="J47" s="7" t="s">
        <v>32</v>
      </c>
      <c r="K47" s="7"/>
      <c r="L47" s="8">
        <v>45841</v>
      </c>
      <c r="M47" s="8"/>
      <c r="N47" s="8"/>
      <c r="O47" s="7" t="s">
        <v>144</v>
      </c>
      <c r="P47" s="6">
        <v>2</v>
      </c>
      <c r="Q47" s="7" t="s">
        <v>220</v>
      </c>
      <c r="R47" s="7" t="str" cm="1">
        <f t="array" aca="1" ref="R47" ca="1">_xll.ELPAR($D$1,D47,1)</f>
        <v>RECALC_0_273_</v>
      </c>
      <c r="S47" s="7" t="str">
        <f ca="1">IF(ISERROR(Proc[[#This Row],[TM1]]),C47,IF(LEFT(Proc[[#This Row],[TM1]],10)=Proc[[#This Row],[Requested]],"MAPPED",C47))</f>
        <v>Waiting for MDGF approval</v>
      </c>
    </row>
    <row r="48" spans="1:19">
      <c r="A48" s="7" t="s">
        <v>214</v>
      </c>
      <c r="B48" s="7" t="s">
        <v>143</v>
      </c>
      <c r="C48" s="7" t="s">
        <v>33</v>
      </c>
      <c r="D48" s="7" t="s">
        <v>308</v>
      </c>
      <c r="E48" s="7" t="s">
        <v>249</v>
      </c>
      <c r="F48" s="7" t="s">
        <v>253</v>
      </c>
      <c r="G48" s="7" t="s">
        <v>179</v>
      </c>
      <c r="H48" s="7" t="s">
        <v>309</v>
      </c>
      <c r="I48" s="7" t="s">
        <v>219</v>
      </c>
      <c r="J48" s="7" t="s">
        <v>32</v>
      </c>
      <c r="K48" s="7"/>
      <c r="L48" s="8">
        <v>45841</v>
      </c>
      <c r="M48" s="8"/>
      <c r="N48" s="8"/>
      <c r="O48" s="7" t="s">
        <v>144</v>
      </c>
      <c r="P48" s="6">
        <v>2</v>
      </c>
      <c r="Q48" s="7" t="s">
        <v>220</v>
      </c>
      <c r="R48" s="7" t="str" cm="1">
        <f t="array" aca="1" ref="R48" ca="1">_xll.ELPAR($D$1,D48,1)</f>
        <v>RECALC_0_259_</v>
      </c>
      <c r="S48" s="7" t="str">
        <f ca="1">IF(ISERROR(Proc[[#This Row],[TM1]]),C48,IF(LEFT(Proc[[#This Row],[TM1]],10)=Proc[[#This Row],[Requested]],"MAPPED",C48))</f>
        <v>Waiting for MDGF approval</v>
      </c>
    </row>
    <row r="49" spans="1:19">
      <c r="A49" s="7" t="s">
        <v>214</v>
      </c>
      <c r="B49" s="7" t="s">
        <v>143</v>
      </c>
      <c r="C49" s="7" t="s">
        <v>33</v>
      </c>
      <c r="D49" s="7" t="s">
        <v>310</v>
      </c>
      <c r="E49" s="7" t="s">
        <v>249</v>
      </c>
      <c r="F49" s="7" t="s">
        <v>250</v>
      </c>
      <c r="G49" s="7" t="s">
        <v>179</v>
      </c>
      <c r="H49" s="7" t="s">
        <v>311</v>
      </c>
      <c r="I49" s="7" t="s">
        <v>219</v>
      </c>
      <c r="J49" s="7" t="s">
        <v>32</v>
      </c>
      <c r="K49" s="7"/>
      <c r="L49" s="8">
        <v>45841</v>
      </c>
      <c r="M49" s="8"/>
      <c r="N49" s="8"/>
      <c r="O49" s="7" t="s">
        <v>144</v>
      </c>
      <c r="P49" s="6">
        <v>2</v>
      </c>
      <c r="Q49" s="7" t="s">
        <v>220</v>
      </c>
      <c r="R49" s="7" t="str" cm="1">
        <f t="array" aca="1" ref="R49" ca="1">_xll.ELPAR($D$1,D49,1)</f>
        <v>RECALC_0_32_</v>
      </c>
      <c r="S49" s="7" t="str">
        <f ca="1">IF(ISERROR(Proc[[#This Row],[TM1]]),C49,IF(LEFT(Proc[[#This Row],[TM1]],10)=Proc[[#This Row],[Requested]],"MAPPED",C49))</f>
        <v>Waiting for MDGF approval</v>
      </c>
    </row>
    <row r="50" spans="1:19">
      <c r="A50" s="7" t="s">
        <v>214</v>
      </c>
      <c r="B50" s="7" t="s">
        <v>143</v>
      </c>
      <c r="C50" s="7" t="s">
        <v>33</v>
      </c>
      <c r="D50" s="7" t="s">
        <v>312</v>
      </c>
      <c r="E50" s="7" t="s">
        <v>249</v>
      </c>
      <c r="F50" s="7" t="s">
        <v>250</v>
      </c>
      <c r="G50" s="7" t="s">
        <v>179</v>
      </c>
      <c r="H50" s="7" t="s">
        <v>313</v>
      </c>
      <c r="I50" s="7" t="s">
        <v>219</v>
      </c>
      <c r="J50" s="7" t="s">
        <v>32</v>
      </c>
      <c r="K50" s="7"/>
      <c r="L50" s="8">
        <v>45841</v>
      </c>
      <c r="M50" s="8"/>
      <c r="N50" s="8"/>
      <c r="O50" s="7" t="s">
        <v>144</v>
      </c>
      <c r="P50" s="6">
        <v>2</v>
      </c>
      <c r="Q50" s="7" t="s">
        <v>220</v>
      </c>
      <c r="R50" s="7" t="str" cm="1">
        <f t="array" aca="1" ref="R50" ca="1">_xll.ELPAR($D$1,D50,1)</f>
        <v>RECALC_0_245_</v>
      </c>
      <c r="S50" s="7" t="str">
        <f ca="1">IF(ISERROR(Proc[[#This Row],[TM1]]),C50,IF(LEFT(Proc[[#This Row],[TM1]],10)=Proc[[#This Row],[Requested]],"MAPPED",C50))</f>
        <v>Waiting for MDGF approval</v>
      </c>
    </row>
    <row r="51" spans="1:19">
      <c r="A51" s="7" t="s">
        <v>214</v>
      </c>
      <c r="B51" s="7" t="s">
        <v>143</v>
      </c>
      <c r="C51" s="7" t="s">
        <v>33</v>
      </c>
      <c r="D51" s="7" t="s">
        <v>314</v>
      </c>
      <c r="E51" s="7" t="s">
        <v>258</v>
      </c>
      <c r="F51" s="7" t="s">
        <v>264</v>
      </c>
      <c r="G51" s="7" t="s">
        <v>179</v>
      </c>
      <c r="H51" s="7" t="s">
        <v>315</v>
      </c>
      <c r="I51" s="7" t="s">
        <v>219</v>
      </c>
      <c r="J51" s="7" t="s">
        <v>32</v>
      </c>
      <c r="K51" s="7"/>
      <c r="L51" s="8">
        <v>45841</v>
      </c>
      <c r="M51" s="8"/>
      <c r="N51" s="8"/>
      <c r="O51" s="7" t="s">
        <v>144</v>
      </c>
      <c r="P51" s="6">
        <v>2</v>
      </c>
      <c r="Q51" s="7" t="s">
        <v>220</v>
      </c>
      <c r="R51" s="7" t="str" cm="1">
        <f t="array" aca="1" ref="R51" ca="1">_xll.ELPAR($D$1,D51,1)</f>
        <v>RECALC_0_333_</v>
      </c>
      <c r="S51" s="7" t="str">
        <f ca="1">IF(ISERROR(Proc[[#This Row],[TM1]]),C51,IF(LEFT(Proc[[#This Row],[TM1]],10)=Proc[[#This Row],[Requested]],"MAPPED",C51))</f>
        <v>Waiting for MDGF approval</v>
      </c>
    </row>
    <row r="52" spans="1:19">
      <c r="A52" s="7" t="s">
        <v>214</v>
      </c>
      <c r="B52" s="7" t="s">
        <v>143</v>
      </c>
      <c r="C52" s="7" t="s">
        <v>33</v>
      </c>
      <c r="D52" s="7" t="s">
        <v>316</v>
      </c>
      <c r="E52" s="7" t="s">
        <v>258</v>
      </c>
      <c r="F52" s="7" t="s">
        <v>264</v>
      </c>
      <c r="G52" s="7" t="s">
        <v>179</v>
      </c>
      <c r="H52" s="7" t="s">
        <v>317</v>
      </c>
      <c r="I52" s="7" t="s">
        <v>219</v>
      </c>
      <c r="J52" s="7" t="s">
        <v>32</v>
      </c>
      <c r="K52" s="7"/>
      <c r="L52" s="8">
        <v>45841</v>
      </c>
      <c r="M52" s="8"/>
      <c r="N52" s="8"/>
      <c r="O52" s="7" t="s">
        <v>144</v>
      </c>
      <c r="P52" s="6">
        <v>2</v>
      </c>
      <c r="Q52" s="7" t="s">
        <v>220</v>
      </c>
      <c r="R52" s="7" t="str" cm="1">
        <f t="array" aca="1" ref="R52" ca="1">_xll.ELPAR($D$1,D52,1)</f>
        <v>RECALC_0_304_</v>
      </c>
      <c r="S52" s="7" t="str">
        <f ca="1">IF(ISERROR(Proc[[#This Row],[TM1]]),C52,IF(LEFT(Proc[[#This Row],[TM1]],10)=Proc[[#This Row],[Requested]],"MAPPED",C52))</f>
        <v>Waiting for MDGF approval</v>
      </c>
    </row>
    <row r="53" spans="1:19">
      <c r="A53" s="7" t="s">
        <v>214</v>
      </c>
      <c r="B53" s="7" t="s">
        <v>143</v>
      </c>
      <c r="C53" s="7" t="s">
        <v>33</v>
      </c>
      <c r="D53" s="7" t="s">
        <v>318</v>
      </c>
      <c r="E53" s="7" t="s">
        <v>258</v>
      </c>
      <c r="F53" s="7" t="s">
        <v>264</v>
      </c>
      <c r="G53" s="7" t="s">
        <v>179</v>
      </c>
      <c r="H53" s="7" t="s">
        <v>319</v>
      </c>
      <c r="I53" s="7" t="s">
        <v>219</v>
      </c>
      <c r="J53" s="7" t="s">
        <v>32</v>
      </c>
      <c r="K53" s="7"/>
      <c r="L53" s="8">
        <v>45841</v>
      </c>
      <c r="M53" s="8"/>
      <c r="N53" s="8"/>
      <c r="O53" s="7" t="s">
        <v>144</v>
      </c>
      <c r="P53" s="6">
        <v>2</v>
      </c>
      <c r="Q53" s="7" t="s">
        <v>220</v>
      </c>
      <c r="R53" s="7" t="str" cm="1">
        <f t="array" aca="1" ref="R53" ca="1">_xll.ELPAR($D$1,D53,1)</f>
        <v>RECALC_0_272_</v>
      </c>
      <c r="S53" s="7" t="str">
        <f ca="1">IF(ISERROR(Proc[[#This Row],[TM1]]),C53,IF(LEFT(Proc[[#This Row],[TM1]],10)=Proc[[#This Row],[Requested]],"MAPPED",C53))</f>
        <v>Waiting for MDGF approval</v>
      </c>
    </row>
    <row r="54" spans="1:19">
      <c r="A54" s="7" t="s">
        <v>214</v>
      </c>
      <c r="B54" s="7" t="s">
        <v>143</v>
      </c>
      <c r="C54" s="7" t="s">
        <v>33</v>
      </c>
      <c r="D54" s="7" t="s">
        <v>320</v>
      </c>
      <c r="E54" s="7" t="s">
        <v>258</v>
      </c>
      <c r="F54" s="7" t="s">
        <v>264</v>
      </c>
      <c r="G54" s="7" t="s">
        <v>179</v>
      </c>
      <c r="H54" s="7" t="s">
        <v>321</v>
      </c>
      <c r="I54" s="7" t="s">
        <v>219</v>
      </c>
      <c r="J54" s="7" t="s">
        <v>32</v>
      </c>
      <c r="K54" s="7"/>
      <c r="L54" s="8">
        <v>45841</v>
      </c>
      <c r="M54" s="8"/>
      <c r="N54" s="8"/>
      <c r="O54" s="7" t="s">
        <v>144</v>
      </c>
      <c r="P54" s="6">
        <v>2</v>
      </c>
      <c r="Q54" s="7" t="s">
        <v>220</v>
      </c>
      <c r="R54" s="7" t="str" cm="1">
        <f t="array" aca="1" ref="R54" ca="1">_xll.ELPAR($D$1,D54,1)</f>
        <v>RECALC_0_258_</v>
      </c>
      <c r="S54" s="7" t="str">
        <f ca="1">IF(ISERROR(Proc[[#This Row],[TM1]]),C54,IF(LEFT(Proc[[#This Row],[TM1]],10)=Proc[[#This Row],[Requested]],"MAPPED",C54))</f>
        <v>Waiting for MDGF approval</v>
      </c>
    </row>
    <row r="55" spans="1:19">
      <c r="A55" s="7" t="s">
        <v>214</v>
      </c>
      <c r="B55" s="7" t="s">
        <v>143</v>
      </c>
      <c r="C55" s="7" t="s">
        <v>33</v>
      </c>
      <c r="D55" s="7" t="s">
        <v>322</v>
      </c>
      <c r="E55" s="7" t="s">
        <v>258</v>
      </c>
      <c r="F55" s="7" t="s">
        <v>264</v>
      </c>
      <c r="G55" s="7" t="s">
        <v>179</v>
      </c>
      <c r="H55" s="7" t="s">
        <v>323</v>
      </c>
      <c r="I55" s="7" t="s">
        <v>219</v>
      </c>
      <c r="J55" s="7" t="s">
        <v>32</v>
      </c>
      <c r="K55" s="7"/>
      <c r="L55" s="8">
        <v>45841</v>
      </c>
      <c r="M55" s="8"/>
      <c r="N55" s="8"/>
      <c r="O55" s="7" t="s">
        <v>144</v>
      </c>
      <c r="P55" s="6">
        <v>2</v>
      </c>
      <c r="Q55" s="7" t="s">
        <v>220</v>
      </c>
      <c r="R55" s="7" t="str" cm="1">
        <f t="array" aca="1" ref="R55" ca="1">_xll.ELPAR($D$1,D55,1)</f>
        <v>RECALC_0_173_</v>
      </c>
      <c r="S55" s="7" t="str">
        <f ca="1">IF(ISERROR(Proc[[#This Row],[TM1]]),C55,IF(LEFT(Proc[[#This Row],[TM1]],10)=Proc[[#This Row],[Requested]],"MAPPED",C55))</f>
        <v>Waiting for MDGF approval</v>
      </c>
    </row>
    <row r="56" spans="1:19">
      <c r="A56" s="7" t="s">
        <v>214</v>
      </c>
      <c r="B56" s="7" t="s">
        <v>143</v>
      </c>
      <c r="C56" s="7" t="s">
        <v>33</v>
      </c>
      <c r="D56" s="7" t="s">
        <v>324</v>
      </c>
      <c r="E56" s="7" t="s">
        <v>258</v>
      </c>
      <c r="F56" s="7" t="s">
        <v>264</v>
      </c>
      <c r="G56" s="7" t="s">
        <v>179</v>
      </c>
      <c r="H56" s="7" t="s">
        <v>325</v>
      </c>
      <c r="I56" s="7" t="s">
        <v>219</v>
      </c>
      <c r="J56" s="7" t="s">
        <v>32</v>
      </c>
      <c r="K56" s="7"/>
      <c r="L56" s="8">
        <v>45841</v>
      </c>
      <c r="M56" s="8"/>
      <c r="N56" s="8"/>
      <c r="O56" s="7" t="s">
        <v>144</v>
      </c>
      <c r="P56" s="6">
        <v>2</v>
      </c>
      <c r="Q56" s="7" t="s">
        <v>220</v>
      </c>
      <c r="R56" s="7" t="str" cm="1">
        <f t="array" aca="1" ref="R56" ca="1">_xll.ELPAR($D$1,D56,1)</f>
        <v>RECALC_0_128_</v>
      </c>
      <c r="S56" s="7" t="str">
        <f ca="1">IF(ISERROR(Proc[[#This Row],[TM1]]),C56,IF(LEFT(Proc[[#This Row],[TM1]],10)=Proc[[#This Row],[Requested]],"MAPPED",C56))</f>
        <v>Waiting for MDGF approval</v>
      </c>
    </row>
    <row r="57" spans="1:19">
      <c r="A57" s="7" t="s">
        <v>214</v>
      </c>
      <c r="B57" s="7" t="s">
        <v>143</v>
      </c>
      <c r="C57" s="7" t="s">
        <v>33</v>
      </c>
      <c r="D57" s="7" t="s">
        <v>326</v>
      </c>
      <c r="E57" s="7" t="s">
        <v>258</v>
      </c>
      <c r="F57" s="7" t="s">
        <v>264</v>
      </c>
      <c r="G57" s="7" t="s">
        <v>179</v>
      </c>
      <c r="H57" s="7" t="s">
        <v>327</v>
      </c>
      <c r="I57" s="7" t="s">
        <v>219</v>
      </c>
      <c r="J57" s="7" t="s">
        <v>32</v>
      </c>
      <c r="K57" s="7"/>
      <c r="L57" s="8">
        <v>45841</v>
      </c>
      <c r="M57" s="8"/>
      <c r="N57" s="8"/>
      <c r="O57" s="7" t="s">
        <v>144</v>
      </c>
      <c r="P57" s="6">
        <v>2</v>
      </c>
      <c r="Q57" s="7" t="s">
        <v>220</v>
      </c>
      <c r="R57" s="7" t="str" cm="1">
        <f t="array" aca="1" ref="R57" ca="1">_xll.ELPAR($D$1,D57,1)</f>
        <v>RECALC_0_332_</v>
      </c>
      <c r="S57" s="7" t="str">
        <f ca="1">IF(ISERROR(Proc[[#This Row],[TM1]]),C57,IF(LEFT(Proc[[#This Row],[TM1]],10)=Proc[[#This Row],[Requested]],"MAPPED",C57))</f>
        <v>Waiting for MDGF approval</v>
      </c>
    </row>
    <row r="58" spans="1:19">
      <c r="A58" s="7" t="s">
        <v>214</v>
      </c>
      <c r="B58" s="7" t="s">
        <v>143</v>
      </c>
      <c r="C58" s="7" t="s">
        <v>33</v>
      </c>
      <c r="D58" s="7" t="s">
        <v>328</v>
      </c>
      <c r="E58" s="7" t="s">
        <v>258</v>
      </c>
      <c r="F58" s="7" t="s">
        <v>264</v>
      </c>
      <c r="G58" s="7" t="s">
        <v>179</v>
      </c>
      <c r="H58" s="7" t="s">
        <v>329</v>
      </c>
      <c r="I58" s="7" t="s">
        <v>219</v>
      </c>
      <c r="J58" s="7" t="s">
        <v>32</v>
      </c>
      <c r="K58" s="7"/>
      <c r="L58" s="8">
        <v>45841</v>
      </c>
      <c r="M58" s="8"/>
      <c r="N58" s="8"/>
      <c r="O58" s="7" t="s">
        <v>144</v>
      </c>
      <c r="P58" s="6">
        <v>2</v>
      </c>
      <c r="Q58" s="7" t="s">
        <v>220</v>
      </c>
      <c r="R58" s="7" t="str" cm="1">
        <f t="array" aca="1" ref="R58" ca="1">_xll.ELPAR($D$1,D58,1)</f>
        <v>RECALC_0_303_</v>
      </c>
      <c r="S58" s="7" t="str">
        <f ca="1">IF(ISERROR(Proc[[#This Row],[TM1]]),C58,IF(LEFT(Proc[[#This Row],[TM1]],10)=Proc[[#This Row],[Requested]],"MAPPED",C58))</f>
        <v>Waiting for MDGF approval</v>
      </c>
    </row>
    <row r="59" spans="1:19">
      <c r="A59" s="7" t="s">
        <v>214</v>
      </c>
      <c r="B59" s="7" t="s">
        <v>143</v>
      </c>
      <c r="C59" s="7" t="s">
        <v>33</v>
      </c>
      <c r="D59" s="7" t="s">
        <v>330</v>
      </c>
      <c r="E59" s="7" t="s">
        <v>258</v>
      </c>
      <c r="F59" s="7" t="s">
        <v>264</v>
      </c>
      <c r="G59" s="7" t="s">
        <v>179</v>
      </c>
      <c r="H59" s="7" t="s">
        <v>331</v>
      </c>
      <c r="I59" s="7" t="s">
        <v>219</v>
      </c>
      <c r="J59" s="7" t="s">
        <v>32</v>
      </c>
      <c r="K59" s="7"/>
      <c r="L59" s="8">
        <v>45841</v>
      </c>
      <c r="M59" s="8"/>
      <c r="N59" s="8"/>
      <c r="O59" s="7" t="s">
        <v>144</v>
      </c>
      <c r="P59" s="6">
        <v>2</v>
      </c>
      <c r="Q59" s="7" t="s">
        <v>220</v>
      </c>
      <c r="R59" s="7" t="str" cm="1">
        <f t="array" aca="1" ref="R59" ca="1">_xll.ELPAR($D$1,D59,1)</f>
        <v>RECALC_0_271_</v>
      </c>
      <c r="S59" s="7" t="str">
        <f ca="1">IF(ISERROR(Proc[[#This Row],[TM1]]),C59,IF(LEFT(Proc[[#This Row],[TM1]],10)=Proc[[#This Row],[Requested]],"MAPPED",C59))</f>
        <v>Waiting for MDGF approval</v>
      </c>
    </row>
    <row r="60" spans="1:19">
      <c r="A60" s="7" t="s">
        <v>214</v>
      </c>
      <c r="B60" s="7" t="s">
        <v>143</v>
      </c>
      <c r="C60" s="7" t="s">
        <v>33</v>
      </c>
      <c r="D60" s="7" t="s">
        <v>332</v>
      </c>
      <c r="E60" s="7" t="s">
        <v>258</v>
      </c>
      <c r="F60" s="7" t="s">
        <v>264</v>
      </c>
      <c r="G60" s="7" t="s">
        <v>179</v>
      </c>
      <c r="H60" s="7" t="s">
        <v>333</v>
      </c>
      <c r="I60" s="7" t="s">
        <v>219</v>
      </c>
      <c r="J60" s="7" t="s">
        <v>32</v>
      </c>
      <c r="K60" s="7"/>
      <c r="L60" s="8">
        <v>45841</v>
      </c>
      <c r="M60" s="8"/>
      <c r="N60" s="8"/>
      <c r="O60" s="7" t="s">
        <v>144</v>
      </c>
      <c r="P60" s="6">
        <v>2</v>
      </c>
      <c r="Q60" s="7" t="s">
        <v>220</v>
      </c>
      <c r="R60" s="7" t="str" cm="1">
        <f t="array" aca="1" ref="R60" ca="1">_xll.ELPAR($D$1,D60,1)</f>
        <v>RECALC_0_97_</v>
      </c>
      <c r="S60" s="7" t="str">
        <f ca="1">IF(ISERROR(Proc[[#This Row],[TM1]]),C60,IF(LEFT(Proc[[#This Row],[TM1]],10)=Proc[[#This Row],[Requested]],"MAPPED",C60))</f>
        <v>Waiting for MDGF approval</v>
      </c>
    </row>
    <row r="61" spans="1:19">
      <c r="A61" s="7" t="s">
        <v>214</v>
      </c>
      <c r="B61" s="7" t="s">
        <v>143</v>
      </c>
      <c r="C61" s="7" t="s">
        <v>33</v>
      </c>
      <c r="D61" s="7" t="s">
        <v>334</v>
      </c>
      <c r="E61" s="7" t="s">
        <v>258</v>
      </c>
      <c r="F61" s="7" t="s">
        <v>264</v>
      </c>
      <c r="G61" s="7" t="s">
        <v>179</v>
      </c>
      <c r="H61" s="7" t="s">
        <v>335</v>
      </c>
      <c r="I61" s="7" t="s">
        <v>219</v>
      </c>
      <c r="J61" s="7" t="s">
        <v>32</v>
      </c>
      <c r="K61" s="7"/>
      <c r="L61" s="8">
        <v>45841</v>
      </c>
      <c r="M61" s="8"/>
      <c r="N61" s="8"/>
      <c r="O61" s="7" t="s">
        <v>144</v>
      </c>
      <c r="P61" s="6">
        <v>2</v>
      </c>
      <c r="Q61" s="7" t="s">
        <v>220</v>
      </c>
      <c r="R61" s="7" t="str" cm="1">
        <f t="array" aca="1" ref="R61" ca="1">_xll.ELPAR($D$1,D61,1)</f>
        <v>RECALC_0_57_</v>
      </c>
      <c r="S61" s="7" t="str">
        <f ca="1">IF(ISERROR(Proc[[#This Row],[TM1]]),C61,IF(LEFT(Proc[[#This Row],[TM1]],10)=Proc[[#This Row],[Requested]],"MAPPED",C61))</f>
        <v>Waiting for MDGF approval</v>
      </c>
    </row>
    <row r="62" spans="1:19">
      <c r="A62" s="7" t="s">
        <v>214</v>
      </c>
      <c r="B62" s="7" t="s">
        <v>143</v>
      </c>
      <c r="C62" s="7" t="s">
        <v>33</v>
      </c>
      <c r="D62" s="7" t="s">
        <v>336</v>
      </c>
      <c r="E62" s="7" t="s">
        <v>258</v>
      </c>
      <c r="F62" s="7" t="s">
        <v>264</v>
      </c>
      <c r="G62" s="7" t="s">
        <v>179</v>
      </c>
      <c r="H62" s="7" t="s">
        <v>337</v>
      </c>
      <c r="I62" s="7" t="s">
        <v>219</v>
      </c>
      <c r="J62" s="7" t="s">
        <v>32</v>
      </c>
      <c r="K62" s="7"/>
      <c r="L62" s="8">
        <v>45841</v>
      </c>
      <c r="M62" s="8"/>
      <c r="N62" s="8"/>
      <c r="O62" s="7" t="s">
        <v>144</v>
      </c>
      <c r="P62" s="6">
        <v>2</v>
      </c>
      <c r="Q62" s="7" t="s">
        <v>220</v>
      </c>
      <c r="R62" s="7" t="str" cm="1">
        <f t="array" aca="1" ref="R62" ca="1">_xll.ELPAR($D$1,D62,1)</f>
        <v>RECALC_0_255_</v>
      </c>
      <c r="S62" s="7" t="str">
        <f ca="1">IF(ISERROR(Proc[[#This Row],[TM1]]),C62,IF(LEFT(Proc[[#This Row],[TM1]],10)=Proc[[#This Row],[Requested]],"MAPPED",C62))</f>
        <v>Waiting for MDGF approval</v>
      </c>
    </row>
    <row r="63" spans="1:19">
      <c r="A63" s="7" t="s">
        <v>214</v>
      </c>
      <c r="B63" s="7" t="s">
        <v>143</v>
      </c>
      <c r="C63" s="7" t="s">
        <v>33</v>
      </c>
      <c r="D63" s="7" t="s">
        <v>338</v>
      </c>
      <c r="E63" s="7" t="s">
        <v>258</v>
      </c>
      <c r="F63" s="7" t="s">
        <v>264</v>
      </c>
      <c r="G63" s="7" t="s">
        <v>179</v>
      </c>
      <c r="H63" s="7" t="s">
        <v>339</v>
      </c>
      <c r="I63" s="7" t="s">
        <v>219</v>
      </c>
      <c r="J63" s="7" t="s">
        <v>32</v>
      </c>
      <c r="K63" s="7"/>
      <c r="L63" s="8">
        <v>45841</v>
      </c>
      <c r="M63" s="8"/>
      <c r="N63" s="8"/>
      <c r="O63" s="7" t="s">
        <v>144</v>
      </c>
      <c r="P63" s="6">
        <v>2</v>
      </c>
      <c r="Q63" s="7" t="s">
        <v>220</v>
      </c>
      <c r="R63" s="7" t="str" cm="1">
        <f t="array" aca="1" ref="R63" ca="1">_xll.ELPAR($D$1,D63,1)</f>
        <v>RECALC_0_331_</v>
      </c>
      <c r="S63" s="7" t="str">
        <f ca="1">IF(ISERROR(Proc[[#This Row],[TM1]]),C63,IF(LEFT(Proc[[#This Row],[TM1]],10)=Proc[[#This Row],[Requested]],"MAPPED",C63))</f>
        <v>Waiting for MDGF approval</v>
      </c>
    </row>
    <row r="64" spans="1:19">
      <c r="A64" s="7" t="s">
        <v>214</v>
      </c>
      <c r="B64" s="7" t="s">
        <v>143</v>
      </c>
      <c r="C64" s="7" t="s">
        <v>33</v>
      </c>
      <c r="D64" s="7" t="s">
        <v>340</v>
      </c>
      <c r="E64" s="7" t="s">
        <v>258</v>
      </c>
      <c r="F64" s="7" t="s">
        <v>264</v>
      </c>
      <c r="G64" s="7" t="s">
        <v>179</v>
      </c>
      <c r="H64" s="7" t="s">
        <v>341</v>
      </c>
      <c r="I64" s="7" t="s">
        <v>219</v>
      </c>
      <c r="J64" s="7" t="s">
        <v>32</v>
      </c>
      <c r="K64" s="7"/>
      <c r="L64" s="8">
        <v>45841</v>
      </c>
      <c r="M64" s="8"/>
      <c r="N64" s="8"/>
      <c r="O64" s="7" t="s">
        <v>144</v>
      </c>
      <c r="P64" s="6">
        <v>2</v>
      </c>
      <c r="Q64" s="7" t="s">
        <v>220</v>
      </c>
      <c r="R64" s="7" t="str" cm="1">
        <f t="array" aca="1" ref="R64" ca="1">_xll.ELPAR($D$1,D64,1)</f>
        <v>RECALC_0_302_</v>
      </c>
      <c r="S64" s="7" t="str">
        <f ca="1">IF(ISERROR(Proc[[#This Row],[TM1]]),C64,IF(LEFT(Proc[[#This Row],[TM1]],10)=Proc[[#This Row],[Requested]],"MAPPED",C64))</f>
        <v>Waiting for MDGF approval</v>
      </c>
    </row>
    <row r="65" spans="1:19">
      <c r="A65" s="7" t="s">
        <v>214</v>
      </c>
      <c r="B65" s="7" t="s">
        <v>143</v>
      </c>
      <c r="C65" s="7" t="s">
        <v>33</v>
      </c>
      <c r="D65" s="7" t="s">
        <v>342</v>
      </c>
      <c r="E65" s="7" t="s">
        <v>249</v>
      </c>
      <c r="F65" s="7" t="s">
        <v>276</v>
      </c>
      <c r="G65" s="7" t="s">
        <v>179</v>
      </c>
      <c r="H65" s="7" t="s">
        <v>343</v>
      </c>
      <c r="I65" s="7" t="s">
        <v>219</v>
      </c>
      <c r="J65" s="7" t="s">
        <v>32</v>
      </c>
      <c r="K65" s="7"/>
      <c r="L65" s="8">
        <v>45841</v>
      </c>
      <c r="M65" s="8"/>
      <c r="N65" s="8"/>
      <c r="O65" s="7" t="s">
        <v>144</v>
      </c>
      <c r="P65" s="6">
        <v>2</v>
      </c>
      <c r="Q65" s="7" t="s">
        <v>220</v>
      </c>
      <c r="R65" s="7" t="str" cm="1">
        <f t="array" aca="1" ref="R65" ca="1">_xll.ELPAR($D$1,D65,1)</f>
        <v>RECALC_0_270_</v>
      </c>
      <c r="S65" s="7" t="str">
        <f ca="1">IF(ISERROR(Proc[[#This Row],[TM1]]),C65,IF(LEFT(Proc[[#This Row],[TM1]],10)=Proc[[#This Row],[Requested]],"MAPPED",C65))</f>
        <v>Waiting for MDGF approval</v>
      </c>
    </row>
    <row r="66" spans="1:19">
      <c r="A66" s="7" t="s">
        <v>214</v>
      </c>
      <c r="B66" s="7" t="s">
        <v>143</v>
      </c>
      <c r="C66" s="7" t="s">
        <v>33</v>
      </c>
      <c r="D66" s="7" t="s">
        <v>344</v>
      </c>
      <c r="E66" s="7" t="s">
        <v>249</v>
      </c>
      <c r="F66" s="7" t="s">
        <v>253</v>
      </c>
      <c r="G66" s="7" t="s">
        <v>179</v>
      </c>
      <c r="H66" s="7" t="s">
        <v>345</v>
      </c>
      <c r="I66" s="7" t="s">
        <v>219</v>
      </c>
      <c r="J66" s="7" t="s">
        <v>32</v>
      </c>
      <c r="K66" s="7"/>
      <c r="L66" s="8">
        <v>45841</v>
      </c>
      <c r="M66" s="8"/>
      <c r="N66" s="8"/>
      <c r="O66" s="7" t="s">
        <v>144</v>
      </c>
      <c r="P66" s="6">
        <v>2</v>
      </c>
      <c r="Q66" s="7" t="s">
        <v>220</v>
      </c>
      <c r="R66" s="7" t="str" cm="1">
        <f t="array" aca="1" ref="R66" ca="1">_xll.ELPAR($D$1,D66,1)</f>
        <v>RECALC_0_215_</v>
      </c>
      <c r="S66" s="7" t="str">
        <f ca="1">IF(ISERROR(Proc[[#This Row],[TM1]]),C66,IF(LEFT(Proc[[#This Row],[TM1]],10)=Proc[[#This Row],[Requested]],"MAPPED",C66))</f>
        <v>Waiting for MDGF approval</v>
      </c>
    </row>
    <row r="67" spans="1:19">
      <c r="A67" s="7" t="s">
        <v>214</v>
      </c>
      <c r="B67" s="7" t="s">
        <v>143</v>
      </c>
      <c r="C67" s="7" t="s">
        <v>33</v>
      </c>
      <c r="D67" s="7" t="s">
        <v>346</v>
      </c>
      <c r="E67" s="7" t="s">
        <v>249</v>
      </c>
      <c r="F67" s="7" t="s">
        <v>250</v>
      </c>
      <c r="G67" s="7" t="s">
        <v>179</v>
      </c>
      <c r="H67" s="7" t="s">
        <v>347</v>
      </c>
      <c r="I67" s="7" t="s">
        <v>219</v>
      </c>
      <c r="J67" s="7" t="s">
        <v>32</v>
      </c>
      <c r="K67" s="7"/>
      <c r="L67" s="8">
        <v>45841</v>
      </c>
      <c r="M67" s="8"/>
      <c r="N67" s="8"/>
      <c r="O67" s="7" t="s">
        <v>144</v>
      </c>
      <c r="P67" s="6">
        <v>2</v>
      </c>
      <c r="Q67" s="7" t="s">
        <v>220</v>
      </c>
      <c r="R67" s="7" t="str" cm="1">
        <f t="array" aca="1" ref="R67" ca="1">_xll.ELPAR($D$1,D67,1)</f>
        <v>RECALC_0_172_</v>
      </c>
      <c r="S67" s="7" t="str">
        <f ca="1">IF(ISERROR(Proc[[#This Row],[TM1]]),C67,IF(LEFT(Proc[[#This Row],[TM1]],10)=Proc[[#This Row],[Requested]],"MAPPED",C67))</f>
        <v>Waiting for MDGF approval</v>
      </c>
    </row>
    <row r="68" spans="1:19">
      <c r="A68" s="7" t="s">
        <v>214</v>
      </c>
      <c r="B68" s="7" t="s">
        <v>143</v>
      </c>
      <c r="C68" s="7" t="s">
        <v>33</v>
      </c>
      <c r="D68" s="7" t="s">
        <v>348</v>
      </c>
      <c r="E68" s="7" t="s">
        <v>258</v>
      </c>
      <c r="F68" s="7" t="s">
        <v>264</v>
      </c>
      <c r="G68" s="7" t="s">
        <v>179</v>
      </c>
      <c r="H68" s="7" t="s">
        <v>349</v>
      </c>
      <c r="I68" s="7" t="s">
        <v>219</v>
      </c>
      <c r="J68" s="7" t="s">
        <v>32</v>
      </c>
      <c r="K68" s="7"/>
      <c r="L68" s="8">
        <v>45841</v>
      </c>
      <c r="M68" s="8"/>
      <c r="N68" s="8"/>
      <c r="O68" s="7" t="s">
        <v>144</v>
      </c>
      <c r="P68" s="6">
        <v>2</v>
      </c>
      <c r="Q68" s="7" t="s">
        <v>220</v>
      </c>
      <c r="R68" s="7" t="str" cm="1">
        <f t="array" aca="1" ref="R68" ca="1">_xll.ELPAR($D$1,D68,1)</f>
        <v>RECALC_0_127_</v>
      </c>
      <c r="S68" s="7" t="str">
        <f ca="1">IF(ISERROR(Proc[[#This Row],[TM1]]),C68,IF(LEFT(Proc[[#This Row],[TM1]],10)=Proc[[#This Row],[Requested]],"MAPPED",C68))</f>
        <v>Waiting for MDGF approval</v>
      </c>
    </row>
    <row r="69" spans="1:19">
      <c r="A69" s="7" t="s">
        <v>214</v>
      </c>
      <c r="B69" s="7" t="s">
        <v>143</v>
      </c>
      <c r="C69" s="7" t="s">
        <v>33</v>
      </c>
      <c r="D69" s="7" t="s">
        <v>350</v>
      </c>
      <c r="E69" s="7" t="s">
        <v>258</v>
      </c>
      <c r="F69" s="7" t="s">
        <v>264</v>
      </c>
      <c r="G69" s="7" t="s">
        <v>179</v>
      </c>
      <c r="H69" s="7" t="s">
        <v>351</v>
      </c>
      <c r="I69" s="7" t="s">
        <v>219</v>
      </c>
      <c r="J69" s="7" t="s">
        <v>32</v>
      </c>
      <c r="K69" s="7"/>
      <c r="L69" s="8">
        <v>45841</v>
      </c>
      <c r="M69" s="8"/>
      <c r="N69" s="8"/>
      <c r="O69" s="7" t="s">
        <v>144</v>
      </c>
      <c r="P69" s="6">
        <v>2</v>
      </c>
      <c r="Q69" s="7" t="s">
        <v>220</v>
      </c>
      <c r="R69" s="7" t="str" cm="1">
        <f t="array" aca="1" ref="R69" ca="1">_xll.ELPAR($D$1,D69,1)</f>
        <v>RECALC_0_330_</v>
      </c>
      <c r="S69" s="7" t="str">
        <f ca="1">IF(ISERROR(Proc[[#This Row],[TM1]]),C69,IF(LEFT(Proc[[#This Row],[TM1]],10)=Proc[[#This Row],[Requested]],"MAPPED",C69))</f>
        <v>Waiting for MDGF approval</v>
      </c>
    </row>
    <row r="70" spans="1:19">
      <c r="A70" s="7" t="s">
        <v>214</v>
      </c>
      <c r="B70" s="7" t="s">
        <v>143</v>
      </c>
      <c r="C70" s="7" t="s">
        <v>33</v>
      </c>
      <c r="D70" s="7" t="s">
        <v>352</v>
      </c>
      <c r="E70" s="7" t="s">
        <v>258</v>
      </c>
      <c r="F70" s="7" t="s">
        <v>264</v>
      </c>
      <c r="G70" s="7" t="s">
        <v>179</v>
      </c>
      <c r="H70" s="7" t="s">
        <v>353</v>
      </c>
      <c r="I70" s="7" t="s">
        <v>219</v>
      </c>
      <c r="J70" s="7" t="s">
        <v>32</v>
      </c>
      <c r="K70" s="7"/>
      <c r="L70" s="8">
        <v>45841</v>
      </c>
      <c r="M70" s="8"/>
      <c r="N70" s="8"/>
      <c r="O70" s="7" t="s">
        <v>144</v>
      </c>
      <c r="P70" s="6">
        <v>2</v>
      </c>
      <c r="Q70" s="7" t="s">
        <v>220</v>
      </c>
      <c r="R70" s="7" t="str" cm="1">
        <f t="array" aca="1" ref="R70" ca="1">_xll.ELPAR($D$1,D70,1)</f>
        <v>RECALC_0_301_</v>
      </c>
      <c r="S70" s="7" t="str">
        <f ca="1">IF(ISERROR(Proc[[#This Row],[TM1]]),C70,IF(LEFT(Proc[[#This Row],[TM1]],10)=Proc[[#This Row],[Requested]],"MAPPED",C70))</f>
        <v>Waiting for MDGF approval</v>
      </c>
    </row>
    <row r="71" spans="1:19">
      <c r="A71" s="7" t="s">
        <v>214</v>
      </c>
      <c r="B71" s="7" t="s">
        <v>143</v>
      </c>
      <c r="C71" s="7" t="s">
        <v>33</v>
      </c>
      <c r="D71" s="7" t="s">
        <v>354</v>
      </c>
      <c r="E71" s="7" t="s">
        <v>258</v>
      </c>
      <c r="F71" s="7" t="s">
        <v>264</v>
      </c>
      <c r="G71" s="7" t="s">
        <v>179</v>
      </c>
      <c r="H71" s="7" t="s">
        <v>355</v>
      </c>
      <c r="I71" s="7" t="s">
        <v>219</v>
      </c>
      <c r="J71" s="7" t="s">
        <v>32</v>
      </c>
      <c r="K71" s="7"/>
      <c r="L71" s="8">
        <v>45841</v>
      </c>
      <c r="M71" s="8"/>
      <c r="N71" s="8"/>
      <c r="O71" s="7" t="s">
        <v>144</v>
      </c>
      <c r="P71" s="6">
        <v>2</v>
      </c>
      <c r="Q71" s="7" t="s">
        <v>220</v>
      </c>
      <c r="R71" s="7" t="str" cm="1">
        <f t="array" aca="1" ref="R71" ca="1">_xll.ELPAR($D$1,D71,1)</f>
        <v>RECALC_0_269_</v>
      </c>
      <c r="S71" s="7" t="str">
        <f ca="1">IF(ISERROR(Proc[[#This Row],[TM1]]),C71,IF(LEFT(Proc[[#This Row],[TM1]],10)=Proc[[#This Row],[Requested]],"MAPPED",C71))</f>
        <v>Waiting for MDGF approval</v>
      </c>
    </row>
    <row r="72" spans="1:19">
      <c r="A72" s="7" t="s">
        <v>214</v>
      </c>
      <c r="B72" s="7" t="s">
        <v>143</v>
      </c>
      <c r="C72" s="7" t="s">
        <v>33</v>
      </c>
      <c r="D72" s="7" t="s">
        <v>356</v>
      </c>
      <c r="E72" s="7" t="s">
        <v>258</v>
      </c>
      <c r="F72" s="7" t="s">
        <v>264</v>
      </c>
      <c r="G72" s="7" t="s">
        <v>179</v>
      </c>
      <c r="H72" s="7" t="s">
        <v>357</v>
      </c>
      <c r="I72" s="7" t="s">
        <v>219</v>
      </c>
      <c r="J72" s="7" t="s">
        <v>32</v>
      </c>
      <c r="K72" s="7"/>
      <c r="L72" s="8">
        <v>45841</v>
      </c>
      <c r="M72" s="8"/>
      <c r="N72" s="8"/>
      <c r="O72" s="7" t="s">
        <v>144</v>
      </c>
      <c r="P72" s="6">
        <v>2</v>
      </c>
      <c r="Q72" s="7" t="s">
        <v>220</v>
      </c>
      <c r="R72" s="7" t="str" cm="1">
        <f t="array" aca="1" ref="R72" ca="1">_xll.ELPAR($D$1,D72,1)</f>
        <v>RECALC_0_96_</v>
      </c>
      <c r="S72" s="7" t="str">
        <f ca="1">IF(ISERROR(Proc[[#This Row],[TM1]]),C72,IF(LEFT(Proc[[#This Row],[TM1]],10)=Proc[[#This Row],[Requested]],"MAPPED",C72))</f>
        <v>Waiting for MDGF approval</v>
      </c>
    </row>
    <row r="73" spans="1:19">
      <c r="A73" s="7" t="s">
        <v>214</v>
      </c>
      <c r="B73" s="7" t="s">
        <v>143</v>
      </c>
      <c r="C73" s="7" t="s">
        <v>33</v>
      </c>
      <c r="D73" s="7" t="s">
        <v>358</v>
      </c>
      <c r="E73" s="7" t="s">
        <v>258</v>
      </c>
      <c r="F73" s="7" t="s">
        <v>264</v>
      </c>
      <c r="G73" s="7" t="s">
        <v>179</v>
      </c>
      <c r="H73" s="7" t="s">
        <v>359</v>
      </c>
      <c r="I73" s="7" t="s">
        <v>219</v>
      </c>
      <c r="J73" s="7" t="s">
        <v>32</v>
      </c>
      <c r="K73" s="7"/>
      <c r="L73" s="8">
        <v>45841</v>
      </c>
      <c r="M73" s="8"/>
      <c r="N73" s="8"/>
      <c r="O73" s="7" t="s">
        <v>144</v>
      </c>
      <c r="P73" s="6">
        <v>2</v>
      </c>
      <c r="Q73" s="7" t="s">
        <v>220</v>
      </c>
      <c r="R73" s="7" t="str" cm="1">
        <f t="array" aca="1" ref="R73" ca="1">_xll.ELPAR($D$1,D73,1)</f>
        <v>RECALC_0_56_</v>
      </c>
      <c r="S73" s="7" t="str">
        <f ca="1">IF(ISERROR(Proc[[#This Row],[TM1]]),C73,IF(LEFT(Proc[[#This Row],[TM1]],10)=Proc[[#This Row],[Requested]],"MAPPED",C73))</f>
        <v>Waiting for MDGF approval</v>
      </c>
    </row>
    <row r="74" spans="1:19">
      <c r="A74" s="7" t="s">
        <v>214</v>
      </c>
      <c r="B74" s="7" t="s">
        <v>143</v>
      </c>
      <c r="C74" s="7" t="s">
        <v>33</v>
      </c>
      <c r="D74" s="7" t="s">
        <v>360</v>
      </c>
      <c r="E74" s="7" t="s">
        <v>258</v>
      </c>
      <c r="F74" s="7" t="s">
        <v>264</v>
      </c>
      <c r="G74" s="7" t="s">
        <v>179</v>
      </c>
      <c r="H74" s="7" t="s">
        <v>361</v>
      </c>
      <c r="I74" s="7" t="s">
        <v>219</v>
      </c>
      <c r="J74" s="7" t="s">
        <v>32</v>
      </c>
      <c r="K74" s="7"/>
      <c r="L74" s="8">
        <v>45841</v>
      </c>
      <c r="M74" s="8"/>
      <c r="N74" s="8"/>
      <c r="O74" s="7" t="s">
        <v>144</v>
      </c>
      <c r="P74" s="6">
        <v>2</v>
      </c>
      <c r="Q74" s="7" t="s">
        <v>220</v>
      </c>
      <c r="R74" s="7" t="str" cm="1">
        <f t="array" aca="1" ref="R74" ca="1">_xll.ELPAR($D$1,D74,1)</f>
        <v>RECALC_0_254_</v>
      </c>
      <c r="S74" s="7" t="str">
        <f ca="1">IF(ISERROR(Proc[[#This Row],[TM1]]),C74,IF(LEFT(Proc[[#This Row],[TM1]],10)=Proc[[#This Row],[Requested]],"MAPPED",C74))</f>
        <v>Waiting for MDGF approval</v>
      </c>
    </row>
    <row r="75" spans="1:19">
      <c r="A75" s="7" t="s">
        <v>214</v>
      </c>
      <c r="B75" s="7" t="s">
        <v>143</v>
      </c>
      <c r="C75" s="7" t="s">
        <v>33</v>
      </c>
      <c r="D75" s="7" t="s">
        <v>362</v>
      </c>
      <c r="E75" s="7" t="s">
        <v>258</v>
      </c>
      <c r="F75" s="7" t="s">
        <v>264</v>
      </c>
      <c r="G75" s="7" t="s">
        <v>179</v>
      </c>
      <c r="H75" s="7" t="s">
        <v>363</v>
      </c>
      <c r="I75" s="7" t="s">
        <v>219</v>
      </c>
      <c r="J75" s="7" t="s">
        <v>32</v>
      </c>
      <c r="K75" s="7"/>
      <c r="L75" s="8">
        <v>45841</v>
      </c>
      <c r="M75" s="8"/>
      <c r="N75" s="8"/>
      <c r="O75" s="7" t="s">
        <v>144</v>
      </c>
      <c r="P75" s="6">
        <v>2</v>
      </c>
      <c r="Q75" s="7" t="s">
        <v>220</v>
      </c>
      <c r="R75" s="7" t="str" cm="1">
        <f t="array" aca="1" ref="R75" ca="1">_xll.ELPAR($D$1,D75,1)</f>
        <v>RECALC_0_329_</v>
      </c>
      <c r="S75" s="7" t="str">
        <f ca="1">IF(ISERROR(Proc[[#This Row],[TM1]]),C75,IF(LEFT(Proc[[#This Row],[TM1]],10)=Proc[[#This Row],[Requested]],"MAPPED",C75))</f>
        <v>Waiting for MDGF approval</v>
      </c>
    </row>
    <row r="76" spans="1:19">
      <c r="A76" s="7" t="s">
        <v>214</v>
      </c>
      <c r="B76" s="7" t="s">
        <v>143</v>
      </c>
      <c r="C76" s="7" t="s">
        <v>33</v>
      </c>
      <c r="D76" s="7" t="s">
        <v>364</v>
      </c>
      <c r="E76" s="7" t="s">
        <v>258</v>
      </c>
      <c r="F76" s="7" t="s">
        <v>264</v>
      </c>
      <c r="G76" s="7" t="s">
        <v>179</v>
      </c>
      <c r="H76" s="7" t="s">
        <v>365</v>
      </c>
      <c r="I76" s="7" t="s">
        <v>219</v>
      </c>
      <c r="J76" s="7" t="s">
        <v>32</v>
      </c>
      <c r="K76" s="7"/>
      <c r="L76" s="8">
        <v>45841</v>
      </c>
      <c r="M76" s="8"/>
      <c r="N76" s="8"/>
      <c r="O76" s="7" t="s">
        <v>144</v>
      </c>
      <c r="P76" s="6">
        <v>2</v>
      </c>
      <c r="Q76" s="7" t="s">
        <v>220</v>
      </c>
      <c r="R76" s="7" t="str" cm="1">
        <f t="array" aca="1" ref="R76" ca="1">_xll.ELPAR($D$1,D76,1)</f>
        <v>RECALC_0_300_</v>
      </c>
      <c r="S76" s="7" t="str">
        <f ca="1">IF(ISERROR(Proc[[#This Row],[TM1]]),C76,IF(LEFT(Proc[[#This Row],[TM1]],10)=Proc[[#This Row],[Requested]],"MAPPED",C76))</f>
        <v>Waiting for MDGF approval</v>
      </c>
    </row>
    <row r="77" spans="1:19">
      <c r="A77" s="7" t="s">
        <v>214</v>
      </c>
      <c r="B77" s="7" t="s">
        <v>143</v>
      </c>
      <c r="C77" s="7" t="s">
        <v>33</v>
      </c>
      <c r="D77" s="7" t="s">
        <v>366</v>
      </c>
      <c r="E77" s="7" t="s">
        <v>258</v>
      </c>
      <c r="F77" s="7" t="s">
        <v>264</v>
      </c>
      <c r="G77" s="7" t="s">
        <v>179</v>
      </c>
      <c r="H77" s="7" t="s">
        <v>367</v>
      </c>
      <c r="I77" s="7" t="s">
        <v>219</v>
      </c>
      <c r="J77" s="7" t="s">
        <v>32</v>
      </c>
      <c r="K77" s="7"/>
      <c r="L77" s="8">
        <v>45841</v>
      </c>
      <c r="M77" s="8"/>
      <c r="N77" s="8"/>
      <c r="O77" s="7" t="s">
        <v>144</v>
      </c>
      <c r="P77" s="6">
        <v>2</v>
      </c>
      <c r="Q77" s="7" t="s">
        <v>220</v>
      </c>
      <c r="R77" s="7" t="str" cm="1">
        <f t="array" aca="1" ref="R77" ca="1">_xll.ELPAR($D$1,D77,1)</f>
        <v>RECALC_0_268_</v>
      </c>
      <c r="S77" s="7" t="str">
        <f ca="1">IF(ISERROR(Proc[[#This Row],[TM1]]),C77,IF(LEFT(Proc[[#This Row],[TM1]],10)=Proc[[#This Row],[Requested]],"MAPPED",C77))</f>
        <v>Waiting for MDGF approval</v>
      </c>
    </row>
    <row r="78" spans="1:19">
      <c r="A78" s="7" t="s">
        <v>214</v>
      </c>
      <c r="B78" s="7" t="s">
        <v>143</v>
      </c>
      <c r="C78" s="7" t="s">
        <v>33</v>
      </c>
      <c r="D78" s="7" t="s">
        <v>368</v>
      </c>
      <c r="E78" s="7" t="s">
        <v>258</v>
      </c>
      <c r="F78" s="7" t="s">
        <v>264</v>
      </c>
      <c r="G78" s="7" t="s">
        <v>179</v>
      </c>
      <c r="H78" s="7" t="s">
        <v>369</v>
      </c>
      <c r="I78" s="7" t="s">
        <v>219</v>
      </c>
      <c r="J78" s="7" t="s">
        <v>32</v>
      </c>
      <c r="K78" s="7"/>
      <c r="L78" s="8">
        <v>45841</v>
      </c>
      <c r="M78" s="8"/>
      <c r="N78" s="8"/>
      <c r="O78" s="7" t="s">
        <v>144</v>
      </c>
      <c r="P78" s="6">
        <v>2</v>
      </c>
      <c r="Q78" s="7" t="s">
        <v>220</v>
      </c>
      <c r="R78" s="7" t="str" cm="1">
        <f t="array" aca="1" ref="R78" ca="1">_xll.ELPAR($D$1,D78,1)</f>
        <v>RECALC_0_214_</v>
      </c>
      <c r="S78" s="7" t="str">
        <f ca="1">IF(ISERROR(Proc[[#This Row],[TM1]]),C78,IF(LEFT(Proc[[#This Row],[TM1]],10)=Proc[[#This Row],[Requested]],"MAPPED",C78))</f>
        <v>Waiting for MDGF approval</v>
      </c>
    </row>
    <row r="79" spans="1:19">
      <c r="A79" s="7" t="s">
        <v>214</v>
      </c>
      <c r="B79" s="7" t="s">
        <v>143</v>
      </c>
      <c r="C79" s="7" t="s">
        <v>33</v>
      </c>
      <c r="D79" s="7" t="s">
        <v>370</v>
      </c>
      <c r="E79" s="7" t="s">
        <v>258</v>
      </c>
      <c r="F79" s="7" t="s">
        <v>264</v>
      </c>
      <c r="G79" s="7" t="s">
        <v>179</v>
      </c>
      <c r="H79" s="7" t="s">
        <v>371</v>
      </c>
      <c r="I79" s="7" t="s">
        <v>219</v>
      </c>
      <c r="J79" s="7" t="s">
        <v>32</v>
      </c>
      <c r="K79" s="7"/>
      <c r="L79" s="8">
        <v>45841</v>
      </c>
      <c r="M79" s="8"/>
      <c r="N79" s="8"/>
      <c r="O79" s="7" t="s">
        <v>144</v>
      </c>
      <c r="P79" s="6">
        <v>2</v>
      </c>
      <c r="Q79" s="7" t="s">
        <v>220</v>
      </c>
      <c r="R79" s="7" t="str" cm="1">
        <f t="array" aca="1" ref="R79" ca="1">_xll.ELPAR($D$1,D79,1)</f>
        <v>RECALC_0_171_</v>
      </c>
      <c r="S79" s="7" t="str">
        <f ca="1">IF(ISERROR(Proc[[#This Row],[TM1]]),C79,IF(LEFT(Proc[[#This Row],[TM1]],10)=Proc[[#This Row],[Requested]],"MAPPED",C79))</f>
        <v>Waiting for MDGF approval</v>
      </c>
    </row>
    <row r="80" spans="1:19">
      <c r="A80" s="7" t="s">
        <v>214</v>
      </c>
      <c r="B80" s="7" t="s">
        <v>143</v>
      </c>
      <c r="C80" s="7" t="s">
        <v>33</v>
      </c>
      <c r="D80" s="7" t="s">
        <v>372</v>
      </c>
      <c r="E80" s="7" t="s">
        <v>258</v>
      </c>
      <c r="F80" s="7" t="s">
        <v>264</v>
      </c>
      <c r="G80" s="7" t="s">
        <v>179</v>
      </c>
      <c r="H80" s="7" t="s">
        <v>373</v>
      </c>
      <c r="I80" s="7" t="s">
        <v>219</v>
      </c>
      <c r="J80" s="7" t="s">
        <v>32</v>
      </c>
      <c r="K80" s="7"/>
      <c r="L80" s="8">
        <v>45841</v>
      </c>
      <c r="M80" s="8"/>
      <c r="N80" s="8"/>
      <c r="O80" s="7" t="s">
        <v>144</v>
      </c>
      <c r="P80" s="6">
        <v>2</v>
      </c>
      <c r="Q80" s="7" t="s">
        <v>220</v>
      </c>
      <c r="R80" s="7" t="str" cm="1">
        <f t="array" aca="1" ref="R80" ca="1">_xll.ELPAR($D$1,D80,1)</f>
        <v>RECALC_0_126_</v>
      </c>
      <c r="S80" s="7" t="str">
        <f ca="1">IF(ISERROR(Proc[[#This Row],[TM1]]),C80,IF(LEFT(Proc[[#This Row],[TM1]],10)=Proc[[#This Row],[Requested]],"MAPPED",C80))</f>
        <v>Waiting for MDGF approval</v>
      </c>
    </row>
    <row r="81" spans="1:19">
      <c r="A81" s="7" t="s">
        <v>214</v>
      </c>
      <c r="B81" s="7" t="s">
        <v>143</v>
      </c>
      <c r="C81" s="7" t="s">
        <v>33</v>
      </c>
      <c r="D81" s="7" t="s">
        <v>374</v>
      </c>
      <c r="E81" s="7" t="s">
        <v>258</v>
      </c>
      <c r="F81" s="7" t="s">
        <v>264</v>
      </c>
      <c r="G81" s="7" t="s">
        <v>179</v>
      </c>
      <c r="H81" s="7" t="s">
        <v>375</v>
      </c>
      <c r="I81" s="7" t="s">
        <v>219</v>
      </c>
      <c r="J81" s="7" t="s">
        <v>32</v>
      </c>
      <c r="K81" s="7"/>
      <c r="L81" s="8">
        <v>45841</v>
      </c>
      <c r="M81" s="8"/>
      <c r="N81" s="8"/>
      <c r="O81" s="7" t="s">
        <v>144</v>
      </c>
      <c r="P81" s="6">
        <v>2</v>
      </c>
      <c r="Q81" s="7" t="s">
        <v>220</v>
      </c>
      <c r="R81" s="7" t="str" cm="1">
        <f t="array" aca="1" ref="R81" ca="1">_xll.ELPAR($D$1,D81,1)</f>
        <v>RECALC_0_328_</v>
      </c>
      <c r="S81" s="7" t="str">
        <f ca="1">IF(ISERROR(Proc[[#This Row],[TM1]]),C81,IF(LEFT(Proc[[#This Row],[TM1]],10)=Proc[[#This Row],[Requested]],"MAPPED",C81))</f>
        <v>Waiting for MDGF approval</v>
      </c>
    </row>
    <row r="82" spans="1:19">
      <c r="A82" s="7" t="s">
        <v>214</v>
      </c>
      <c r="B82" s="7" t="s">
        <v>143</v>
      </c>
      <c r="C82" s="7" t="s">
        <v>33</v>
      </c>
      <c r="D82" s="7" t="s">
        <v>376</v>
      </c>
      <c r="E82" s="7" t="s">
        <v>258</v>
      </c>
      <c r="F82" s="7" t="s">
        <v>264</v>
      </c>
      <c r="G82" s="7" t="s">
        <v>179</v>
      </c>
      <c r="H82" s="7" t="s">
        <v>377</v>
      </c>
      <c r="I82" s="7" t="s">
        <v>219</v>
      </c>
      <c r="J82" s="7" t="s">
        <v>32</v>
      </c>
      <c r="K82" s="7"/>
      <c r="L82" s="8">
        <v>45841</v>
      </c>
      <c r="M82" s="8"/>
      <c r="N82" s="8"/>
      <c r="O82" s="7" t="s">
        <v>144</v>
      </c>
      <c r="P82" s="6">
        <v>2</v>
      </c>
      <c r="Q82" s="7" t="s">
        <v>220</v>
      </c>
      <c r="R82" s="7" t="str" cm="1">
        <f t="array" aca="1" ref="R82" ca="1">_xll.ELPAR($D$1,D82,1)</f>
        <v>RECALC_0_299_</v>
      </c>
      <c r="S82" s="7" t="str">
        <f ca="1">IF(ISERROR(Proc[[#This Row],[TM1]]),C82,IF(LEFT(Proc[[#This Row],[TM1]],10)=Proc[[#This Row],[Requested]],"MAPPED",C82))</f>
        <v>Waiting for MDGF approval</v>
      </c>
    </row>
    <row r="83" spans="1:19">
      <c r="A83" s="7" t="s">
        <v>214</v>
      </c>
      <c r="B83" s="7" t="s">
        <v>143</v>
      </c>
      <c r="C83" s="7" t="s">
        <v>33</v>
      </c>
      <c r="D83" s="7" t="s">
        <v>378</v>
      </c>
      <c r="E83" s="7" t="s">
        <v>258</v>
      </c>
      <c r="F83" s="7" t="s">
        <v>264</v>
      </c>
      <c r="G83" s="7" t="s">
        <v>179</v>
      </c>
      <c r="H83" s="7" t="s">
        <v>379</v>
      </c>
      <c r="I83" s="7" t="s">
        <v>219</v>
      </c>
      <c r="J83" s="7" t="s">
        <v>32</v>
      </c>
      <c r="K83" s="7"/>
      <c r="L83" s="8">
        <v>45841</v>
      </c>
      <c r="M83" s="8"/>
      <c r="N83" s="8"/>
      <c r="O83" s="7" t="s">
        <v>144</v>
      </c>
      <c r="P83" s="6">
        <v>2</v>
      </c>
      <c r="Q83" s="7" t="s">
        <v>220</v>
      </c>
      <c r="R83" s="7" t="str" cm="1">
        <f t="array" aca="1" ref="R83" ca="1">_xll.ELPAR($D$1,D83,1)</f>
        <v>RECALC_0_267_</v>
      </c>
      <c r="S83" s="7" t="str">
        <f ca="1">IF(ISERROR(Proc[[#This Row],[TM1]]),C83,IF(LEFT(Proc[[#This Row],[TM1]],10)=Proc[[#This Row],[Requested]],"MAPPED",C83))</f>
        <v>Waiting for MDGF approval</v>
      </c>
    </row>
    <row r="84" spans="1:19">
      <c r="A84" s="7" t="s">
        <v>214</v>
      </c>
      <c r="B84" s="7" t="s">
        <v>143</v>
      </c>
      <c r="C84" s="7" t="s">
        <v>33</v>
      </c>
      <c r="D84" s="7" t="s">
        <v>380</v>
      </c>
      <c r="E84" s="7" t="s">
        <v>258</v>
      </c>
      <c r="F84" s="7" t="s">
        <v>264</v>
      </c>
      <c r="G84" s="7" t="s">
        <v>179</v>
      </c>
      <c r="H84" s="7" t="s">
        <v>381</v>
      </c>
      <c r="I84" s="7" t="s">
        <v>219</v>
      </c>
      <c r="J84" s="7" t="s">
        <v>32</v>
      </c>
      <c r="K84" s="7"/>
      <c r="L84" s="8">
        <v>45841</v>
      </c>
      <c r="M84" s="8"/>
      <c r="N84" s="8"/>
      <c r="O84" s="7" t="s">
        <v>144</v>
      </c>
      <c r="P84" s="6">
        <v>2</v>
      </c>
      <c r="Q84" s="7" t="s">
        <v>220</v>
      </c>
      <c r="R84" s="7" t="str" cm="1">
        <f t="array" aca="1" ref="R84" ca="1">_xll.ELPAR($D$1,D84,1)</f>
        <v>RECALC_0_95_</v>
      </c>
      <c r="S84" s="7" t="str">
        <f ca="1">IF(ISERROR(Proc[[#This Row],[TM1]]),C84,IF(LEFT(Proc[[#This Row],[TM1]],10)=Proc[[#This Row],[Requested]],"MAPPED",C84))</f>
        <v>Waiting for MDGF approval</v>
      </c>
    </row>
    <row r="85" spans="1:19">
      <c r="A85" s="7" t="s">
        <v>214</v>
      </c>
      <c r="B85" s="7" t="s">
        <v>143</v>
      </c>
      <c r="C85" s="7" t="s">
        <v>33</v>
      </c>
      <c r="D85" s="7" t="s">
        <v>382</v>
      </c>
      <c r="E85" s="7" t="s">
        <v>258</v>
      </c>
      <c r="F85" s="7" t="s">
        <v>264</v>
      </c>
      <c r="G85" s="7" t="s">
        <v>179</v>
      </c>
      <c r="H85" s="7" t="s">
        <v>383</v>
      </c>
      <c r="I85" s="7" t="s">
        <v>219</v>
      </c>
      <c r="J85" s="7" t="s">
        <v>32</v>
      </c>
      <c r="K85" s="7"/>
      <c r="L85" s="8">
        <v>45841</v>
      </c>
      <c r="M85" s="8"/>
      <c r="N85" s="8"/>
      <c r="O85" s="7" t="s">
        <v>144</v>
      </c>
      <c r="P85" s="6">
        <v>2</v>
      </c>
      <c r="Q85" s="7" t="s">
        <v>220</v>
      </c>
      <c r="R85" s="7" t="str" cm="1">
        <f t="array" aca="1" ref="R85" ca="1">_xll.ELPAR($D$1,D85,1)</f>
        <v>RECALC_0_55_</v>
      </c>
      <c r="S85" s="7" t="str">
        <f ca="1">IF(ISERROR(Proc[[#This Row],[TM1]]),C85,IF(LEFT(Proc[[#This Row],[TM1]],10)=Proc[[#This Row],[Requested]],"MAPPED",C85))</f>
        <v>Waiting for MDGF approval</v>
      </c>
    </row>
    <row r="86" spans="1:19">
      <c r="A86" s="7" t="s">
        <v>214</v>
      </c>
      <c r="B86" s="7" t="s">
        <v>143</v>
      </c>
      <c r="C86" s="7" t="s">
        <v>33</v>
      </c>
      <c r="D86" s="7" t="s">
        <v>384</v>
      </c>
      <c r="E86" s="7" t="s">
        <v>385</v>
      </c>
      <c r="F86" s="7" t="s">
        <v>386</v>
      </c>
      <c r="G86" s="7" t="s">
        <v>179</v>
      </c>
      <c r="H86" s="7" t="s">
        <v>387</v>
      </c>
      <c r="I86" s="7" t="s">
        <v>219</v>
      </c>
      <c r="J86" s="7" t="s">
        <v>32</v>
      </c>
      <c r="K86" s="7"/>
      <c r="L86" s="8">
        <v>45841</v>
      </c>
      <c r="M86" s="8"/>
      <c r="N86" s="8"/>
      <c r="O86" s="7" t="s">
        <v>144</v>
      </c>
      <c r="P86" s="6">
        <v>2</v>
      </c>
      <c r="Q86" s="7" t="s">
        <v>220</v>
      </c>
      <c r="R86" s="7" t="str" cm="1">
        <f t="array" aca="1" ref="R86" ca="1">_xll.ELPAR($D$1,D86,1)</f>
        <v>RECALC_0_253_</v>
      </c>
      <c r="S86" s="7" t="str">
        <f ca="1">IF(ISERROR(Proc[[#This Row],[TM1]]),C86,IF(LEFT(Proc[[#This Row],[TM1]],10)=Proc[[#This Row],[Requested]],"MAPPED",C86))</f>
        <v>Waiting for MDGF approval</v>
      </c>
    </row>
    <row r="87" spans="1:19">
      <c r="A87" s="7" t="s">
        <v>214</v>
      </c>
      <c r="B87" s="7" t="s">
        <v>143</v>
      </c>
      <c r="C87" s="7" t="s">
        <v>33</v>
      </c>
      <c r="D87" s="7" t="s">
        <v>388</v>
      </c>
      <c r="E87" s="7" t="s">
        <v>389</v>
      </c>
      <c r="F87" s="7" t="s">
        <v>390</v>
      </c>
      <c r="G87" s="7" t="s">
        <v>179</v>
      </c>
      <c r="H87" s="7" t="s">
        <v>391</v>
      </c>
      <c r="I87" s="7" t="s">
        <v>219</v>
      </c>
      <c r="J87" s="7" t="s">
        <v>32</v>
      </c>
      <c r="K87" s="7"/>
      <c r="L87" s="8">
        <v>45841</v>
      </c>
      <c r="M87" s="8"/>
      <c r="N87" s="8"/>
      <c r="O87" s="7" t="s">
        <v>144</v>
      </c>
      <c r="P87" s="6">
        <v>2</v>
      </c>
      <c r="Q87" s="7" t="s">
        <v>220</v>
      </c>
      <c r="R87" s="7" t="str" cm="1">
        <f t="array" aca="1" ref="R87" ca="1">_xll.ELPAR($D$1,D87,1)</f>
        <v>RECALC_0_327_</v>
      </c>
      <c r="S87" s="7" t="str">
        <f ca="1">IF(ISERROR(Proc[[#This Row],[TM1]]),C87,IF(LEFT(Proc[[#This Row],[TM1]],10)=Proc[[#This Row],[Requested]],"MAPPED",C87))</f>
        <v>Waiting for MDGF approval</v>
      </c>
    </row>
    <row r="88" spans="1:19">
      <c r="A88" s="7" t="s">
        <v>214</v>
      </c>
      <c r="B88" s="7" t="s">
        <v>143</v>
      </c>
      <c r="C88" s="7" t="s">
        <v>33</v>
      </c>
      <c r="D88" s="7" t="s">
        <v>392</v>
      </c>
      <c r="E88" s="7" t="s">
        <v>385</v>
      </c>
      <c r="F88" s="7" t="s">
        <v>393</v>
      </c>
      <c r="G88" s="7" t="s">
        <v>179</v>
      </c>
      <c r="H88" s="7" t="s">
        <v>394</v>
      </c>
      <c r="I88" s="7" t="s">
        <v>219</v>
      </c>
      <c r="J88" s="7" t="s">
        <v>32</v>
      </c>
      <c r="K88" s="7"/>
      <c r="L88" s="8">
        <v>45841</v>
      </c>
      <c r="M88" s="8"/>
      <c r="N88" s="8"/>
      <c r="O88" s="7" t="s">
        <v>144</v>
      </c>
      <c r="P88" s="6">
        <v>2</v>
      </c>
      <c r="Q88" s="7" t="s">
        <v>220</v>
      </c>
      <c r="R88" s="7" t="str" cm="1">
        <f t="array" aca="1" ref="R88" ca="1">_xll.ELPAR($D$1,D88,1)</f>
        <v>RECALC_0_298_</v>
      </c>
      <c r="S88" s="7" t="str">
        <f ca="1">IF(ISERROR(Proc[[#This Row],[TM1]]),C88,IF(LEFT(Proc[[#This Row],[TM1]],10)=Proc[[#This Row],[Requested]],"MAPPED",C88))</f>
        <v>Waiting for MDGF approval</v>
      </c>
    </row>
    <row r="89" spans="1:19">
      <c r="A89" s="7" t="s">
        <v>214</v>
      </c>
      <c r="B89" s="7" t="s">
        <v>143</v>
      </c>
      <c r="C89" s="7" t="s">
        <v>33</v>
      </c>
      <c r="D89" s="7" t="s">
        <v>395</v>
      </c>
      <c r="E89" s="7" t="s">
        <v>396</v>
      </c>
      <c r="F89" s="7" t="s">
        <v>397</v>
      </c>
      <c r="G89" s="7" t="s">
        <v>179</v>
      </c>
      <c r="H89" s="7" t="s">
        <v>398</v>
      </c>
      <c r="I89" s="7" t="s">
        <v>219</v>
      </c>
      <c r="J89" s="7" t="s">
        <v>32</v>
      </c>
      <c r="K89" s="7"/>
      <c r="L89" s="8">
        <v>45841</v>
      </c>
      <c r="M89" s="8"/>
      <c r="N89" s="8"/>
      <c r="O89" s="7" t="s">
        <v>144</v>
      </c>
      <c r="P89" s="6">
        <v>2</v>
      </c>
      <c r="Q89" s="7" t="s">
        <v>220</v>
      </c>
      <c r="R89" s="7" t="str" cm="1">
        <f t="array" aca="1" ref="R89" ca="1">_xll.ELPAR($D$1,D89,1)</f>
        <v>RECALC_0_213_</v>
      </c>
      <c r="S89" s="7" t="str">
        <f ca="1">IF(ISERROR(Proc[[#This Row],[TM1]]),C89,IF(LEFT(Proc[[#This Row],[TM1]],10)=Proc[[#This Row],[Requested]],"MAPPED",C89))</f>
        <v>Waiting for MDGF approval</v>
      </c>
    </row>
    <row r="90" spans="1:19">
      <c r="A90" s="7" t="s">
        <v>214</v>
      </c>
      <c r="B90" s="7" t="s">
        <v>143</v>
      </c>
      <c r="C90" s="7" t="s">
        <v>33</v>
      </c>
      <c r="D90" s="7" t="s">
        <v>399</v>
      </c>
      <c r="E90" s="7" t="s">
        <v>385</v>
      </c>
      <c r="F90" s="7" t="s">
        <v>397</v>
      </c>
      <c r="G90" s="7" t="s">
        <v>179</v>
      </c>
      <c r="H90" s="7" t="s">
        <v>400</v>
      </c>
      <c r="I90" s="7" t="s">
        <v>219</v>
      </c>
      <c r="J90" s="7" t="s">
        <v>32</v>
      </c>
      <c r="K90" s="7"/>
      <c r="L90" s="8">
        <v>45841</v>
      </c>
      <c r="M90" s="8"/>
      <c r="N90" s="8"/>
      <c r="O90" s="7" t="s">
        <v>144</v>
      </c>
      <c r="P90" s="6">
        <v>2</v>
      </c>
      <c r="Q90" s="7" t="s">
        <v>220</v>
      </c>
      <c r="R90" s="7" t="str" cm="1">
        <f t="array" aca="1" ref="R90" ca="1">_xll.ELPAR($D$1,D90,1)</f>
        <v>RECALC_0_195_</v>
      </c>
      <c r="S90" s="7" t="str">
        <f ca="1">IF(ISERROR(Proc[[#This Row],[TM1]]),C90,IF(LEFT(Proc[[#This Row],[TM1]],10)=Proc[[#This Row],[Requested]],"MAPPED",C90))</f>
        <v>Waiting for MDGF approval</v>
      </c>
    </row>
    <row r="91" spans="1:19">
      <c r="A91" s="7" t="s">
        <v>214</v>
      </c>
      <c r="B91" s="7" t="s">
        <v>143</v>
      </c>
      <c r="C91" s="7" t="s">
        <v>33</v>
      </c>
      <c r="D91" s="7" t="s">
        <v>401</v>
      </c>
      <c r="E91" s="7" t="s">
        <v>385</v>
      </c>
      <c r="F91" s="7" t="s">
        <v>397</v>
      </c>
      <c r="G91" s="7" t="s">
        <v>179</v>
      </c>
      <c r="H91" s="7" t="s">
        <v>402</v>
      </c>
      <c r="I91" s="7" t="s">
        <v>219</v>
      </c>
      <c r="J91" s="7" t="s">
        <v>32</v>
      </c>
      <c r="K91" s="7"/>
      <c r="L91" s="8">
        <v>45841</v>
      </c>
      <c r="M91" s="8"/>
      <c r="N91" s="8"/>
      <c r="O91" s="7" t="s">
        <v>144</v>
      </c>
      <c r="P91" s="6">
        <v>2</v>
      </c>
      <c r="Q91" s="7" t="s">
        <v>220</v>
      </c>
      <c r="R91" s="7" t="str" cm="1">
        <f t="array" aca="1" ref="R91" ca="1">_xll.ELPAR($D$1,D91,1)</f>
        <v>RECALC_0_145_</v>
      </c>
      <c r="S91" s="7" t="str">
        <f ca="1">IF(ISERROR(Proc[[#This Row],[TM1]]),C91,IF(LEFT(Proc[[#This Row],[TM1]],10)=Proc[[#This Row],[Requested]],"MAPPED",C91))</f>
        <v>Waiting for MDGF approval</v>
      </c>
    </row>
    <row r="92" spans="1:19">
      <c r="A92" s="7" t="s">
        <v>214</v>
      </c>
      <c r="B92" s="7" t="s">
        <v>143</v>
      </c>
      <c r="C92" s="7" t="s">
        <v>33</v>
      </c>
      <c r="D92" s="7" t="s">
        <v>403</v>
      </c>
      <c r="E92" s="7" t="s">
        <v>385</v>
      </c>
      <c r="F92" s="7" t="s">
        <v>404</v>
      </c>
      <c r="G92" s="7" t="s">
        <v>179</v>
      </c>
      <c r="H92" s="7" t="s">
        <v>405</v>
      </c>
      <c r="I92" s="7" t="s">
        <v>219</v>
      </c>
      <c r="J92" s="7" t="s">
        <v>32</v>
      </c>
      <c r="K92" s="7"/>
      <c r="L92" s="8">
        <v>45841</v>
      </c>
      <c r="M92" s="8"/>
      <c r="N92" s="8"/>
      <c r="O92" s="7" t="s">
        <v>144</v>
      </c>
      <c r="P92" s="6">
        <v>2</v>
      </c>
      <c r="Q92" s="7" t="s">
        <v>220</v>
      </c>
      <c r="R92" s="7" t="str" cm="1">
        <f t="array" aca="1" ref="R92" ca="1">_xll.ELPAR($D$1,D92,1)</f>
        <v>RECALC_0_112_</v>
      </c>
      <c r="S92" s="7" t="str">
        <f ca="1">IF(ISERROR(Proc[[#This Row],[TM1]]),C92,IF(LEFT(Proc[[#This Row],[TM1]],10)=Proc[[#This Row],[Requested]],"MAPPED",C92))</f>
        <v>Waiting for MDGF approval</v>
      </c>
    </row>
    <row r="93" spans="1:19">
      <c r="A93" s="7" t="s">
        <v>214</v>
      </c>
      <c r="B93" s="7" t="s">
        <v>143</v>
      </c>
      <c r="C93" s="7" t="s">
        <v>33</v>
      </c>
      <c r="D93" s="7" t="s">
        <v>406</v>
      </c>
      <c r="E93" s="7" t="s">
        <v>396</v>
      </c>
      <c r="F93" s="7" t="s">
        <v>407</v>
      </c>
      <c r="G93" s="7" t="s">
        <v>179</v>
      </c>
      <c r="H93" s="7" t="s">
        <v>408</v>
      </c>
      <c r="I93" s="7" t="s">
        <v>219</v>
      </c>
      <c r="J93" s="7" t="s">
        <v>32</v>
      </c>
      <c r="K93" s="7"/>
      <c r="L93" s="8">
        <v>45841</v>
      </c>
      <c r="M93" s="8"/>
      <c r="N93" s="8"/>
      <c r="O93" s="7" t="s">
        <v>144</v>
      </c>
      <c r="P93" s="6">
        <v>2</v>
      </c>
      <c r="Q93" s="7" t="s">
        <v>220</v>
      </c>
      <c r="R93" s="7" t="str" cm="1">
        <f t="array" aca="1" ref="R93" ca="1">_xll.ELPAR($D$1,D93,1)</f>
        <v>RECALC_0_326_</v>
      </c>
      <c r="S93" s="7" t="str">
        <f ca="1">IF(ISERROR(Proc[[#This Row],[TM1]]),C93,IF(LEFT(Proc[[#This Row],[TM1]],10)=Proc[[#This Row],[Requested]],"MAPPED",C93))</f>
        <v>Waiting for MDGF approval</v>
      </c>
    </row>
    <row r="94" spans="1:19">
      <c r="A94" s="7" t="s">
        <v>214</v>
      </c>
      <c r="B94" s="7" t="s">
        <v>143</v>
      </c>
      <c r="C94" s="7" t="s">
        <v>33</v>
      </c>
      <c r="D94" s="7" t="s">
        <v>409</v>
      </c>
      <c r="E94" s="7" t="s">
        <v>389</v>
      </c>
      <c r="F94" s="7" t="s">
        <v>407</v>
      </c>
      <c r="G94" s="7" t="s">
        <v>179</v>
      </c>
      <c r="H94" s="7" t="s">
        <v>410</v>
      </c>
      <c r="I94" s="7" t="s">
        <v>219</v>
      </c>
      <c r="J94" s="7" t="s">
        <v>32</v>
      </c>
      <c r="K94" s="7"/>
      <c r="L94" s="8">
        <v>45841</v>
      </c>
      <c r="M94" s="8"/>
      <c r="N94" s="8"/>
      <c r="O94" s="7" t="s">
        <v>144</v>
      </c>
      <c r="P94" s="6">
        <v>2</v>
      </c>
      <c r="Q94" s="7" t="s">
        <v>220</v>
      </c>
      <c r="R94" s="7" t="str" cm="1">
        <f t="array" aca="1" ref="R94" ca="1">_xll.ELPAR($D$1,D94,1)</f>
        <v>RECALC_0_297_</v>
      </c>
      <c r="S94" s="7" t="str">
        <f ca="1">IF(ISERROR(Proc[[#This Row],[TM1]]),C94,IF(LEFT(Proc[[#This Row],[TM1]],10)=Proc[[#This Row],[Requested]],"MAPPED",C94))</f>
        <v>Waiting for MDGF approval</v>
      </c>
    </row>
    <row r="95" spans="1:19">
      <c r="A95" s="7" t="s">
        <v>214</v>
      </c>
      <c r="B95" s="7" t="s">
        <v>143</v>
      </c>
      <c r="C95" s="7" t="s">
        <v>33</v>
      </c>
      <c r="D95" s="7" t="s">
        <v>411</v>
      </c>
      <c r="E95" s="7" t="s">
        <v>385</v>
      </c>
      <c r="F95" s="7" t="s">
        <v>397</v>
      </c>
      <c r="G95" s="7" t="s">
        <v>179</v>
      </c>
      <c r="H95" s="7" t="s">
        <v>412</v>
      </c>
      <c r="I95" s="7" t="s">
        <v>219</v>
      </c>
      <c r="J95" s="7" t="s">
        <v>32</v>
      </c>
      <c r="K95" s="7"/>
      <c r="L95" s="8">
        <v>45841</v>
      </c>
      <c r="M95" s="8"/>
      <c r="N95" s="8"/>
      <c r="O95" s="7" t="s">
        <v>144</v>
      </c>
      <c r="P95" s="6">
        <v>2</v>
      </c>
      <c r="Q95" s="7" t="s">
        <v>220</v>
      </c>
      <c r="R95" s="7" t="str" cm="1">
        <f t="array" aca="1" ref="R95" ca="1">_xll.ELPAR($D$1,D95,1)</f>
        <v>RECALC_0_62_</v>
      </c>
      <c r="S95" s="7" t="str">
        <f ca="1">IF(ISERROR(Proc[[#This Row],[TM1]]),C95,IF(LEFT(Proc[[#This Row],[TM1]],10)=Proc[[#This Row],[Requested]],"MAPPED",C95))</f>
        <v>Waiting for MDGF approval</v>
      </c>
    </row>
    <row r="96" spans="1:19">
      <c r="A96" s="7" t="s">
        <v>214</v>
      </c>
      <c r="B96" s="7" t="s">
        <v>143</v>
      </c>
      <c r="C96" s="7" t="s">
        <v>33</v>
      </c>
      <c r="D96" s="7" t="s">
        <v>413</v>
      </c>
      <c r="E96" s="7" t="s">
        <v>385</v>
      </c>
      <c r="F96" s="7" t="s">
        <v>397</v>
      </c>
      <c r="G96" s="7" t="s">
        <v>179</v>
      </c>
      <c r="H96" s="7" t="s">
        <v>414</v>
      </c>
      <c r="I96" s="7" t="s">
        <v>219</v>
      </c>
      <c r="J96" s="7" t="s">
        <v>32</v>
      </c>
      <c r="K96" s="7"/>
      <c r="L96" s="8">
        <v>45841</v>
      </c>
      <c r="M96" s="8"/>
      <c r="N96" s="8"/>
      <c r="O96" s="7" t="s">
        <v>144</v>
      </c>
      <c r="P96" s="6">
        <v>2</v>
      </c>
      <c r="Q96" s="7" t="s">
        <v>220</v>
      </c>
      <c r="R96" s="7" t="str" cm="1">
        <f t="array" aca="1" ref="R96" ca="1">_xll.ELPAR($D$1,D96,1)</f>
        <v>RECALC_0_54_</v>
      </c>
      <c r="S96" s="7" t="str">
        <f ca="1">IF(ISERROR(Proc[[#This Row],[TM1]]),C96,IF(LEFT(Proc[[#This Row],[TM1]],10)=Proc[[#This Row],[Requested]],"MAPPED",C96))</f>
        <v>Waiting for MDGF approval</v>
      </c>
    </row>
    <row r="97" spans="1:19">
      <c r="A97" s="7" t="s">
        <v>214</v>
      </c>
      <c r="B97" s="7" t="s">
        <v>143</v>
      </c>
      <c r="C97" s="7" t="s">
        <v>33</v>
      </c>
      <c r="D97" s="7" t="s">
        <v>415</v>
      </c>
      <c r="E97" s="7" t="s">
        <v>385</v>
      </c>
      <c r="F97" s="7" t="s">
        <v>393</v>
      </c>
      <c r="G97" s="7" t="s">
        <v>179</v>
      </c>
      <c r="H97" s="7" t="s">
        <v>416</v>
      </c>
      <c r="I97" s="7" t="s">
        <v>219</v>
      </c>
      <c r="J97" s="7" t="s">
        <v>32</v>
      </c>
      <c r="K97" s="7"/>
      <c r="L97" s="8">
        <v>45841</v>
      </c>
      <c r="M97" s="8"/>
      <c r="N97" s="8"/>
      <c r="O97" s="7" t="s">
        <v>144</v>
      </c>
      <c r="P97" s="6">
        <v>2</v>
      </c>
      <c r="Q97" s="7" t="s">
        <v>220</v>
      </c>
      <c r="R97" s="7" t="str" cm="1">
        <f t="array" aca="1" ref="R97" ca="1">_xll.ELPAR($D$1,D97,1)</f>
        <v>RECALC_0_252_</v>
      </c>
      <c r="S97" s="7" t="str">
        <f ca="1">IF(ISERROR(Proc[[#This Row],[TM1]]),C97,IF(LEFT(Proc[[#This Row],[TM1]],10)=Proc[[#This Row],[Requested]],"MAPPED",C97))</f>
        <v>Waiting for MDGF approval</v>
      </c>
    </row>
    <row r="98" spans="1:19">
      <c r="A98" s="7" t="s">
        <v>214</v>
      </c>
      <c r="B98" s="7" t="s">
        <v>143</v>
      </c>
      <c r="C98" s="7" t="s">
        <v>33</v>
      </c>
      <c r="D98" s="7" t="s">
        <v>417</v>
      </c>
      <c r="E98" s="7" t="s">
        <v>385</v>
      </c>
      <c r="F98" s="7" t="s">
        <v>397</v>
      </c>
      <c r="G98" s="7" t="s">
        <v>179</v>
      </c>
      <c r="H98" s="7" t="s">
        <v>418</v>
      </c>
      <c r="I98" s="7" t="s">
        <v>219</v>
      </c>
      <c r="J98" s="7" t="s">
        <v>32</v>
      </c>
      <c r="K98" s="7"/>
      <c r="L98" s="8">
        <v>45841</v>
      </c>
      <c r="M98" s="8"/>
      <c r="N98" s="8"/>
      <c r="O98" s="7" t="s">
        <v>144</v>
      </c>
      <c r="P98" s="6">
        <v>2</v>
      </c>
      <c r="Q98" s="7" t="s">
        <v>220</v>
      </c>
      <c r="R98" s="7" t="str" cm="1">
        <f t="array" aca="1" ref="R98" ca="1">_xll.ELPAR($D$1,D98,1)</f>
        <v>RECALC_0_212_</v>
      </c>
      <c r="S98" s="7" t="str">
        <f ca="1">IF(ISERROR(Proc[[#This Row],[TM1]]),C98,IF(LEFT(Proc[[#This Row],[TM1]],10)=Proc[[#This Row],[Requested]],"MAPPED",C98))</f>
        <v>Waiting for MDGF approval</v>
      </c>
    </row>
    <row r="99" spans="1:19">
      <c r="A99" s="7" t="s">
        <v>214</v>
      </c>
      <c r="B99" s="7" t="s">
        <v>143</v>
      </c>
      <c r="C99" s="7" t="s">
        <v>33</v>
      </c>
      <c r="D99" s="7" t="s">
        <v>419</v>
      </c>
      <c r="E99" s="7" t="s">
        <v>385</v>
      </c>
      <c r="F99" s="7" t="s">
        <v>420</v>
      </c>
      <c r="G99" s="7" t="s">
        <v>179</v>
      </c>
      <c r="H99" s="7" t="s">
        <v>421</v>
      </c>
      <c r="I99" s="7" t="s">
        <v>219</v>
      </c>
      <c r="J99" s="7" t="s">
        <v>32</v>
      </c>
      <c r="K99" s="7"/>
      <c r="L99" s="8">
        <v>45841</v>
      </c>
      <c r="M99" s="8"/>
      <c r="N99" s="8"/>
      <c r="O99" s="7" t="s">
        <v>144</v>
      </c>
      <c r="P99" s="6">
        <v>2</v>
      </c>
      <c r="Q99" s="7" t="s">
        <v>220</v>
      </c>
      <c r="R99" s="7" t="str" cm="1">
        <f t="array" aca="1" ref="R99" ca="1">_xll.ELPAR($D$1,D99,1)</f>
        <v>RECALC_0_325_</v>
      </c>
      <c r="S99" s="7" t="str">
        <f ca="1">IF(ISERROR(Proc[[#This Row],[TM1]]),C99,IF(LEFT(Proc[[#This Row],[TM1]],10)=Proc[[#This Row],[Requested]],"MAPPED",C99))</f>
        <v>Waiting for MDGF approval</v>
      </c>
    </row>
    <row r="100" spans="1:19">
      <c r="A100" s="7" t="s">
        <v>214</v>
      </c>
      <c r="B100" s="7" t="s">
        <v>143</v>
      </c>
      <c r="C100" s="7" t="s">
        <v>33</v>
      </c>
      <c r="D100" s="7" t="s">
        <v>422</v>
      </c>
      <c r="E100" s="7" t="s">
        <v>385</v>
      </c>
      <c r="F100" s="7" t="s">
        <v>423</v>
      </c>
      <c r="G100" s="7" t="s">
        <v>179</v>
      </c>
      <c r="H100" s="7" t="s">
        <v>424</v>
      </c>
      <c r="I100" s="7" t="s">
        <v>219</v>
      </c>
      <c r="J100" s="7" t="s">
        <v>32</v>
      </c>
      <c r="K100" s="7"/>
      <c r="L100" s="8">
        <v>45841</v>
      </c>
      <c r="M100" s="8"/>
      <c r="N100" s="8"/>
      <c r="O100" s="7" t="s">
        <v>144</v>
      </c>
      <c r="P100" s="6">
        <v>2</v>
      </c>
      <c r="Q100" s="7" t="s">
        <v>220</v>
      </c>
      <c r="R100" s="7" t="str" cm="1">
        <f t="array" aca="1" ref="R100" ca="1">_xll.ELPAR($D$1,D100,1)</f>
        <v>RECALC_0_296_</v>
      </c>
      <c r="S100" s="7" t="str">
        <f ca="1">IF(ISERROR(Proc[[#This Row],[TM1]]),C100,IF(LEFT(Proc[[#This Row],[TM1]],10)=Proc[[#This Row],[Requested]],"MAPPED",C100))</f>
        <v>Waiting for MDGF approval</v>
      </c>
    </row>
    <row r="101" spans="1:19">
      <c r="A101" s="7" t="s">
        <v>214</v>
      </c>
      <c r="B101" s="7" t="s">
        <v>143</v>
      </c>
      <c r="C101" s="7" t="s">
        <v>33</v>
      </c>
      <c r="D101" s="7" t="s">
        <v>425</v>
      </c>
      <c r="E101" s="7" t="s">
        <v>385</v>
      </c>
      <c r="F101" s="7" t="s">
        <v>426</v>
      </c>
      <c r="G101" s="7" t="s">
        <v>179</v>
      </c>
      <c r="H101" s="7" t="s">
        <v>427</v>
      </c>
      <c r="I101" s="7" t="s">
        <v>219</v>
      </c>
      <c r="J101" s="7" t="s">
        <v>32</v>
      </c>
      <c r="K101" s="7"/>
      <c r="L101" s="8">
        <v>45841</v>
      </c>
      <c r="M101" s="8"/>
      <c r="N101" s="8"/>
      <c r="O101" s="7" t="s">
        <v>144</v>
      </c>
      <c r="P101" s="6">
        <v>2</v>
      </c>
      <c r="Q101" s="7" t="s">
        <v>220</v>
      </c>
      <c r="R101" s="7" t="str" cm="1">
        <f t="array" aca="1" ref="R101" ca="1">_xll.ELPAR($D$1,D101,1)</f>
        <v>RECALC_0_170_</v>
      </c>
      <c r="S101" s="7" t="str">
        <f ca="1">IF(ISERROR(Proc[[#This Row],[TM1]]),C101,IF(LEFT(Proc[[#This Row],[TM1]],10)=Proc[[#This Row],[Requested]],"MAPPED",C101))</f>
        <v>Waiting for MDGF approval</v>
      </c>
    </row>
    <row r="102" spans="1:19">
      <c r="A102" s="7" t="s">
        <v>214</v>
      </c>
      <c r="B102" s="7" t="s">
        <v>143</v>
      </c>
      <c r="C102" s="7" t="s">
        <v>33</v>
      </c>
      <c r="D102" s="7" t="s">
        <v>428</v>
      </c>
      <c r="E102" s="7" t="s">
        <v>385</v>
      </c>
      <c r="F102" s="7" t="s">
        <v>426</v>
      </c>
      <c r="G102" s="7" t="s">
        <v>179</v>
      </c>
      <c r="H102" s="7" t="s">
        <v>429</v>
      </c>
      <c r="I102" s="7" t="s">
        <v>219</v>
      </c>
      <c r="J102" s="7" t="s">
        <v>32</v>
      </c>
      <c r="K102" s="7"/>
      <c r="L102" s="8">
        <v>45841</v>
      </c>
      <c r="M102" s="8"/>
      <c r="N102" s="8"/>
      <c r="O102" s="7" t="s">
        <v>144</v>
      </c>
      <c r="P102" s="6">
        <v>2</v>
      </c>
      <c r="Q102" s="7" t="s">
        <v>220</v>
      </c>
      <c r="R102" s="7" t="str" cm="1">
        <f t="array" aca="1" ref="R102" ca="1">_xll.ELPAR($D$1,D102,1)</f>
        <v>RECALC_0_144_</v>
      </c>
      <c r="S102" s="7" t="str">
        <f ca="1">IF(ISERROR(Proc[[#This Row],[TM1]]),C102,IF(LEFT(Proc[[#This Row],[TM1]],10)=Proc[[#This Row],[Requested]],"MAPPED",C102))</f>
        <v>Waiting for MDGF approval</v>
      </c>
    </row>
    <row r="103" spans="1:19">
      <c r="A103" s="7" t="s">
        <v>214</v>
      </c>
      <c r="B103" s="7" t="s">
        <v>143</v>
      </c>
      <c r="C103" s="7" t="s">
        <v>33</v>
      </c>
      <c r="D103" s="7" t="s">
        <v>430</v>
      </c>
      <c r="E103" s="7" t="s">
        <v>385</v>
      </c>
      <c r="F103" s="7" t="s">
        <v>431</v>
      </c>
      <c r="G103" s="7" t="s">
        <v>179</v>
      </c>
      <c r="H103" s="7" t="s">
        <v>432</v>
      </c>
      <c r="I103" s="7" t="s">
        <v>219</v>
      </c>
      <c r="J103" s="7" t="s">
        <v>32</v>
      </c>
      <c r="K103" s="7"/>
      <c r="L103" s="8">
        <v>45841</v>
      </c>
      <c r="M103" s="8"/>
      <c r="N103" s="8"/>
      <c r="O103" s="7" t="s">
        <v>144</v>
      </c>
      <c r="P103" s="6">
        <v>2</v>
      </c>
      <c r="Q103" s="7" t="s">
        <v>220</v>
      </c>
      <c r="R103" s="7" t="str" cm="1">
        <f t="array" aca="1" ref="R103" ca="1">_xll.ELPAR($D$1,D103,1)</f>
        <v>RECALC_0_111_</v>
      </c>
      <c r="S103" s="7" t="str">
        <f ca="1">IF(ISERROR(Proc[[#This Row],[TM1]]),C103,IF(LEFT(Proc[[#This Row],[TM1]],10)=Proc[[#This Row],[Requested]],"MAPPED",C103))</f>
        <v>Waiting for MDGF approval</v>
      </c>
    </row>
    <row r="104" spans="1:19">
      <c r="A104" s="7" t="s">
        <v>214</v>
      </c>
      <c r="B104" s="7" t="s">
        <v>143</v>
      </c>
      <c r="C104" s="7" t="s">
        <v>33</v>
      </c>
      <c r="D104" s="7" t="s">
        <v>433</v>
      </c>
      <c r="E104" s="7" t="s">
        <v>385</v>
      </c>
      <c r="F104" s="7" t="s">
        <v>431</v>
      </c>
      <c r="G104" s="7" t="s">
        <v>179</v>
      </c>
      <c r="H104" s="7" t="s">
        <v>434</v>
      </c>
      <c r="I104" s="7" t="s">
        <v>219</v>
      </c>
      <c r="J104" s="7" t="s">
        <v>32</v>
      </c>
      <c r="K104" s="7"/>
      <c r="L104" s="8">
        <v>45841</v>
      </c>
      <c r="M104" s="8"/>
      <c r="N104" s="8"/>
      <c r="O104" s="7" t="s">
        <v>144</v>
      </c>
      <c r="P104" s="6">
        <v>2</v>
      </c>
      <c r="Q104" s="7" t="s">
        <v>220</v>
      </c>
      <c r="R104" s="7" t="str" cm="1">
        <f t="array" aca="1" ref="R104" ca="1">_xll.ELPAR($D$1,D104,1)</f>
        <v>RECALC_0_61_</v>
      </c>
      <c r="S104" s="7" t="str">
        <f ca="1">IF(ISERROR(Proc[[#This Row],[TM1]]),C104,IF(LEFT(Proc[[#This Row],[TM1]],10)=Proc[[#This Row],[Requested]],"MAPPED",C104))</f>
        <v>Waiting for MDGF approval</v>
      </c>
    </row>
    <row r="105" spans="1:19">
      <c r="A105" s="7" t="s">
        <v>214</v>
      </c>
      <c r="B105" s="7" t="s">
        <v>143</v>
      </c>
      <c r="C105" s="7" t="s">
        <v>33</v>
      </c>
      <c r="D105" s="7" t="s">
        <v>435</v>
      </c>
      <c r="E105" s="7" t="s">
        <v>385</v>
      </c>
      <c r="F105" s="7" t="s">
        <v>426</v>
      </c>
      <c r="G105" s="7" t="s">
        <v>179</v>
      </c>
      <c r="H105" s="7" t="s">
        <v>436</v>
      </c>
      <c r="I105" s="7" t="s">
        <v>219</v>
      </c>
      <c r="J105" s="7" t="s">
        <v>32</v>
      </c>
      <c r="K105" s="7"/>
      <c r="L105" s="8">
        <v>45841</v>
      </c>
      <c r="M105" s="8"/>
      <c r="N105" s="8"/>
      <c r="O105" s="7" t="s">
        <v>144</v>
      </c>
      <c r="P105" s="6">
        <v>2</v>
      </c>
      <c r="Q105" s="7" t="s">
        <v>220</v>
      </c>
      <c r="R105" s="7" t="str" cm="1">
        <f t="array" aca="1" ref="R105" ca="1">_xll.ELPAR($D$1,D105,1)</f>
        <v>RECALC_0_324_</v>
      </c>
      <c r="S105" s="7" t="str">
        <f ca="1">IF(ISERROR(Proc[[#This Row],[TM1]]),C105,IF(LEFT(Proc[[#This Row],[TM1]],10)=Proc[[#This Row],[Requested]],"MAPPED",C105))</f>
        <v>Waiting for MDGF approval</v>
      </c>
    </row>
    <row r="106" spans="1:19">
      <c r="A106" s="7" t="s">
        <v>214</v>
      </c>
      <c r="B106" s="7" t="s">
        <v>143</v>
      </c>
      <c r="C106" s="7" t="s">
        <v>33</v>
      </c>
      <c r="D106" s="7" t="s">
        <v>437</v>
      </c>
      <c r="E106" s="7" t="s">
        <v>385</v>
      </c>
      <c r="F106" s="7" t="s">
        <v>426</v>
      </c>
      <c r="G106" s="7" t="s">
        <v>179</v>
      </c>
      <c r="H106" s="7" t="s">
        <v>438</v>
      </c>
      <c r="I106" s="7" t="s">
        <v>219</v>
      </c>
      <c r="J106" s="7" t="s">
        <v>32</v>
      </c>
      <c r="K106" s="7"/>
      <c r="L106" s="8">
        <v>45841</v>
      </c>
      <c r="M106" s="8"/>
      <c r="N106" s="8"/>
      <c r="O106" s="7" t="s">
        <v>144</v>
      </c>
      <c r="P106" s="6">
        <v>2</v>
      </c>
      <c r="Q106" s="7" t="s">
        <v>220</v>
      </c>
      <c r="R106" s="7" t="str" cm="1">
        <f t="array" aca="1" ref="R106" ca="1">_xll.ELPAR($D$1,D106,1)</f>
        <v>RECALC_0_295_</v>
      </c>
      <c r="S106" s="7" t="str">
        <f ca="1">IF(ISERROR(Proc[[#This Row],[TM1]]),C106,IF(LEFT(Proc[[#This Row],[TM1]],10)=Proc[[#This Row],[Requested]],"MAPPED",C106))</f>
        <v>Waiting for MDGF approval</v>
      </c>
    </row>
    <row r="107" spans="1:19">
      <c r="A107" s="7" t="s">
        <v>214</v>
      </c>
      <c r="B107" s="7" t="s">
        <v>143</v>
      </c>
      <c r="C107" s="7" t="s">
        <v>33</v>
      </c>
      <c r="D107" s="7" t="s">
        <v>439</v>
      </c>
      <c r="E107" s="7" t="s">
        <v>385</v>
      </c>
      <c r="F107" s="7" t="s">
        <v>420</v>
      </c>
      <c r="G107" s="7" t="s">
        <v>179</v>
      </c>
      <c r="H107" s="7" t="s">
        <v>440</v>
      </c>
      <c r="I107" s="7" t="s">
        <v>219</v>
      </c>
      <c r="J107" s="7" t="s">
        <v>32</v>
      </c>
      <c r="K107" s="7"/>
      <c r="L107" s="8">
        <v>45841</v>
      </c>
      <c r="M107" s="8"/>
      <c r="N107" s="8"/>
      <c r="O107" s="7" t="s">
        <v>144</v>
      </c>
      <c r="P107" s="6">
        <v>2</v>
      </c>
      <c r="Q107" s="7" t="s">
        <v>220</v>
      </c>
      <c r="R107" s="7" t="str" cm="1">
        <f t="array" aca="1" ref="R107" ca="1">_xll.ELPAR($D$1,D107,1)</f>
        <v>RECALC_0_31_</v>
      </c>
      <c r="S107" s="7" t="str">
        <f ca="1">IF(ISERROR(Proc[[#This Row],[TM1]]),C107,IF(LEFT(Proc[[#This Row],[TM1]],10)=Proc[[#This Row],[Requested]],"MAPPED",C107))</f>
        <v>Waiting for MDGF approval</v>
      </c>
    </row>
    <row r="108" spans="1:19">
      <c r="A108" s="7" t="s">
        <v>214</v>
      </c>
      <c r="B108" s="7" t="s">
        <v>143</v>
      </c>
      <c r="C108" s="7" t="s">
        <v>33</v>
      </c>
      <c r="D108" s="7" t="s">
        <v>441</v>
      </c>
      <c r="E108" s="7" t="s">
        <v>385</v>
      </c>
      <c r="F108" s="7" t="s">
        <v>393</v>
      </c>
      <c r="G108" s="7" t="s">
        <v>179</v>
      </c>
      <c r="H108" s="7" t="s">
        <v>442</v>
      </c>
      <c r="I108" s="7" t="s">
        <v>219</v>
      </c>
      <c r="J108" s="7" t="s">
        <v>32</v>
      </c>
      <c r="K108" s="7"/>
      <c r="L108" s="8">
        <v>45841</v>
      </c>
      <c r="M108" s="8"/>
      <c r="N108" s="8"/>
      <c r="O108" s="7" t="s">
        <v>144</v>
      </c>
      <c r="P108" s="6">
        <v>2</v>
      </c>
      <c r="Q108" s="7" t="s">
        <v>220</v>
      </c>
      <c r="R108" s="7" t="str" cm="1">
        <f t="array" aca="1" ref="R108" ca="1">_xll.ELPAR($D$1,D108,1)</f>
        <v>RECALC_0_251_</v>
      </c>
      <c r="S108" s="7" t="str">
        <f ca="1">IF(ISERROR(Proc[[#This Row],[TM1]]),C108,IF(LEFT(Proc[[#This Row],[TM1]],10)=Proc[[#This Row],[Requested]],"MAPPED",C108))</f>
        <v>Waiting for MDGF approval</v>
      </c>
    </row>
    <row r="109" spans="1:19">
      <c r="A109" s="7" t="s">
        <v>214</v>
      </c>
      <c r="B109" s="7" t="s">
        <v>143</v>
      </c>
      <c r="C109" s="7" t="s">
        <v>33</v>
      </c>
      <c r="D109" s="7" t="s">
        <v>443</v>
      </c>
      <c r="E109" s="7" t="s">
        <v>385</v>
      </c>
      <c r="F109" s="7" t="s">
        <v>393</v>
      </c>
      <c r="G109" s="7" t="s">
        <v>179</v>
      </c>
      <c r="H109" s="7" t="s">
        <v>444</v>
      </c>
      <c r="I109" s="7" t="s">
        <v>219</v>
      </c>
      <c r="J109" s="7" t="s">
        <v>32</v>
      </c>
      <c r="K109" s="7"/>
      <c r="L109" s="8">
        <v>45841</v>
      </c>
      <c r="M109" s="8"/>
      <c r="N109" s="8"/>
      <c r="O109" s="7" t="s">
        <v>144</v>
      </c>
      <c r="P109" s="6">
        <v>2</v>
      </c>
      <c r="Q109" s="7" t="s">
        <v>220</v>
      </c>
      <c r="R109" s="7" t="str" cm="1">
        <f t="array" aca="1" ref="R109" ca="1">_xll.ELPAR($D$1,D109,1)</f>
        <v>RECALC_0_211_</v>
      </c>
      <c r="S109" s="7" t="str">
        <f ca="1">IF(ISERROR(Proc[[#This Row],[TM1]]),C109,IF(LEFT(Proc[[#This Row],[TM1]],10)=Proc[[#This Row],[Requested]],"MAPPED",C109))</f>
        <v>Waiting for MDGF approval</v>
      </c>
    </row>
    <row r="110" spans="1:19">
      <c r="A110" s="7" t="s">
        <v>214</v>
      </c>
      <c r="B110" s="7" t="s">
        <v>143</v>
      </c>
      <c r="C110" s="7" t="s">
        <v>33</v>
      </c>
      <c r="D110" s="7" t="s">
        <v>445</v>
      </c>
      <c r="E110" s="7" t="s">
        <v>385</v>
      </c>
      <c r="F110" s="7" t="s">
        <v>393</v>
      </c>
      <c r="G110" s="7" t="s">
        <v>179</v>
      </c>
      <c r="H110" s="7" t="s">
        <v>446</v>
      </c>
      <c r="I110" s="7" t="s">
        <v>447</v>
      </c>
      <c r="J110" s="7" t="s">
        <v>32</v>
      </c>
      <c r="K110" s="7"/>
      <c r="L110" s="8">
        <v>45841</v>
      </c>
      <c r="M110" s="8"/>
      <c r="N110" s="8"/>
      <c r="O110" s="7" t="s">
        <v>144</v>
      </c>
      <c r="P110" s="6">
        <v>2</v>
      </c>
      <c r="Q110" s="7" t="s">
        <v>220</v>
      </c>
      <c r="R110" s="7" t="str" cm="1">
        <f t="array" aca="1" ref="R110" ca="1">_xll.ELPAR($D$1,D110,1)</f>
        <v>RECALC_0_169_</v>
      </c>
      <c r="S110" s="7" t="str">
        <f ca="1">IF(ISERROR(Proc[[#This Row],[TM1]]),C110,IF(LEFT(Proc[[#This Row],[TM1]],10)=Proc[[#This Row],[Requested]],"MAPPED",C110))</f>
        <v>Waiting for MDGF approval</v>
      </c>
    </row>
    <row r="111" spans="1:19">
      <c r="A111" s="7" t="s">
        <v>214</v>
      </c>
      <c r="B111" s="7" t="s">
        <v>143</v>
      </c>
      <c r="C111" s="7" t="s">
        <v>33</v>
      </c>
      <c r="D111" s="7" t="s">
        <v>448</v>
      </c>
      <c r="E111" s="7" t="s">
        <v>389</v>
      </c>
      <c r="F111" s="7" t="s">
        <v>393</v>
      </c>
      <c r="G111" s="7" t="s">
        <v>179</v>
      </c>
      <c r="H111" s="7" t="s">
        <v>449</v>
      </c>
      <c r="I111" s="7" t="s">
        <v>447</v>
      </c>
      <c r="J111" s="7" t="s">
        <v>32</v>
      </c>
      <c r="K111" s="7"/>
      <c r="L111" s="8">
        <v>45841</v>
      </c>
      <c r="M111" s="8"/>
      <c r="N111" s="8"/>
      <c r="O111" s="7" t="s">
        <v>144</v>
      </c>
      <c r="P111" s="6">
        <v>2</v>
      </c>
      <c r="Q111" s="7" t="s">
        <v>220</v>
      </c>
      <c r="R111" s="7" t="str" cm="1">
        <f t="array" aca="1" ref="R111" ca="1">_xll.ELPAR($D$1,D111,1)</f>
        <v>RECALC_0_323_</v>
      </c>
      <c r="S111" s="7" t="str">
        <f ca="1">IF(ISERROR(Proc[[#This Row],[TM1]]),C111,IF(LEFT(Proc[[#This Row],[TM1]],10)=Proc[[#This Row],[Requested]],"MAPPED",C111))</f>
        <v>Waiting for MDGF approval</v>
      </c>
    </row>
    <row r="112" spans="1:19">
      <c r="A112" s="7" t="s">
        <v>214</v>
      </c>
      <c r="B112" s="7" t="s">
        <v>143</v>
      </c>
      <c r="C112" s="7" t="s">
        <v>33</v>
      </c>
      <c r="D112" s="7" t="s">
        <v>450</v>
      </c>
      <c r="E112" s="7" t="s">
        <v>389</v>
      </c>
      <c r="F112" s="7" t="s">
        <v>390</v>
      </c>
      <c r="G112" s="7" t="s">
        <v>179</v>
      </c>
      <c r="H112" s="7" t="s">
        <v>451</v>
      </c>
      <c r="I112" s="7" t="s">
        <v>447</v>
      </c>
      <c r="J112" s="7" t="s">
        <v>32</v>
      </c>
      <c r="K112" s="7"/>
      <c r="L112" s="8">
        <v>45841</v>
      </c>
      <c r="M112" s="8"/>
      <c r="N112" s="8"/>
      <c r="O112" s="7" t="s">
        <v>144</v>
      </c>
      <c r="P112" s="6">
        <v>2</v>
      </c>
      <c r="Q112" s="7" t="s">
        <v>220</v>
      </c>
      <c r="R112" s="7" t="str" cm="1">
        <f t="array" aca="1" ref="R112" ca="1">_xll.ELPAR($D$1,D112,1)</f>
        <v>RECALC_0_294_</v>
      </c>
      <c r="S112" s="7" t="str">
        <f ca="1">IF(ISERROR(Proc[[#This Row],[TM1]]),C112,IF(LEFT(Proc[[#This Row],[TM1]],10)=Proc[[#This Row],[Requested]],"MAPPED",C112))</f>
        <v>Waiting for MDGF approval</v>
      </c>
    </row>
    <row r="113" spans="1:19">
      <c r="A113" s="7" t="s">
        <v>214</v>
      </c>
      <c r="B113" s="7" t="s">
        <v>143</v>
      </c>
      <c r="C113" s="7" t="s">
        <v>33</v>
      </c>
      <c r="D113" s="7" t="s">
        <v>452</v>
      </c>
      <c r="E113" s="7" t="s">
        <v>385</v>
      </c>
      <c r="F113" s="7" t="s">
        <v>390</v>
      </c>
      <c r="G113" s="7" t="s">
        <v>179</v>
      </c>
      <c r="H113" s="7" t="s">
        <v>453</v>
      </c>
      <c r="I113" s="7" t="s">
        <v>447</v>
      </c>
      <c r="J113" s="7" t="s">
        <v>32</v>
      </c>
      <c r="K113" s="7"/>
      <c r="L113" s="8">
        <v>45841</v>
      </c>
      <c r="M113" s="8"/>
      <c r="N113" s="8"/>
      <c r="O113" s="7" t="s">
        <v>144</v>
      </c>
      <c r="P113" s="6">
        <v>2</v>
      </c>
      <c r="Q113" s="7" t="s">
        <v>220</v>
      </c>
      <c r="R113" s="7" t="str" cm="1">
        <f t="array" aca="1" ref="R113" ca="1">_xll.ELPAR($D$1,D113,1)</f>
        <v>RECALC_0_125_</v>
      </c>
      <c r="S113" s="7" t="str">
        <f ca="1">IF(ISERROR(Proc[[#This Row],[TM1]]),C113,IF(LEFT(Proc[[#This Row],[TM1]],10)=Proc[[#This Row],[Requested]],"MAPPED",C113))</f>
        <v>Waiting for MDGF approval</v>
      </c>
    </row>
    <row r="114" spans="1:19">
      <c r="A114" s="7" t="s">
        <v>214</v>
      </c>
      <c r="B114" s="7" t="s">
        <v>143</v>
      </c>
      <c r="C114" s="7" t="s">
        <v>33</v>
      </c>
      <c r="D114" s="7" t="s">
        <v>454</v>
      </c>
      <c r="E114" s="7" t="s">
        <v>389</v>
      </c>
      <c r="F114" s="7" t="s">
        <v>393</v>
      </c>
      <c r="G114" s="7" t="s">
        <v>179</v>
      </c>
      <c r="H114" s="7" t="s">
        <v>455</v>
      </c>
      <c r="I114" s="7" t="s">
        <v>447</v>
      </c>
      <c r="J114" s="7" t="s">
        <v>32</v>
      </c>
      <c r="K114" s="7"/>
      <c r="L114" s="8">
        <v>45841</v>
      </c>
      <c r="M114" s="8"/>
      <c r="N114" s="8"/>
      <c r="O114" s="7" t="s">
        <v>144</v>
      </c>
      <c r="P114" s="6">
        <v>2</v>
      </c>
      <c r="Q114" s="7" t="s">
        <v>220</v>
      </c>
      <c r="R114" s="7" t="str" cm="1">
        <f t="array" aca="1" ref="R114" ca="1">_xll.ELPAR($D$1,D114,1)</f>
        <v>RECALC_0_110_</v>
      </c>
      <c r="S114" s="7" t="str">
        <f ca="1">IF(ISERROR(Proc[[#This Row],[TM1]]),C114,IF(LEFT(Proc[[#This Row],[TM1]],10)=Proc[[#This Row],[Requested]],"MAPPED",C114))</f>
        <v>Waiting for MDGF approval</v>
      </c>
    </row>
    <row r="115" spans="1:19">
      <c r="A115" s="7" t="s">
        <v>214</v>
      </c>
      <c r="B115" s="7" t="s">
        <v>143</v>
      </c>
      <c r="C115" s="7" t="s">
        <v>33</v>
      </c>
      <c r="D115" s="7" t="s">
        <v>456</v>
      </c>
      <c r="E115" s="7" t="s">
        <v>385</v>
      </c>
      <c r="F115" s="7" t="s">
        <v>431</v>
      </c>
      <c r="G115" s="7" t="s">
        <v>179</v>
      </c>
      <c r="H115" s="7" t="s">
        <v>457</v>
      </c>
      <c r="I115" s="7" t="s">
        <v>447</v>
      </c>
      <c r="J115" s="7" t="s">
        <v>32</v>
      </c>
      <c r="K115" s="7"/>
      <c r="L115" s="8">
        <v>45841</v>
      </c>
      <c r="M115" s="8"/>
      <c r="N115" s="8"/>
      <c r="O115" s="7" t="s">
        <v>144</v>
      </c>
      <c r="P115" s="6">
        <v>2</v>
      </c>
      <c r="Q115" s="7" t="s">
        <v>220</v>
      </c>
      <c r="R115" s="7" t="str" cm="1">
        <f t="array" aca="1" ref="R115" ca="1">_xll.ELPAR($D$1,D115,1)</f>
        <v>RECALC_0_60_</v>
      </c>
      <c r="S115" s="7" t="str">
        <f ca="1">IF(ISERROR(Proc[[#This Row],[TM1]]),C115,IF(LEFT(Proc[[#This Row],[TM1]],10)=Proc[[#This Row],[Requested]],"MAPPED",C115))</f>
        <v>Waiting for MDGF approval</v>
      </c>
    </row>
    <row r="116" spans="1:19">
      <c r="A116" s="7" t="s">
        <v>214</v>
      </c>
      <c r="B116" s="7" t="s">
        <v>143</v>
      </c>
      <c r="C116" s="7" t="s">
        <v>33</v>
      </c>
      <c r="D116" s="7" t="s">
        <v>458</v>
      </c>
      <c r="E116" s="7" t="s">
        <v>389</v>
      </c>
      <c r="F116" s="7" t="s">
        <v>407</v>
      </c>
      <c r="G116" s="7" t="s">
        <v>179</v>
      </c>
      <c r="H116" s="7" t="s">
        <v>459</v>
      </c>
      <c r="I116" s="7" t="s">
        <v>447</v>
      </c>
      <c r="J116" s="7" t="s">
        <v>32</v>
      </c>
      <c r="K116" s="7"/>
      <c r="L116" s="8">
        <v>45841</v>
      </c>
      <c r="M116" s="8"/>
      <c r="N116" s="8"/>
      <c r="O116" s="7" t="s">
        <v>144</v>
      </c>
      <c r="P116" s="6">
        <v>2</v>
      </c>
      <c r="Q116" s="7" t="s">
        <v>220</v>
      </c>
      <c r="R116" s="7" t="str" cm="1">
        <f t="array" aca="1" ref="R116" ca="1">_xll.ELPAR($D$1,D116,1)</f>
        <v>RECALC_0_30_</v>
      </c>
      <c r="S116" s="7" t="str">
        <f ca="1">IF(ISERROR(Proc[[#This Row],[TM1]]),C116,IF(LEFT(Proc[[#This Row],[TM1]],10)=Proc[[#This Row],[Requested]],"MAPPED",C116))</f>
        <v>Waiting for MDGF approval</v>
      </c>
    </row>
    <row r="117" spans="1:19">
      <c r="A117" s="7" t="s">
        <v>214</v>
      </c>
      <c r="B117" s="7" t="s">
        <v>143</v>
      </c>
      <c r="C117" s="7" t="s">
        <v>33</v>
      </c>
      <c r="D117" s="7" t="s">
        <v>460</v>
      </c>
      <c r="E117" s="7" t="s">
        <v>385</v>
      </c>
      <c r="F117" s="7" t="s">
        <v>461</v>
      </c>
      <c r="G117" s="7" t="s">
        <v>179</v>
      </c>
      <c r="H117" s="7" t="s">
        <v>462</v>
      </c>
      <c r="I117" s="7" t="s">
        <v>447</v>
      </c>
      <c r="J117" s="7" t="s">
        <v>32</v>
      </c>
      <c r="K117" s="7"/>
      <c r="L117" s="8">
        <v>45841</v>
      </c>
      <c r="M117" s="8"/>
      <c r="N117" s="8"/>
      <c r="O117" s="7" t="s">
        <v>144</v>
      </c>
      <c r="P117" s="6">
        <v>2</v>
      </c>
      <c r="Q117" s="7" t="s">
        <v>220</v>
      </c>
      <c r="R117" s="7" t="str" cm="1">
        <f t="array" aca="1" ref="R117" ca="1">_xll.ELPAR($D$1,D117,1)</f>
        <v>RECALC_0_322_</v>
      </c>
      <c r="S117" s="7" t="str">
        <f ca="1">IF(ISERROR(Proc[[#This Row],[TM1]]),C117,IF(LEFT(Proc[[#This Row],[TM1]],10)=Proc[[#This Row],[Requested]],"MAPPED",C117))</f>
        <v>Waiting for MDGF approval</v>
      </c>
    </row>
    <row r="118" spans="1:19">
      <c r="A118" s="7" t="s">
        <v>214</v>
      </c>
      <c r="B118" s="7" t="s">
        <v>143</v>
      </c>
      <c r="C118" s="7" t="s">
        <v>33</v>
      </c>
      <c r="D118" s="7" t="s">
        <v>463</v>
      </c>
      <c r="E118" s="7" t="s">
        <v>389</v>
      </c>
      <c r="F118" s="7" t="s">
        <v>464</v>
      </c>
      <c r="G118" s="7" t="s">
        <v>179</v>
      </c>
      <c r="H118" s="7" t="s">
        <v>465</v>
      </c>
      <c r="I118" s="7" t="s">
        <v>447</v>
      </c>
      <c r="J118" s="7" t="s">
        <v>32</v>
      </c>
      <c r="K118" s="7"/>
      <c r="L118" s="8">
        <v>45841</v>
      </c>
      <c r="M118" s="8"/>
      <c r="N118" s="8"/>
      <c r="O118" s="7" t="s">
        <v>144</v>
      </c>
      <c r="P118" s="6">
        <v>2</v>
      </c>
      <c r="Q118" s="7" t="s">
        <v>220</v>
      </c>
      <c r="R118" s="7" t="str" cm="1">
        <f t="array" aca="1" ref="R118" ca="1">_xll.ELPAR($D$1,D118,1)</f>
        <v>RECALC_0_293_</v>
      </c>
      <c r="S118" s="7" t="str">
        <f ca="1">IF(ISERROR(Proc[[#This Row],[TM1]]),C118,IF(LEFT(Proc[[#This Row],[TM1]],10)=Proc[[#This Row],[Requested]],"MAPPED",C118))</f>
        <v>Waiting for MDGF approval</v>
      </c>
    </row>
    <row r="119" spans="1:19">
      <c r="A119" s="7" t="s">
        <v>214</v>
      </c>
      <c r="B119" s="7" t="s">
        <v>143</v>
      </c>
      <c r="C119" s="7" t="s">
        <v>33</v>
      </c>
      <c r="D119" s="7" t="s">
        <v>466</v>
      </c>
      <c r="E119" s="7" t="s">
        <v>467</v>
      </c>
      <c r="F119" s="7" t="s">
        <v>468</v>
      </c>
      <c r="G119" s="7" t="s">
        <v>179</v>
      </c>
      <c r="H119" s="7" t="s">
        <v>469</v>
      </c>
      <c r="I119" s="7" t="s">
        <v>447</v>
      </c>
      <c r="J119" s="7" t="s">
        <v>32</v>
      </c>
      <c r="K119" s="7"/>
      <c r="L119" s="8">
        <v>45841</v>
      </c>
      <c r="M119" s="8"/>
      <c r="N119" s="8"/>
      <c r="O119" s="7" t="s">
        <v>144</v>
      </c>
      <c r="P119" s="6">
        <v>2</v>
      </c>
      <c r="Q119" s="7" t="s">
        <v>220</v>
      </c>
      <c r="R119" s="7" t="str" cm="1">
        <f t="array" aca="1" ref="R119" ca="1">_xll.ELPAR($D$1,D119,1)</f>
        <v>RECALC_0_244_</v>
      </c>
      <c r="S119" s="7" t="str">
        <f ca="1">IF(ISERROR(Proc[[#This Row],[TM1]]),C119,IF(LEFT(Proc[[#This Row],[TM1]],10)=Proc[[#This Row],[Requested]],"MAPPED",C119))</f>
        <v>Waiting for MDGF approval</v>
      </c>
    </row>
    <row r="120" spans="1:19">
      <c r="A120" s="7" t="s">
        <v>214</v>
      </c>
      <c r="B120" s="7" t="s">
        <v>143</v>
      </c>
      <c r="C120" s="7" t="s">
        <v>33</v>
      </c>
      <c r="D120" s="7" t="s">
        <v>470</v>
      </c>
      <c r="E120" s="7" t="s">
        <v>389</v>
      </c>
      <c r="F120" s="7" t="s">
        <v>468</v>
      </c>
      <c r="G120" s="7" t="s">
        <v>179</v>
      </c>
      <c r="H120" s="7" t="s">
        <v>471</v>
      </c>
      <c r="I120" s="7" t="s">
        <v>447</v>
      </c>
      <c r="J120" s="7" t="s">
        <v>32</v>
      </c>
      <c r="K120" s="7"/>
      <c r="L120" s="8">
        <v>45841</v>
      </c>
      <c r="M120" s="8"/>
      <c r="N120" s="8"/>
      <c r="O120" s="7" t="s">
        <v>144</v>
      </c>
      <c r="P120" s="6">
        <v>2</v>
      </c>
      <c r="Q120" s="7" t="s">
        <v>220</v>
      </c>
      <c r="R120" s="7" t="str" cm="1">
        <f t="array" aca="1" ref="R120" ca="1">_xll.ELPAR($D$1,D120,1)</f>
        <v>RECALC_0_210_</v>
      </c>
      <c r="S120" s="7" t="str">
        <f ca="1">IF(ISERROR(Proc[[#This Row],[TM1]]),C120,IF(LEFT(Proc[[#This Row],[TM1]],10)=Proc[[#This Row],[Requested]],"MAPPED",C120))</f>
        <v>Waiting for MDGF approval</v>
      </c>
    </row>
    <row r="121" spans="1:19">
      <c r="A121" s="7" t="s">
        <v>214</v>
      </c>
      <c r="B121" s="7" t="s">
        <v>143</v>
      </c>
      <c r="C121" s="7" t="s">
        <v>33</v>
      </c>
      <c r="D121" s="7" t="s">
        <v>472</v>
      </c>
      <c r="E121" s="7" t="s">
        <v>389</v>
      </c>
      <c r="F121" s="7" t="s">
        <v>423</v>
      </c>
      <c r="G121" s="7" t="s">
        <v>179</v>
      </c>
      <c r="H121" s="7" t="s">
        <v>473</v>
      </c>
      <c r="I121" s="7" t="s">
        <v>447</v>
      </c>
      <c r="J121" s="7" t="s">
        <v>32</v>
      </c>
      <c r="K121" s="7"/>
      <c r="L121" s="8">
        <v>45841</v>
      </c>
      <c r="M121" s="8"/>
      <c r="N121" s="8"/>
      <c r="O121" s="7" t="s">
        <v>144</v>
      </c>
      <c r="P121" s="6">
        <v>2</v>
      </c>
      <c r="Q121" s="7" t="s">
        <v>220</v>
      </c>
      <c r="R121" s="7" t="str" cm="1">
        <f t="array" aca="1" ref="R121" ca="1">_xll.ELPAR($D$1,D121,1)</f>
        <v>RECALC_0_168_</v>
      </c>
      <c r="S121" s="7" t="str">
        <f ca="1">IF(ISERROR(Proc[[#This Row],[TM1]]),C121,IF(LEFT(Proc[[#This Row],[TM1]],10)=Proc[[#This Row],[Requested]],"MAPPED",C121))</f>
        <v>Waiting for MDGF approval</v>
      </c>
    </row>
    <row r="122" spans="1:19">
      <c r="A122" s="7" t="s">
        <v>214</v>
      </c>
      <c r="B122" s="7" t="s">
        <v>143</v>
      </c>
      <c r="C122" s="7" t="s">
        <v>33</v>
      </c>
      <c r="D122" s="7" t="s">
        <v>474</v>
      </c>
      <c r="E122" s="7" t="s">
        <v>389</v>
      </c>
      <c r="F122" s="7" t="s">
        <v>468</v>
      </c>
      <c r="G122" s="7" t="s">
        <v>179</v>
      </c>
      <c r="H122" s="7" t="s">
        <v>475</v>
      </c>
      <c r="I122" s="7" t="s">
        <v>447</v>
      </c>
      <c r="J122" s="7" t="s">
        <v>32</v>
      </c>
      <c r="K122" s="7"/>
      <c r="L122" s="8">
        <v>45841</v>
      </c>
      <c r="M122" s="8"/>
      <c r="N122" s="8"/>
      <c r="O122" s="7" t="s">
        <v>144</v>
      </c>
      <c r="P122" s="6">
        <v>2</v>
      </c>
      <c r="Q122" s="7" t="s">
        <v>220</v>
      </c>
      <c r="R122" s="7" t="str" cm="1">
        <f t="array" aca="1" ref="R122" ca="1">_xll.ELPAR($D$1,D122,1)</f>
        <v>RECALC_0_124_</v>
      </c>
      <c r="S122" s="7" t="str">
        <f ca="1">IF(ISERROR(Proc[[#This Row],[TM1]]),C122,IF(LEFT(Proc[[#This Row],[TM1]],10)=Proc[[#This Row],[Requested]],"MAPPED",C122))</f>
        <v>Waiting for MDGF approval</v>
      </c>
    </row>
    <row r="123" spans="1:19">
      <c r="A123" s="7" t="s">
        <v>214</v>
      </c>
      <c r="B123" s="7" t="s">
        <v>143</v>
      </c>
      <c r="C123" s="7" t="s">
        <v>33</v>
      </c>
      <c r="D123" s="7" t="s">
        <v>476</v>
      </c>
      <c r="E123" s="7" t="s">
        <v>389</v>
      </c>
      <c r="F123" s="7" t="s">
        <v>477</v>
      </c>
      <c r="G123" s="7" t="s">
        <v>179</v>
      </c>
      <c r="H123" s="7" t="s">
        <v>478</v>
      </c>
      <c r="I123" s="7" t="s">
        <v>447</v>
      </c>
      <c r="J123" s="7" t="s">
        <v>32</v>
      </c>
      <c r="K123" s="7"/>
      <c r="L123" s="8">
        <v>45841</v>
      </c>
      <c r="M123" s="8"/>
      <c r="N123" s="8"/>
      <c r="O123" s="7" t="s">
        <v>144</v>
      </c>
      <c r="P123" s="6">
        <v>2</v>
      </c>
      <c r="Q123" s="7" t="s">
        <v>220</v>
      </c>
      <c r="R123" s="7" t="str" cm="1">
        <f t="array" aca="1" ref="R123" ca="1">_xll.ELPAR($D$1,D123,1)</f>
        <v>RECALC_0_321_</v>
      </c>
      <c r="S123" s="7" t="str">
        <f ca="1">IF(ISERROR(Proc[[#This Row],[TM1]]),C123,IF(LEFT(Proc[[#This Row],[TM1]],10)=Proc[[#This Row],[Requested]],"MAPPED",C123))</f>
        <v>Waiting for MDGF approval</v>
      </c>
    </row>
    <row r="124" spans="1:19">
      <c r="A124" s="7" t="s">
        <v>214</v>
      </c>
      <c r="B124" s="7" t="s">
        <v>143</v>
      </c>
      <c r="C124" s="7" t="s">
        <v>33</v>
      </c>
      <c r="D124" s="7" t="s">
        <v>479</v>
      </c>
      <c r="E124" s="7" t="s">
        <v>389</v>
      </c>
      <c r="F124" s="7" t="s">
        <v>480</v>
      </c>
      <c r="G124" s="7" t="s">
        <v>179</v>
      </c>
      <c r="H124" s="7" t="s">
        <v>481</v>
      </c>
      <c r="I124" s="7" t="s">
        <v>447</v>
      </c>
      <c r="J124" s="7" t="s">
        <v>32</v>
      </c>
      <c r="K124" s="7"/>
      <c r="L124" s="8">
        <v>45841</v>
      </c>
      <c r="M124" s="8"/>
      <c r="N124" s="8"/>
      <c r="O124" s="7" t="s">
        <v>144</v>
      </c>
      <c r="P124" s="6">
        <v>2</v>
      </c>
      <c r="Q124" s="7" t="s">
        <v>220</v>
      </c>
      <c r="R124" s="7" t="str" cm="1">
        <f t="array" aca="1" ref="R124" ca="1">_xll.ELPAR($D$1,D124,1)</f>
        <v>RECALC_0_292_</v>
      </c>
      <c r="S124" s="7" t="str">
        <f ca="1">IF(ISERROR(Proc[[#This Row],[TM1]]),C124,IF(LEFT(Proc[[#This Row],[TM1]],10)=Proc[[#This Row],[Requested]],"MAPPED",C124))</f>
        <v>Waiting for MDGF approval</v>
      </c>
    </row>
    <row r="125" spans="1:19">
      <c r="A125" s="7" t="s">
        <v>214</v>
      </c>
      <c r="B125" s="7" t="s">
        <v>143</v>
      </c>
      <c r="C125" s="7" t="s">
        <v>33</v>
      </c>
      <c r="D125" s="7" t="s">
        <v>482</v>
      </c>
      <c r="E125" s="7" t="s">
        <v>483</v>
      </c>
      <c r="F125" s="7" t="s">
        <v>484</v>
      </c>
      <c r="G125" s="7" t="s">
        <v>179</v>
      </c>
      <c r="H125" s="7" t="s">
        <v>485</v>
      </c>
      <c r="I125" s="7" t="s">
        <v>447</v>
      </c>
      <c r="J125" s="7" t="s">
        <v>32</v>
      </c>
      <c r="K125" s="7"/>
      <c r="L125" s="8">
        <v>45841</v>
      </c>
      <c r="M125" s="8"/>
      <c r="N125" s="8"/>
      <c r="O125" s="7" t="s">
        <v>144</v>
      </c>
      <c r="P125" s="6">
        <v>2</v>
      </c>
      <c r="Q125" s="7" t="s">
        <v>220</v>
      </c>
      <c r="R125" s="7" t="str" cm="1">
        <f t="array" aca="1" ref="R125" ca="1">_xll.ELPAR($D$1,D125,1)</f>
        <v>RECALC_0_94_</v>
      </c>
      <c r="S125" s="7" t="str">
        <f ca="1">IF(ISERROR(Proc[[#This Row],[TM1]]),C125,IF(LEFT(Proc[[#This Row],[TM1]],10)=Proc[[#This Row],[Requested]],"MAPPED",C125))</f>
        <v>Waiting for MDGF approval</v>
      </c>
    </row>
    <row r="126" spans="1:19">
      <c r="A126" s="7" t="s">
        <v>214</v>
      </c>
      <c r="B126" s="7" t="s">
        <v>143</v>
      </c>
      <c r="C126" s="7" t="s">
        <v>33</v>
      </c>
      <c r="D126" s="7" t="s">
        <v>486</v>
      </c>
      <c r="E126" s="7" t="s">
        <v>389</v>
      </c>
      <c r="F126" s="7" t="s">
        <v>477</v>
      </c>
      <c r="G126" s="7" t="s">
        <v>179</v>
      </c>
      <c r="H126" s="7" t="s">
        <v>487</v>
      </c>
      <c r="I126" s="7" t="s">
        <v>447</v>
      </c>
      <c r="J126" s="7" t="s">
        <v>32</v>
      </c>
      <c r="K126" s="7"/>
      <c r="L126" s="8">
        <v>45841</v>
      </c>
      <c r="M126" s="8"/>
      <c r="N126" s="8"/>
      <c r="O126" s="7" t="s">
        <v>144</v>
      </c>
      <c r="P126" s="6">
        <v>2</v>
      </c>
      <c r="Q126" s="7" t="s">
        <v>220</v>
      </c>
      <c r="R126" s="7" t="str" cm="1">
        <f t="array" aca="1" ref="R126" ca="1">_xll.ELPAR($D$1,D126,1)</f>
        <v>RECALC_0_77_</v>
      </c>
      <c r="S126" s="7" t="str">
        <f ca="1">IF(ISERROR(Proc[[#This Row],[TM1]]),C126,IF(LEFT(Proc[[#This Row],[TM1]],10)=Proc[[#This Row],[Requested]],"MAPPED",C126))</f>
        <v>Waiting for MDGF approval</v>
      </c>
    </row>
    <row r="127" spans="1:19">
      <c r="A127" s="7" t="s">
        <v>214</v>
      </c>
      <c r="B127" s="7" t="s">
        <v>143</v>
      </c>
      <c r="C127" s="7" t="s">
        <v>33</v>
      </c>
      <c r="D127" s="7" t="s">
        <v>488</v>
      </c>
      <c r="E127" s="7" t="s">
        <v>389</v>
      </c>
      <c r="F127" s="7" t="s">
        <v>477</v>
      </c>
      <c r="G127" s="7" t="s">
        <v>179</v>
      </c>
      <c r="H127" s="7" t="s">
        <v>489</v>
      </c>
      <c r="I127" s="7" t="s">
        <v>447</v>
      </c>
      <c r="J127" s="7" t="s">
        <v>32</v>
      </c>
      <c r="K127" s="7"/>
      <c r="L127" s="8">
        <v>45841</v>
      </c>
      <c r="M127" s="8"/>
      <c r="N127" s="8"/>
      <c r="O127" s="7" t="s">
        <v>144</v>
      </c>
      <c r="P127" s="6">
        <v>2</v>
      </c>
      <c r="Q127" s="7" t="s">
        <v>220</v>
      </c>
      <c r="R127" s="7" t="str" cm="1">
        <f t="array" aca="1" ref="R127" ca="1">_xll.ELPAR($D$1,D127,1)</f>
        <v>RECALC_0_29_</v>
      </c>
      <c r="S127" s="7" t="str">
        <f ca="1">IF(ISERROR(Proc[[#This Row],[TM1]]),C127,IF(LEFT(Proc[[#This Row],[TM1]],10)=Proc[[#This Row],[Requested]],"MAPPED",C127))</f>
        <v>Waiting for MDGF approval</v>
      </c>
    </row>
    <row r="128" spans="1:19">
      <c r="A128" s="7" t="s">
        <v>214</v>
      </c>
      <c r="B128" s="7" t="s">
        <v>143</v>
      </c>
      <c r="C128" s="7" t="s">
        <v>33</v>
      </c>
      <c r="D128" s="7" t="s">
        <v>490</v>
      </c>
      <c r="E128" s="7" t="s">
        <v>389</v>
      </c>
      <c r="F128" s="7" t="s">
        <v>477</v>
      </c>
      <c r="G128" s="7" t="s">
        <v>179</v>
      </c>
      <c r="H128" s="7" t="s">
        <v>491</v>
      </c>
      <c r="I128" s="7" t="s">
        <v>447</v>
      </c>
      <c r="J128" s="7" t="s">
        <v>32</v>
      </c>
      <c r="K128" s="7"/>
      <c r="L128" s="8">
        <v>45841</v>
      </c>
      <c r="M128" s="8"/>
      <c r="N128" s="8"/>
      <c r="O128" s="7" t="s">
        <v>144</v>
      </c>
      <c r="P128" s="6">
        <v>2</v>
      </c>
      <c r="Q128" s="7" t="s">
        <v>220</v>
      </c>
      <c r="R128" s="7" t="str" cm="1">
        <f t="array" aca="1" ref="R128" ca="1">_xll.ELPAR($D$1,D128,1)</f>
        <v>RECALC_0_243_</v>
      </c>
      <c r="S128" s="7" t="str">
        <f ca="1">IF(ISERROR(Proc[[#This Row],[TM1]]),C128,IF(LEFT(Proc[[#This Row],[TM1]],10)=Proc[[#This Row],[Requested]],"MAPPED",C128))</f>
        <v>Waiting for MDGF approval</v>
      </c>
    </row>
    <row r="129" spans="1:19">
      <c r="A129" s="7" t="s">
        <v>214</v>
      </c>
      <c r="B129" s="7" t="s">
        <v>143</v>
      </c>
      <c r="C129" s="7" t="s">
        <v>33</v>
      </c>
      <c r="D129" s="7" t="s">
        <v>492</v>
      </c>
      <c r="E129" s="7" t="s">
        <v>389</v>
      </c>
      <c r="F129" s="7" t="s">
        <v>477</v>
      </c>
      <c r="G129" s="7" t="s">
        <v>179</v>
      </c>
      <c r="H129" s="7" t="s">
        <v>493</v>
      </c>
      <c r="I129" s="7" t="s">
        <v>447</v>
      </c>
      <c r="J129" s="7" t="s">
        <v>32</v>
      </c>
      <c r="K129" s="7"/>
      <c r="L129" s="8">
        <v>45841</v>
      </c>
      <c r="M129" s="8"/>
      <c r="N129" s="8"/>
      <c r="O129" s="7" t="s">
        <v>144</v>
      </c>
      <c r="P129" s="6">
        <v>2</v>
      </c>
      <c r="Q129" s="7" t="s">
        <v>220</v>
      </c>
      <c r="R129" s="7" t="str" cm="1">
        <f t="array" aca="1" ref="R129" ca="1">_xll.ELPAR($D$1,D129,1)</f>
        <v>RECALC_0_320_</v>
      </c>
      <c r="S129" s="7" t="str">
        <f ca="1">IF(ISERROR(Proc[[#This Row],[TM1]]),C129,IF(LEFT(Proc[[#This Row],[TM1]],10)=Proc[[#This Row],[Requested]],"MAPPED",C129))</f>
        <v>Waiting for MDGF approval</v>
      </c>
    </row>
    <row r="130" spans="1:19">
      <c r="A130" s="7" t="s">
        <v>214</v>
      </c>
      <c r="B130" s="7" t="s">
        <v>143</v>
      </c>
      <c r="C130" s="7" t="s">
        <v>33</v>
      </c>
      <c r="D130" s="7" t="s">
        <v>494</v>
      </c>
      <c r="E130" s="7" t="s">
        <v>483</v>
      </c>
      <c r="F130" s="7" t="s">
        <v>495</v>
      </c>
      <c r="G130" s="7" t="s">
        <v>179</v>
      </c>
      <c r="H130" s="7" t="s">
        <v>496</v>
      </c>
      <c r="I130" s="7" t="s">
        <v>447</v>
      </c>
      <c r="J130" s="7" t="s">
        <v>32</v>
      </c>
      <c r="K130" s="7"/>
      <c r="L130" s="8">
        <v>45841</v>
      </c>
      <c r="M130" s="8"/>
      <c r="N130" s="8"/>
      <c r="O130" s="7" t="s">
        <v>144</v>
      </c>
      <c r="P130" s="6">
        <v>2</v>
      </c>
      <c r="Q130" s="7" t="s">
        <v>220</v>
      </c>
      <c r="R130" s="7" t="str" cm="1">
        <f t="array" aca="1" ref="R130" ca="1">_xll.ELPAR($D$1,D130,1)</f>
        <v>RECALC_0_291_</v>
      </c>
      <c r="S130" s="7" t="str">
        <f ca="1">IF(ISERROR(Proc[[#This Row],[TM1]]),C130,IF(LEFT(Proc[[#This Row],[TM1]],10)=Proc[[#This Row],[Requested]],"MAPPED",C130))</f>
        <v>Waiting for MDGF approval</v>
      </c>
    </row>
    <row r="131" spans="1:19">
      <c r="A131" s="7" t="s">
        <v>214</v>
      </c>
      <c r="B131" s="7" t="s">
        <v>143</v>
      </c>
      <c r="C131" s="7" t="s">
        <v>33</v>
      </c>
      <c r="D131" s="7" t="s">
        <v>497</v>
      </c>
      <c r="E131" s="7" t="s">
        <v>389</v>
      </c>
      <c r="F131" s="7" t="s">
        <v>477</v>
      </c>
      <c r="G131" s="7" t="s">
        <v>179</v>
      </c>
      <c r="H131" s="7" t="s">
        <v>498</v>
      </c>
      <c r="I131" s="7" t="s">
        <v>447</v>
      </c>
      <c r="J131" s="7" t="s">
        <v>32</v>
      </c>
      <c r="K131" s="7"/>
      <c r="L131" s="8">
        <v>45841</v>
      </c>
      <c r="M131" s="8"/>
      <c r="N131" s="8"/>
      <c r="O131" s="7" t="s">
        <v>144</v>
      </c>
      <c r="P131" s="6">
        <v>2</v>
      </c>
      <c r="Q131" s="7" t="s">
        <v>220</v>
      </c>
      <c r="R131" s="7" t="str" cm="1">
        <f t="array" aca="1" ref="R131" ca="1">_xll.ELPAR($D$1,D131,1)</f>
        <v>RECALC_0_194_</v>
      </c>
      <c r="S131" s="7" t="str">
        <f ca="1">IF(ISERROR(Proc[[#This Row],[TM1]]),C131,IF(LEFT(Proc[[#This Row],[TM1]],10)=Proc[[#This Row],[Requested]],"MAPPED",C131))</f>
        <v>Waiting for MDGF approval</v>
      </c>
    </row>
    <row r="132" spans="1:19">
      <c r="A132" s="7" t="s">
        <v>214</v>
      </c>
      <c r="B132" s="7" t="s">
        <v>143</v>
      </c>
      <c r="C132" s="7" t="s">
        <v>33</v>
      </c>
      <c r="D132" s="7" t="s">
        <v>499</v>
      </c>
      <c r="E132" s="7" t="s">
        <v>389</v>
      </c>
      <c r="F132" s="7" t="s">
        <v>477</v>
      </c>
      <c r="G132" s="7" t="s">
        <v>179</v>
      </c>
      <c r="H132" s="7" t="s">
        <v>500</v>
      </c>
      <c r="I132" s="7" t="s">
        <v>447</v>
      </c>
      <c r="J132" s="7" t="s">
        <v>32</v>
      </c>
      <c r="K132" s="7"/>
      <c r="L132" s="8">
        <v>45841</v>
      </c>
      <c r="M132" s="8"/>
      <c r="N132" s="8"/>
      <c r="O132" s="7" t="s">
        <v>144</v>
      </c>
      <c r="P132" s="6">
        <v>2</v>
      </c>
      <c r="Q132" s="7" t="s">
        <v>220</v>
      </c>
      <c r="R132" s="7" t="str" cm="1">
        <f t="array" aca="1" ref="R132" ca="1">_xll.ELPAR($D$1,D132,1)</f>
        <v>RECALC_0_167_</v>
      </c>
      <c r="S132" s="7" t="str">
        <f ca="1">IF(ISERROR(Proc[[#This Row],[TM1]]),C132,IF(LEFT(Proc[[#This Row],[TM1]],10)=Proc[[#This Row],[Requested]],"MAPPED",C132))</f>
        <v>Waiting for MDGF approval</v>
      </c>
    </row>
    <row r="133" spans="1:19">
      <c r="A133" s="7" t="s">
        <v>214</v>
      </c>
      <c r="B133" s="7" t="s">
        <v>143</v>
      </c>
      <c r="C133" s="7" t="s">
        <v>33</v>
      </c>
      <c r="D133" s="7" t="s">
        <v>501</v>
      </c>
      <c r="E133" s="7" t="s">
        <v>385</v>
      </c>
      <c r="F133" s="7" t="s">
        <v>464</v>
      </c>
      <c r="G133" s="7" t="s">
        <v>179</v>
      </c>
      <c r="H133" s="7" t="s">
        <v>502</v>
      </c>
      <c r="I133" s="7" t="s">
        <v>447</v>
      </c>
      <c r="J133" s="7" t="s">
        <v>32</v>
      </c>
      <c r="K133" s="7"/>
      <c r="L133" s="8">
        <v>45841</v>
      </c>
      <c r="M133" s="8"/>
      <c r="N133" s="8"/>
      <c r="O133" s="7" t="s">
        <v>144</v>
      </c>
      <c r="P133" s="6">
        <v>2</v>
      </c>
      <c r="Q133" s="7" t="s">
        <v>220</v>
      </c>
      <c r="R133" s="7" t="str" cm="1">
        <f t="array" aca="1" ref="R133" ca="1">_xll.ELPAR($D$1,D133,1)</f>
        <v>RECALC_0_123_</v>
      </c>
      <c r="S133" s="7" t="str">
        <f ca="1">IF(ISERROR(Proc[[#This Row],[TM1]]),C133,IF(LEFT(Proc[[#This Row],[TM1]],10)=Proc[[#This Row],[Requested]],"MAPPED",C133))</f>
        <v>Waiting for MDGF approval</v>
      </c>
    </row>
    <row r="134" spans="1:19">
      <c r="A134" s="7" t="s">
        <v>214</v>
      </c>
      <c r="B134" s="7" t="s">
        <v>143</v>
      </c>
      <c r="C134" s="7" t="s">
        <v>33</v>
      </c>
      <c r="D134" s="7" t="s">
        <v>503</v>
      </c>
      <c r="E134" s="7" t="s">
        <v>389</v>
      </c>
      <c r="F134" s="7" t="s">
        <v>477</v>
      </c>
      <c r="G134" s="7" t="s">
        <v>179</v>
      </c>
      <c r="H134" s="7" t="s">
        <v>504</v>
      </c>
      <c r="I134" s="7" t="s">
        <v>447</v>
      </c>
      <c r="J134" s="7" t="s">
        <v>32</v>
      </c>
      <c r="K134" s="7"/>
      <c r="L134" s="8">
        <v>45841</v>
      </c>
      <c r="M134" s="8"/>
      <c r="N134" s="8"/>
      <c r="O134" s="7" t="s">
        <v>144</v>
      </c>
      <c r="P134" s="6">
        <v>2</v>
      </c>
      <c r="Q134" s="7" t="s">
        <v>220</v>
      </c>
      <c r="R134" s="7" t="str" cm="1">
        <f t="array" aca="1" ref="R134" ca="1">_xll.ELPAR($D$1,D134,1)</f>
        <v>RECALC_0_93_</v>
      </c>
      <c r="S134" s="7" t="str">
        <f ca="1">IF(ISERROR(Proc[[#This Row],[TM1]]),C134,IF(LEFT(Proc[[#This Row],[TM1]],10)=Proc[[#This Row],[Requested]],"MAPPED",C134))</f>
        <v>Waiting for MDGF approval</v>
      </c>
    </row>
    <row r="135" spans="1:19">
      <c r="A135" s="7" t="s">
        <v>214</v>
      </c>
      <c r="B135" s="7" t="s">
        <v>143</v>
      </c>
      <c r="C135" s="7" t="s">
        <v>33</v>
      </c>
      <c r="D135" s="7" t="s">
        <v>505</v>
      </c>
      <c r="E135" s="7" t="s">
        <v>389</v>
      </c>
      <c r="F135" s="7" t="s">
        <v>480</v>
      </c>
      <c r="G135" s="7" t="s">
        <v>179</v>
      </c>
      <c r="H135" s="7" t="s">
        <v>506</v>
      </c>
      <c r="I135" s="7" t="s">
        <v>447</v>
      </c>
      <c r="J135" s="7" t="s">
        <v>32</v>
      </c>
      <c r="K135" s="7"/>
      <c r="L135" s="8">
        <v>45841</v>
      </c>
      <c r="M135" s="8"/>
      <c r="N135" s="8"/>
      <c r="O135" s="7" t="s">
        <v>144</v>
      </c>
      <c r="P135" s="6">
        <v>2</v>
      </c>
      <c r="Q135" s="7" t="s">
        <v>220</v>
      </c>
      <c r="R135" s="7" t="str" cm="1">
        <f t="array" aca="1" ref="R135" ca="1">_xll.ELPAR($D$1,D135,1)</f>
        <v>RECALC_0_319_</v>
      </c>
      <c r="S135" s="7" t="str">
        <f ca="1">IF(ISERROR(Proc[[#This Row],[TM1]]),C135,IF(LEFT(Proc[[#This Row],[TM1]],10)=Proc[[#This Row],[Requested]],"MAPPED",C135))</f>
        <v>Waiting for MDGF approval</v>
      </c>
    </row>
    <row r="136" spans="1:19">
      <c r="A136" s="7" t="s">
        <v>214</v>
      </c>
      <c r="B136" s="7" t="s">
        <v>143</v>
      </c>
      <c r="C136" s="7" t="s">
        <v>33</v>
      </c>
      <c r="D136" s="7" t="s">
        <v>507</v>
      </c>
      <c r="E136" s="7" t="s">
        <v>467</v>
      </c>
      <c r="F136" s="7" t="s">
        <v>477</v>
      </c>
      <c r="G136" s="7" t="s">
        <v>179</v>
      </c>
      <c r="H136" s="7" t="s">
        <v>508</v>
      </c>
      <c r="I136" s="7" t="s">
        <v>447</v>
      </c>
      <c r="J136" s="7" t="s">
        <v>32</v>
      </c>
      <c r="K136" s="7"/>
      <c r="L136" s="8">
        <v>45841</v>
      </c>
      <c r="M136" s="8"/>
      <c r="N136" s="8"/>
      <c r="O136" s="7" t="s">
        <v>144</v>
      </c>
      <c r="P136" s="6">
        <v>2</v>
      </c>
      <c r="Q136" s="7" t="s">
        <v>220</v>
      </c>
      <c r="R136" s="7" t="str" cm="1">
        <f t="array" aca="1" ref="R136" ca="1">_xll.ELPAR($D$1,D136,1)</f>
        <v>RECALC_0_290_</v>
      </c>
      <c r="S136" s="7" t="str">
        <f ca="1">IF(ISERROR(Proc[[#This Row],[TM1]]),C136,IF(LEFT(Proc[[#This Row],[TM1]],10)=Proc[[#This Row],[Requested]],"MAPPED",C136))</f>
        <v>Waiting for MDGF approval</v>
      </c>
    </row>
    <row r="137" spans="1:19">
      <c r="A137" s="7" t="s">
        <v>214</v>
      </c>
      <c r="B137" s="7" t="s">
        <v>143</v>
      </c>
      <c r="C137" s="7" t="s">
        <v>33</v>
      </c>
      <c r="D137" s="7" t="s">
        <v>509</v>
      </c>
      <c r="E137" s="7" t="s">
        <v>389</v>
      </c>
      <c r="F137" s="7" t="s">
        <v>477</v>
      </c>
      <c r="G137" s="7" t="s">
        <v>179</v>
      </c>
      <c r="H137" s="7" t="s">
        <v>510</v>
      </c>
      <c r="I137" s="7" t="s">
        <v>447</v>
      </c>
      <c r="J137" s="7" t="s">
        <v>32</v>
      </c>
      <c r="K137" s="7"/>
      <c r="L137" s="8">
        <v>45841</v>
      </c>
      <c r="M137" s="8"/>
      <c r="N137" s="8"/>
      <c r="O137" s="7" t="s">
        <v>144</v>
      </c>
      <c r="P137" s="6">
        <v>2</v>
      </c>
      <c r="Q137" s="7" t="s">
        <v>220</v>
      </c>
      <c r="R137" s="7" t="str" cm="1">
        <f t="array" aca="1" ref="R137" ca="1">_xll.ELPAR($D$1,D137,1)</f>
        <v>RECALC_0_53_</v>
      </c>
      <c r="S137" s="7" t="str">
        <f ca="1">IF(ISERROR(Proc[[#This Row],[TM1]]),C137,IF(LEFT(Proc[[#This Row],[TM1]],10)=Proc[[#This Row],[Requested]],"MAPPED",C137))</f>
        <v>Waiting for MDGF approval</v>
      </c>
    </row>
    <row r="138" spans="1:19">
      <c r="A138" s="7" t="s">
        <v>214</v>
      </c>
      <c r="B138" s="7" t="s">
        <v>143</v>
      </c>
      <c r="C138" s="7" t="s">
        <v>33</v>
      </c>
      <c r="D138" s="7" t="s">
        <v>511</v>
      </c>
      <c r="E138" s="7" t="s">
        <v>389</v>
      </c>
      <c r="F138" s="7" t="s">
        <v>477</v>
      </c>
      <c r="G138" s="7" t="s">
        <v>179</v>
      </c>
      <c r="H138" s="7" t="s">
        <v>512</v>
      </c>
      <c r="I138" s="7" t="s">
        <v>447</v>
      </c>
      <c r="J138" s="7" t="s">
        <v>32</v>
      </c>
      <c r="K138" s="7"/>
      <c r="L138" s="8">
        <v>45841</v>
      </c>
      <c r="M138" s="8"/>
      <c r="N138" s="8"/>
      <c r="O138" s="7" t="s">
        <v>144</v>
      </c>
      <c r="P138" s="6">
        <v>2</v>
      </c>
      <c r="Q138" s="7" t="s">
        <v>220</v>
      </c>
      <c r="R138" s="7" t="str" cm="1">
        <f t="array" aca="1" ref="R138" ca="1">_xll.ELPAR($D$1,D138,1)</f>
        <v>RECALC_0_28_</v>
      </c>
      <c r="S138" s="7" t="str">
        <f ca="1">IF(ISERROR(Proc[[#This Row],[TM1]]),C138,IF(LEFT(Proc[[#This Row],[TM1]],10)=Proc[[#This Row],[Requested]],"MAPPED",C138))</f>
        <v>Waiting for MDGF approval</v>
      </c>
    </row>
    <row r="139" spans="1:19">
      <c r="A139" s="7" t="s">
        <v>214</v>
      </c>
      <c r="B139" s="7" t="s">
        <v>143</v>
      </c>
      <c r="C139" s="7" t="s">
        <v>33</v>
      </c>
      <c r="D139" s="7" t="s">
        <v>513</v>
      </c>
      <c r="E139" s="7" t="s">
        <v>389</v>
      </c>
      <c r="F139" s="7" t="s">
        <v>423</v>
      </c>
      <c r="G139" s="7" t="s">
        <v>179</v>
      </c>
      <c r="H139" s="7" t="s">
        <v>514</v>
      </c>
      <c r="I139" s="7" t="s">
        <v>447</v>
      </c>
      <c r="J139" s="7" t="s">
        <v>32</v>
      </c>
      <c r="K139" s="7"/>
      <c r="L139" s="8">
        <v>45841</v>
      </c>
      <c r="M139" s="8"/>
      <c r="N139" s="8"/>
      <c r="O139" s="7" t="s">
        <v>144</v>
      </c>
      <c r="P139" s="6">
        <v>2</v>
      </c>
      <c r="Q139" s="7" t="s">
        <v>220</v>
      </c>
      <c r="R139" s="7" t="str" cm="1">
        <f t="array" aca="1" ref="R139" ca="1">_xll.ELPAR($D$1,D139,1)</f>
        <v>RECALC_0_242_</v>
      </c>
      <c r="S139" s="7" t="str">
        <f ca="1">IF(ISERROR(Proc[[#This Row],[TM1]]),C139,IF(LEFT(Proc[[#This Row],[TM1]],10)=Proc[[#This Row],[Requested]],"MAPPED",C139))</f>
        <v>Waiting for MDGF approval</v>
      </c>
    </row>
    <row r="140" spans="1:19">
      <c r="A140" s="7" t="s">
        <v>214</v>
      </c>
      <c r="B140" s="7" t="s">
        <v>143</v>
      </c>
      <c r="C140" s="7" t="s">
        <v>33</v>
      </c>
      <c r="D140" s="7" t="s">
        <v>515</v>
      </c>
      <c r="E140" s="7" t="s">
        <v>467</v>
      </c>
      <c r="F140" s="7" t="s">
        <v>423</v>
      </c>
      <c r="G140" s="7" t="s">
        <v>179</v>
      </c>
      <c r="H140" s="7" t="s">
        <v>516</v>
      </c>
      <c r="I140" s="7" t="s">
        <v>447</v>
      </c>
      <c r="J140" s="7" t="s">
        <v>32</v>
      </c>
      <c r="K140" s="7"/>
      <c r="L140" s="8">
        <v>45841</v>
      </c>
      <c r="M140" s="8"/>
      <c r="N140" s="8"/>
      <c r="O140" s="7" t="s">
        <v>144</v>
      </c>
      <c r="P140" s="6">
        <v>2</v>
      </c>
      <c r="Q140" s="7" t="s">
        <v>220</v>
      </c>
      <c r="R140" s="7" t="str" cm="1">
        <f t="array" aca="1" ref="R140" ca="1">_xll.ELPAR($D$1,D140,1)</f>
        <v>RECALC_0_193_</v>
      </c>
      <c r="S140" s="7" t="str">
        <f ca="1">IF(ISERROR(Proc[[#This Row],[TM1]]),C140,IF(LEFT(Proc[[#This Row],[TM1]],10)=Proc[[#This Row],[Requested]],"MAPPED",C140))</f>
        <v>Waiting for MDGF approval</v>
      </c>
    </row>
    <row r="141" spans="1:19">
      <c r="A141" s="7" t="s">
        <v>214</v>
      </c>
      <c r="B141" s="7" t="s">
        <v>143</v>
      </c>
      <c r="C141" s="7" t="s">
        <v>33</v>
      </c>
      <c r="D141" s="7" t="s">
        <v>517</v>
      </c>
      <c r="E141" s="7" t="s">
        <v>467</v>
      </c>
      <c r="F141" s="7" t="s">
        <v>423</v>
      </c>
      <c r="G141" s="7" t="s">
        <v>179</v>
      </c>
      <c r="H141" s="7" t="s">
        <v>518</v>
      </c>
      <c r="I141" s="7" t="s">
        <v>447</v>
      </c>
      <c r="J141" s="7" t="s">
        <v>32</v>
      </c>
      <c r="K141" s="7"/>
      <c r="L141" s="8">
        <v>45841</v>
      </c>
      <c r="M141" s="8"/>
      <c r="N141" s="8"/>
      <c r="O141" s="7" t="s">
        <v>144</v>
      </c>
      <c r="P141" s="6">
        <v>2</v>
      </c>
      <c r="Q141" s="7" t="s">
        <v>220</v>
      </c>
      <c r="R141" s="7" t="str" cm="1">
        <f t="array" aca="1" ref="R141" ca="1">_xll.ELPAR($D$1,D141,1)</f>
        <v>RECALC_0_318_</v>
      </c>
      <c r="S141" s="7" t="str">
        <f ca="1">IF(ISERROR(Proc[[#This Row],[TM1]]),C141,IF(LEFT(Proc[[#This Row],[TM1]],10)=Proc[[#This Row],[Requested]],"MAPPED",C141))</f>
        <v>Waiting for MDGF approval</v>
      </c>
    </row>
    <row r="142" spans="1:19">
      <c r="A142" s="7" t="s">
        <v>214</v>
      </c>
      <c r="B142" s="7" t="s">
        <v>143</v>
      </c>
      <c r="C142" s="7" t="s">
        <v>33</v>
      </c>
      <c r="D142" s="7" t="s">
        <v>519</v>
      </c>
      <c r="E142" s="7" t="s">
        <v>483</v>
      </c>
      <c r="F142" s="7" t="s">
        <v>480</v>
      </c>
      <c r="G142" s="7" t="s">
        <v>179</v>
      </c>
      <c r="H142" s="7" t="s">
        <v>520</v>
      </c>
      <c r="I142" s="7" t="s">
        <v>447</v>
      </c>
      <c r="J142" s="7" t="s">
        <v>32</v>
      </c>
      <c r="K142" s="7"/>
      <c r="L142" s="8">
        <v>45841</v>
      </c>
      <c r="M142" s="8"/>
      <c r="N142" s="8"/>
      <c r="O142" s="7" t="s">
        <v>144</v>
      </c>
      <c r="P142" s="6">
        <v>2</v>
      </c>
      <c r="Q142" s="7" t="s">
        <v>220</v>
      </c>
      <c r="R142" s="7" t="str" cm="1">
        <f t="array" aca="1" ref="R142" ca="1">_xll.ELPAR($D$1,D142,1)</f>
        <v>RECALC_0_289_</v>
      </c>
      <c r="S142" s="7" t="str">
        <f ca="1">IF(ISERROR(Proc[[#This Row],[TM1]]),C142,IF(LEFT(Proc[[#This Row],[TM1]],10)=Proc[[#This Row],[Requested]],"MAPPED",C142))</f>
        <v>Waiting for MDGF approval</v>
      </c>
    </row>
    <row r="143" spans="1:19">
      <c r="A143" s="7" t="s">
        <v>214</v>
      </c>
      <c r="B143" s="7" t="s">
        <v>143</v>
      </c>
      <c r="C143" s="7" t="s">
        <v>33</v>
      </c>
      <c r="D143" s="7" t="s">
        <v>521</v>
      </c>
      <c r="E143" s="7" t="s">
        <v>483</v>
      </c>
      <c r="F143" s="7" t="s">
        <v>495</v>
      </c>
      <c r="G143" s="7" t="s">
        <v>179</v>
      </c>
      <c r="H143" s="7" t="s">
        <v>522</v>
      </c>
      <c r="I143" s="7" t="s">
        <v>447</v>
      </c>
      <c r="J143" s="7" t="s">
        <v>32</v>
      </c>
      <c r="K143" s="7"/>
      <c r="L143" s="8">
        <v>45841</v>
      </c>
      <c r="M143" s="8"/>
      <c r="N143" s="8"/>
      <c r="O143" s="7" t="s">
        <v>144</v>
      </c>
      <c r="P143" s="6">
        <v>2</v>
      </c>
      <c r="Q143" s="7" t="s">
        <v>220</v>
      </c>
      <c r="R143" s="7" t="str" cm="1">
        <f t="array" aca="1" ref="R143" ca="1">_xll.ELPAR($D$1,D143,1)</f>
        <v>RECALC_0_143_</v>
      </c>
      <c r="S143" s="7" t="str">
        <f ca="1">IF(ISERROR(Proc[[#This Row],[TM1]]),C143,IF(LEFT(Proc[[#This Row],[TM1]],10)=Proc[[#This Row],[Requested]],"MAPPED",C143))</f>
        <v>Waiting for MDGF approval</v>
      </c>
    </row>
    <row r="144" spans="1:19">
      <c r="A144" s="7" t="s">
        <v>214</v>
      </c>
      <c r="B144" s="7" t="s">
        <v>143</v>
      </c>
      <c r="C144" s="7" t="s">
        <v>33</v>
      </c>
      <c r="D144" s="7" t="s">
        <v>523</v>
      </c>
      <c r="E144" s="7" t="s">
        <v>483</v>
      </c>
      <c r="F144" s="7" t="s">
        <v>495</v>
      </c>
      <c r="G144" s="7" t="s">
        <v>179</v>
      </c>
      <c r="H144" s="7" t="s">
        <v>524</v>
      </c>
      <c r="I144" s="7" t="s">
        <v>447</v>
      </c>
      <c r="J144" s="7" t="s">
        <v>32</v>
      </c>
      <c r="K144" s="7"/>
      <c r="L144" s="8">
        <v>45841</v>
      </c>
      <c r="M144" s="8"/>
      <c r="N144" s="8"/>
      <c r="O144" s="7" t="s">
        <v>144</v>
      </c>
      <c r="P144" s="6">
        <v>2</v>
      </c>
      <c r="Q144" s="7" t="s">
        <v>220</v>
      </c>
      <c r="R144" s="7" t="str" cm="1">
        <f t="array" aca="1" ref="R144" ca="1">_xll.ELPAR($D$1,D144,1)</f>
        <v>RECALC_0_122_</v>
      </c>
      <c r="S144" s="7" t="str">
        <f ca="1">IF(ISERROR(Proc[[#This Row],[TM1]]),C144,IF(LEFT(Proc[[#This Row],[TM1]],10)=Proc[[#This Row],[Requested]],"MAPPED",C144))</f>
        <v>Waiting for MDGF approval</v>
      </c>
    </row>
    <row r="145" spans="1:19">
      <c r="A145" s="7" t="s">
        <v>214</v>
      </c>
      <c r="B145" s="7" t="s">
        <v>143</v>
      </c>
      <c r="C145" s="7" t="s">
        <v>33</v>
      </c>
      <c r="D145" s="7" t="s">
        <v>525</v>
      </c>
      <c r="E145" s="7" t="s">
        <v>389</v>
      </c>
      <c r="F145" s="7" t="s">
        <v>477</v>
      </c>
      <c r="G145" s="7" t="s">
        <v>179</v>
      </c>
      <c r="H145" s="7" t="s">
        <v>526</v>
      </c>
      <c r="I145" s="7" t="s">
        <v>447</v>
      </c>
      <c r="J145" s="7" t="s">
        <v>32</v>
      </c>
      <c r="K145" s="7"/>
      <c r="L145" s="8">
        <v>45841</v>
      </c>
      <c r="M145" s="8"/>
      <c r="N145" s="8"/>
      <c r="O145" s="7" t="s">
        <v>144</v>
      </c>
      <c r="P145" s="6">
        <v>2</v>
      </c>
      <c r="Q145" s="7" t="s">
        <v>220</v>
      </c>
      <c r="R145" s="7" t="str" cm="1">
        <f t="array" aca="1" ref="R145" ca="1">_xll.ELPAR($D$1,D145,1)</f>
        <v>RECALC_0_92_</v>
      </c>
      <c r="S145" s="7" t="str">
        <f ca="1">IF(ISERROR(Proc[[#This Row],[TM1]]),C145,IF(LEFT(Proc[[#This Row],[TM1]],10)=Proc[[#This Row],[Requested]],"MAPPED",C145))</f>
        <v>Waiting for MDGF approval</v>
      </c>
    </row>
    <row r="146" spans="1:19">
      <c r="A146" s="7" t="s">
        <v>214</v>
      </c>
      <c r="B146" s="7" t="s">
        <v>143</v>
      </c>
      <c r="C146" s="7" t="s">
        <v>33</v>
      </c>
      <c r="D146" s="7" t="s">
        <v>527</v>
      </c>
      <c r="E146" s="7" t="s">
        <v>389</v>
      </c>
      <c r="F146" s="7" t="s">
        <v>477</v>
      </c>
      <c r="G146" s="7" t="s">
        <v>179</v>
      </c>
      <c r="H146" s="7" t="s">
        <v>528</v>
      </c>
      <c r="I146" s="7" t="s">
        <v>447</v>
      </c>
      <c r="J146" s="7" t="s">
        <v>32</v>
      </c>
      <c r="K146" s="7"/>
      <c r="L146" s="8">
        <v>45841</v>
      </c>
      <c r="M146" s="8"/>
      <c r="N146" s="8"/>
      <c r="O146" s="7" t="s">
        <v>144</v>
      </c>
      <c r="P146" s="6">
        <v>2</v>
      </c>
      <c r="Q146" s="7" t="s">
        <v>220</v>
      </c>
      <c r="R146" s="7" t="str" cm="1">
        <f t="array" aca="1" ref="R146" ca="1">_xll.ELPAR($D$1,D146,1)</f>
        <v>RECALC_0_52_</v>
      </c>
      <c r="S146" s="7" t="str">
        <f ca="1">IF(ISERROR(Proc[[#This Row],[TM1]]),C146,IF(LEFT(Proc[[#This Row],[TM1]],10)=Proc[[#This Row],[Requested]],"MAPPED",C146))</f>
        <v>Waiting for MDGF approval</v>
      </c>
    </row>
    <row r="147" spans="1:19">
      <c r="A147" s="7" t="s">
        <v>214</v>
      </c>
      <c r="B147" s="7" t="s">
        <v>143</v>
      </c>
      <c r="C147" s="7" t="s">
        <v>33</v>
      </c>
      <c r="D147" s="7" t="s">
        <v>529</v>
      </c>
      <c r="E147" s="7" t="s">
        <v>467</v>
      </c>
      <c r="F147" s="7" t="s">
        <v>477</v>
      </c>
      <c r="G147" s="7" t="s">
        <v>179</v>
      </c>
      <c r="H147" s="7" t="s">
        <v>530</v>
      </c>
      <c r="I147" s="7" t="s">
        <v>447</v>
      </c>
      <c r="J147" s="7" t="s">
        <v>32</v>
      </c>
      <c r="K147" s="7"/>
      <c r="L147" s="8">
        <v>45841</v>
      </c>
      <c r="M147" s="8"/>
      <c r="N147" s="8"/>
      <c r="O147" s="7" t="s">
        <v>144</v>
      </c>
      <c r="P147" s="6">
        <v>2</v>
      </c>
      <c r="Q147" s="7" t="s">
        <v>220</v>
      </c>
      <c r="R147" s="7" t="str" cm="1">
        <f t="array" aca="1" ref="R147" ca="1">_xll.ELPAR($D$1,D147,1)</f>
        <v>RECALC_0_317_</v>
      </c>
      <c r="S147" s="7" t="str">
        <f ca="1">IF(ISERROR(Proc[[#This Row],[TM1]]),C147,IF(LEFT(Proc[[#This Row],[TM1]],10)=Proc[[#This Row],[Requested]],"MAPPED",C147))</f>
        <v>Waiting for MDGF approval</v>
      </c>
    </row>
    <row r="148" spans="1:19">
      <c r="A148" s="7" t="s">
        <v>214</v>
      </c>
      <c r="B148" s="7" t="s">
        <v>143</v>
      </c>
      <c r="C148" s="7" t="s">
        <v>33</v>
      </c>
      <c r="D148" s="7" t="s">
        <v>531</v>
      </c>
      <c r="E148" s="7" t="s">
        <v>467</v>
      </c>
      <c r="F148" s="7" t="s">
        <v>477</v>
      </c>
      <c r="G148" s="7" t="s">
        <v>179</v>
      </c>
      <c r="H148" s="7" t="s">
        <v>532</v>
      </c>
      <c r="I148" s="7" t="s">
        <v>447</v>
      </c>
      <c r="J148" s="7" t="s">
        <v>32</v>
      </c>
      <c r="K148" s="7"/>
      <c r="L148" s="8">
        <v>45841</v>
      </c>
      <c r="M148" s="8"/>
      <c r="N148" s="8"/>
      <c r="O148" s="7" t="s">
        <v>144</v>
      </c>
      <c r="P148" s="6">
        <v>2</v>
      </c>
      <c r="Q148" s="7" t="s">
        <v>220</v>
      </c>
      <c r="R148" s="7" t="str" cm="1">
        <f t="array" aca="1" ref="R148" ca="1">_xll.ELPAR($D$1,D148,1)</f>
        <v>RECALC_0_288_</v>
      </c>
      <c r="S148" s="7" t="str">
        <f ca="1">IF(ISERROR(Proc[[#This Row],[TM1]]),C148,IF(LEFT(Proc[[#This Row],[TM1]],10)=Proc[[#This Row],[Requested]],"MAPPED",C148))</f>
        <v>Waiting for MDGF approval</v>
      </c>
    </row>
    <row r="149" spans="1:19">
      <c r="A149" s="7" t="s">
        <v>214</v>
      </c>
      <c r="B149" s="7" t="s">
        <v>143</v>
      </c>
      <c r="C149" s="7" t="s">
        <v>33</v>
      </c>
      <c r="D149" s="7" t="s">
        <v>533</v>
      </c>
      <c r="E149" s="7" t="s">
        <v>467</v>
      </c>
      <c r="F149" s="7" t="s">
        <v>477</v>
      </c>
      <c r="G149" s="7" t="s">
        <v>179</v>
      </c>
      <c r="H149" s="7" t="s">
        <v>534</v>
      </c>
      <c r="I149" s="7" t="s">
        <v>447</v>
      </c>
      <c r="J149" s="7" t="s">
        <v>32</v>
      </c>
      <c r="K149" s="7"/>
      <c r="L149" s="8">
        <v>45841</v>
      </c>
      <c r="M149" s="8"/>
      <c r="N149" s="8"/>
      <c r="O149" s="7" t="s">
        <v>144</v>
      </c>
      <c r="P149" s="6">
        <v>2</v>
      </c>
      <c r="Q149" s="7" t="s">
        <v>220</v>
      </c>
      <c r="R149" s="7" t="str" cm="1">
        <f t="array" aca="1" ref="R149" ca="1">_xll.ELPAR($D$1,D149,1)</f>
        <v>RECALC_0_250_</v>
      </c>
      <c r="S149" s="7" t="str">
        <f ca="1">IF(ISERROR(Proc[[#This Row],[TM1]]),C149,IF(LEFT(Proc[[#This Row],[TM1]],10)=Proc[[#This Row],[Requested]],"MAPPED",C149))</f>
        <v>Waiting for MDGF approval</v>
      </c>
    </row>
    <row r="150" spans="1:19">
      <c r="A150" s="7" t="s">
        <v>214</v>
      </c>
      <c r="B150" s="7" t="s">
        <v>143</v>
      </c>
      <c r="C150" s="7" t="s">
        <v>33</v>
      </c>
      <c r="D150" s="7" t="s">
        <v>535</v>
      </c>
      <c r="E150" s="7" t="s">
        <v>467</v>
      </c>
      <c r="F150" s="7" t="s">
        <v>477</v>
      </c>
      <c r="G150" s="7" t="s">
        <v>179</v>
      </c>
      <c r="H150" s="7" t="s">
        <v>536</v>
      </c>
      <c r="I150" s="7" t="s">
        <v>447</v>
      </c>
      <c r="J150" s="7" t="s">
        <v>32</v>
      </c>
      <c r="K150" s="7"/>
      <c r="L150" s="8">
        <v>45841</v>
      </c>
      <c r="M150" s="8"/>
      <c r="N150" s="8"/>
      <c r="O150" s="7" t="s">
        <v>144</v>
      </c>
      <c r="P150" s="6">
        <v>2</v>
      </c>
      <c r="Q150" s="7" t="s">
        <v>220</v>
      </c>
      <c r="R150" s="7" t="str" cm="1">
        <f t="array" aca="1" ref="R150" ca="1">_xll.ELPAR($D$1,D150,1)</f>
        <v>RECALC_0_241_</v>
      </c>
      <c r="S150" s="7" t="str">
        <f ca="1">IF(ISERROR(Proc[[#This Row],[TM1]]),C150,IF(LEFT(Proc[[#This Row],[TM1]],10)=Proc[[#This Row],[Requested]],"MAPPED",C150))</f>
        <v>Waiting for MDGF approval</v>
      </c>
    </row>
    <row r="151" spans="1:19">
      <c r="A151" s="7" t="s">
        <v>214</v>
      </c>
      <c r="B151" s="7" t="s">
        <v>143</v>
      </c>
      <c r="C151" s="7" t="s">
        <v>33</v>
      </c>
      <c r="D151" s="7" t="s">
        <v>537</v>
      </c>
      <c r="E151" s="7" t="s">
        <v>389</v>
      </c>
      <c r="F151" s="7" t="s">
        <v>477</v>
      </c>
      <c r="G151" s="7" t="s">
        <v>179</v>
      </c>
      <c r="H151" s="7" t="s">
        <v>538</v>
      </c>
      <c r="I151" s="7" t="s">
        <v>447</v>
      </c>
      <c r="J151" s="7" t="s">
        <v>32</v>
      </c>
      <c r="K151" s="7"/>
      <c r="L151" s="8">
        <v>45841</v>
      </c>
      <c r="M151" s="8"/>
      <c r="N151" s="8"/>
      <c r="O151" s="7" t="s">
        <v>144</v>
      </c>
      <c r="P151" s="6">
        <v>2</v>
      </c>
      <c r="Q151" s="7" t="s">
        <v>220</v>
      </c>
      <c r="R151" s="7" t="str" cm="1">
        <f t="array" aca="1" ref="R151" ca="1">_xll.ELPAR($D$1,D151,1)</f>
        <v>RECALC_0_192_</v>
      </c>
      <c r="S151" s="7" t="str">
        <f ca="1">IF(ISERROR(Proc[[#This Row],[TM1]]),C151,IF(LEFT(Proc[[#This Row],[TM1]],10)=Proc[[#This Row],[Requested]],"MAPPED",C151))</f>
        <v>Waiting for MDGF approval</v>
      </c>
    </row>
    <row r="152" spans="1:19">
      <c r="A152" s="7" t="s">
        <v>214</v>
      </c>
      <c r="B152" s="7" t="s">
        <v>143</v>
      </c>
      <c r="C152" s="7" t="s">
        <v>33</v>
      </c>
      <c r="D152" s="7" t="s">
        <v>539</v>
      </c>
      <c r="E152" s="7" t="s">
        <v>389</v>
      </c>
      <c r="F152" s="7" t="s">
        <v>477</v>
      </c>
      <c r="G152" s="7" t="s">
        <v>179</v>
      </c>
      <c r="H152" s="7" t="s">
        <v>540</v>
      </c>
      <c r="I152" s="7" t="s">
        <v>447</v>
      </c>
      <c r="J152" s="7" t="s">
        <v>32</v>
      </c>
      <c r="K152" s="7"/>
      <c r="L152" s="8">
        <v>45841</v>
      </c>
      <c r="M152" s="8"/>
      <c r="N152" s="8"/>
      <c r="O152" s="7" t="s">
        <v>144</v>
      </c>
      <c r="P152" s="6">
        <v>2</v>
      </c>
      <c r="Q152" s="7" t="s">
        <v>220</v>
      </c>
      <c r="R152" s="7" t="str" cm="1">
        <f t="array" aca="1" ref="R152" ca="1">_xll.ELPAR($D$1,D152,1)</f>
        <v>RECALC_0_142_</v>
      </c>
      <c r="S152" s="7" t="str">
        <f ca="1">IF(ISERROR(Proc[[#This Row],[TM1]]),C152,IF(LEFT(Proc[[#This Row],[TM1]],10)=Proc[[#This Row],[Requested]],"MAPPED",C152))</f>
        <v>Waiting for MDGF approval</v>
      </c>
    </row>
    <row r="153" spans="1:19">
      <c r="A153" s="7" t="s">
        <v>214</v>
      </c>
      <c r="B153" s="7" t="s">
        <v>143</v>
      </c>
      <c r="C153" s="7" t="s">
        <v>33</v>
      </c>
      <c r="D153" s="7" t="s">
        <v>541</v>
      </c>
      <c r="E153" s="7" t="s">
        <v>389</v>
      </c>
      <c r="F153" s="7" t="s">
        <v>423</v>
      </c>
      <c r="G153" s="7" t="s">
        <v>179</v>
      </c>
      <c r="H153" s="7" t="s">
        <v>542</v>
      </c>
      <c r="I153" s="7" t="s">
        <v>447</v>
      </c>
      <c r="J153" s="7" t="s">
        <v>32</v>
      </c>
      <c r="K153" s="7"/>
      <c r="L153" s="8">
        <v>45841</v>
      </c>
      <c r="M153" s="8"/>
      <c r="N153" s="8"/>
      <c r="O153" s="7" t="s">
        <v>144</v>
      </c>
      <c r="P153" s="6">
        <v>2</v>
      </c>
      <c r="Q153" s="7" t="s">
        <v>220</v>
      </c>
      <c r="R153" s="7" t="str" cm="1">
        <f t="array" aca="1" ref="R153" ca="1">_xll.ELPAR($D$1,D153,1)</f>
        <v>RECALC_0_316_</v>
      </c>
      <c r="S153" s="7" t="str">
        <f ca="1">IF(ISERROR(Proc[[#This Row],[TM1]]),C153,IF(LEFT(Proc[[#This Row],[TM1]],10)=Proc[[#This Row],[Requested]],"MAPPED",C153))</f>
        <v>Waiting for MDGF approval</v>
      </c>
    </row>
    <row r="154" spans="1:19">
      <c r="A154" s="7" t="s">
        <v>214</v>
      </c>
      <c r="B154" s="7" t="s">
        <v>143</v>
      </c>
      <c r="C154" s="7" t="s">
        <v>33</v>
      </c>
      <c r="D154" s="7" t="s">
        <v>543</v>
      </c>
      <c r="E154" s="7" t="s">
        <v>389</v>
      </c>
      <c r="F154" s="7" t="s">
        <v>464</v>
      </c>
      <c r="G154" s="7" t="s">
        <v>179</v>
      </c>
      <c r="H154" s="7" t="s">
        <v>544</v>
      </c>
      <c r="I154" s="7" t="s">
        <v>447</v>
      </c>
      <c r="J154" s="7" t="s">
        <v>32</v>
      </c>
      <c r="K154" s="7"/>
      <c r="L154" s="8">
        <v>45841</v>
      </c>
      <c r="M154" s="8"/>
      <c r="N154" s="8"/>
      <c r="O154" s="7" t="s">
        <v>144</v>
      </c>
      <c r="P154" s="6">
        <v>2</v>
      </c>
      <c r="Q154" s="7" t="s">
        <v>220</v>
      </c>
      <c r="R154" s="7" t="str" cm="1">
        <f t="array" aca="1" ref="R154" ca="1">_xll.ELPAR($D$1,D154,1)</f>
        <v>RECALC_0_287_</v>
      </c>
      <c r="S154" s="7" t="str">
        <f ca="1">IF(ISERROR(Proc[[#This Row],[TM1]]),C154,IF(LEFT(Proc[[#This Row],[TM1]],10)=Proc[[#This Row],[Requested]],"MAPPED",C154))</f>
        <v>Waiting for MDGF approval</v>
      </c>
    </row>
    <row r="155" spans="1:19">
      <c r="A155" s="7" t="s">
        <v>214</v>
      </c>
      <c r="B155" s="7" t="s">
        <v>143</v>
      </c>
      <c r="C155" s="7" t="s">
        <v>33</v>
      </c>
      <c r="D155" s="7" t="s">
        <v>545</v>
      </c>
      <c r="E155" s="7" t="s">
        <v>467</v>
      </c>
      <c r="F155" s="7" t="s">
        <v>477</v>
      </c>
      <c r="G155" s="7" t="s">
        <v>179</v>
      </c>
      <c r="H155" s="7" t="s">
        <v>546</v>
      </c>
      <c r="I155" s="7" t="s">
        <v>447</v>
      </c>
      <c r="J155" s="7" t="s">
        <v>32</v>
      </c>
      <c r="K155" s="7"/>
      <c r="L155" s="8">
        <v>45841</v>
      </c>
      <c r="M155" s="8"/>
      <c r="N155" s="8"/>
      <c r="O155" s="7" t="s">
        <v>144</v>
      </c>
      <c r="P155" s="6">
        <v>2</v>
      </c>
      <c r="Q155" s="7" t="s">
        <v>220</v>
      </c>
      <c r="R155" s="7" t="str" cm="1">
        <f t="array" aca="1" ref="R155" ca="1">_xll.ELPAR($D$1,D155,1)</f>
        <v>RECALC_0_109_</v>
      </c>
      <c r="S155" s="7" t="str">
        <f ca="1">IF(ISERROR(Proc[[#This Row],[TM1]]),C155,IF(LEFT(Proc[[#This Row],[TM1]],10)=Proc[[#This Row],[Requested]],"MAPPED",C155))</f>
        <v>Waiting for MDGF approval</v>
      </c>
    </row>
    <row r="156" spans="1:19">
      <c r="A156" s="7" t="s">
        <v>214</v>
      </c>
      <c r="B156" s="7" t="s">
        <v>143</v>
      </c>
      <c r="C156" s="7" t="s">
        <v>33</v>
      </c>
      <c r="D156" s="7" t="s">
        <v>547</v>
      </c>
      <c r="E156" s="7" t="s">
        <v>483</v>
      </c>
      <c r="F156" s="7" t="s">
        <v>495</v>
      </c>
      <c r="G156" s="7" t="s">
        <v>179</v>
      </c>
      <c r="H156" s="7" t="s">
        <v>548</v>
      </c>
      <c r="I156" s="7" t="s">
        <v>447</v>
      </c>
      <c r="J156" s="7" t="s">
        <v>32</v>
      </c>
      <c r="K156" s="7"/>
      <c r="L156" s="8">
        <v>45841</v>
      </c>
      <c r="M156" s="8"/>
      <c r="N156" s="8"/>
      <c r="O156" s="7" t="s">
        <v>144</v>
      </c>
      <c r="P156" s="6">
        <v>2</v>
      </c>
      <c r="Q156" s="7" t="s">
        <v>220</v>
      </c>
      <c r="R156" s="7" t="str" cm="1">
        <f t="array" aca="1" ref="R156" ca="1">_xll.ELPAR($D$1,D156,1)</f>
        <v>RECALC_0_91_</v>
      </c>
      <c r="S156" s="7" t="str">
        <f ca="1">IF(ISERROR(Proc[[#This Row],[TM1]]),C156,IF(LEFT(Proc[[#This Row],[TM1]],10)=Proc[[#This Row],[Requested]],"MAPPED",C156))</f>
        <v>Waiting for MDGF approval</v>
      </c>
    </row>
    <row r="157" spans="1:19">
      <c r="A157" s="7" t="s">
        <v>214</v>
      </c>
      <c r="B157" s="7" t="s">
        <v>143</v>
      </c>
      <c r="C157" s="7" t="s">
        <v>33</v>
      </c>
      <c r="D157" s="7" t="s">
        <v>549</v>
      </c>
      <c r="E157" s="7" t="s">
        <v>483</v>
      </c>
      <c r="F157" s="7" t="s">
        <v>495</v>
      </c>
      <c r="G157" s="7" t="s">
        <v>179</v>
      </c>
      <c r="H157" s="7" t="s">
        <v>550</v>
      </c>
      <c r="I157" s="7" t="s">
        <v>447</v>
      </c>
      <c r="J157" s="7" t="s">
        <v>32</v>
      </c>
      <c r="K157" s="7"/>
      <c r="L157" s="8">
        <v>45841</v>
      </c>
      <c r="M157" s="8"/>
      <c r="N157" s="8"/>
      <c r="O157" s="7" t="s">
        <v>144</v>
      </c>
      <c r="P157" s="6">
        <v>2</v>
      </c>
      <c r="Q157" s="7" t="s">
        <v>220</v>
      </c>
      <c r="R157" s="7" t="str" cm="1">
        <f t="array" aca="1" ref="R157" ca="1">_xll.ELPAR($D$1,D157,1)</f>
        <v>RECALC_0_51_</v>
      </c>
      <c r="S157" s="7" t="str">
        <f ca="1">IF(ISERROR(Proc[[#This Row],[TM1]]),C157,IF(LEFT(Proc[[#This Row],[TM1]],10)=Proc[[#This Row],[Requested]],"MAPPED",C157))</f>
        <v>Waiting for MDGF approval</v>
      </c>
    </row>
    <row r="158" spans="1:19">
      <c r="A158" s="7" t="s">
        <v>214</v>
      </c>
      <c r="B158" s="7" t="s">
        <v>143</v>
      </c>
      <c r="C158" s="7" t="s">
        <v>33</v>
      </c>
      <c r="D158" s="7" t="s">
        <v>551</v>
      </c>
      <c r="E158" s="7" t="s">
        <v>483</v>
      </c>
      <c r="F158" s="7" t="s">
        <v>495</v>
      </c>
      <c r="G158" s="7" t="s">
        <v>179</v>
      </c>
      <c r="H158" s="7" t="s">
        <v>552</v>
      </c>
      <c r="I158" s="7" t="s">
        <v>447</v>
      </c>
      <c r="J158" s="7" t="s">
        <v>32</v>
      </c>
      <c r="K158" s="7"/>
      <c r="L158" s="8">
        <v>45841</v>
      </c>
      <c r="M158" s="8"/>
      <c r="N158" s="8"/>
      <c r="O158" s="7" t="s">
        <v>144</v>
      </c>
      <c r="P158" s="6">
        <v>2</v>
      </c>
      <c r="Q158" s="7" t="s">
        <v>220</v>
      </c>
      <c r="R158" s="7" t="str" cm="1">
        <f t="array" aca="1" ref="R158" ca="1">_xll.ELPAR($D$1,D158,1)</f>
        <v>RECALC_0_249_</v>
      </c>
      <c r="S158" s="7" t="str">
        <f ca="1">IF(ISERROR(Proc[[#This Row],[TM1]]),C158,IF(LEFT(Proc[[#This Row],[TM1]],10)=Proc[[#This Row],[Requested]],"MAPPED",C158))</f>
        <v>Waiting for MDGF approval</v>
      </c>
    </row>
    <row r="159" spans="1:19">
      <c r="A159" s="7" t="s">
        <v>214</v>
      </c>
      <c r="B159" s="7" t="s">
        <v>143</v>
      </c>
      <c r="C159" s="7" t="s">
        <v>33</v>
      </c>
      <c r="D159" s="7" t="s">
        <v>553</v>
      </c>
      <c r="E159" s="7" t="s">
        <v>483</v>
      </c>
      <c r="F159" s="7" t="s">
        <v>554</v>
      </c>
      <c r="G159" s="7" t="s">
        <v>179</v>
      </c>
      <c r="H159" s="7" t="s">
        <v>555</v>
      </c>
      <c r="I159" s="7" t="s">
        <v>447</v>
      </c>
      <c r="J159" s="7" t="s">
        <v>32</v>
      </c>
      <c r="K159" s="7"/>
      <c r="L159" s="8">
        <v>45841</v>
      </c>
      <c r="M159" s="8"/>
      <c r="N159" s="8"/>
      <c r="O159" s="7" t="s">
        <v>144</v>
      </c>
      <c r="P159" s="6">
        <v>2</v>
      </c>
      <c r="Q159" s="7" t="s">
        <v>220</v>
      </c>
      <c r="R159" s="7" t="str" cm="1">
        <f t="array" aca="1" ref="R159" ca="1">_xll.ELPAR($D$1,D159,1)</f>
        <v>RECALC_0_315_</v>
      </c>
      <c r="S159" s="7" t="str">
        <f ca="1">IF(ISERROR(Proc[[#This Row],[TM1]]),C159,IF(LEFT(Proc[[#This Row],[TM1]],10)=Proc[[#This Row],[Requested]],"MAPPED",C159))</f>
        <v>Waiting for MDGF approval</v>
      </c>
    </row>
    <row r="160" spans="1:19">
      <c r="A160" s="7" t="s">
        <v>214</v>
      </c>
      <c r="B160" s="7" t="s">
        <v>143</v>
      </c>
      <c r="C160" s="7" t="s">
        <v>33</v>
      </c>
      <c r="D160" s="7" t="s">
        <v>556</v>
      </c>
      <c r="E160" s="7" t="s">
        <v>389</v>
      </c>
      <c r="F160" s="7" t="s">
        <v>477</v>
      </c>
      <c r="G160" s="7" t="s">
        <v>179</v>
      </c>
      <c r="H160" s="7" t="s">
        <v>557</v>
      </c>
      <c r="I160" s="7" t="s">
        <v>447</v>
      </c>
      <c r="J160" s="7" t="s">
        <v>32</v>
      </c>
      <c r="K160" s="7"/>
      <c r="L160" s="8">
        <v>45841</v>
      </c>
      <c r="M160" s="8"/>
      <c r="N160" s="8"/>
      <c r="O160" s="7" t="s">
        <v>144</v>
      </c>
      <c r="P160" s="6">
        <v>2</v>
      </c>
      <c r="Q160" s="7" t="s">
        <v>220</v>
      </c>
      <c r="R160" s="7" t="str" cm="1">
        <f t="array" aca="1" ref="R160" ca="1">_xll.ELPAR($D$1,D160,1)</f>
        <v>RECALC_0_286_</v>
      </c>
      <c r="S160" s="7" t="str">
        <f ca="1">IF(ISERROR(Proc[[#This Row],[TM1]]),C160,IF(LEFT(Proc[[#This Row],[TM1]],10)=Proc[[#This Row],[Requested]],"MAPPED",C160))</f>
        <v>Waiting for MDGF approval</v>
      </c>
    </row>
    <row r="161" spans="1:19">
      <c r="A161" s="7" t="s">
        <v>214</v>
      </c>
      <c r="B161" s="7" t="s">
        <v>143</v>
      </c>
      <c r="C161" s="7" t="s">
        <v>33</v>
      </c>
      <c r="D161" s="7" t="s">
        <v>558</v>
      </c>
      <c r="E161" s="7" t="s">
        <v>385</v>
      </c>
      <c r="F161" s="7" t="s">
        <v>495</v>
      </c>
      <c r="G161" s="7" t="s">
        <v>179</v>
      </c>
      <c r="H161" s="7" t="s">
        <v>559</v>
      </c>
      <c r="I161" s="7" t="s">
        <v>447</v>
      </c>
      <c r="J161" s="7" t="s">
        <v>32</v>
      </c>
      <c r="K161" s="7"/>
      <c r="L161" s="8">
        <v>45841</v>
      </c>
      <c r="M161" s="8"/>
      <c r="N161" s="8"/>
      <c r="O161" s="7" t="s">
        <v>144</v>
      </c>
      <c r="P161" s="6">
        <v>2</v>
      </c>
      <c r="Q161" s="7" t="s">
        <v>220</v>
      </c>
      <c r="R161" s="7" t="str" cm="1">
        <f t="array" aca="1" ref="R161" ca="1">_xll.ELPAR($D$1,D161,1)</f>
        <v>RECALC_0_209_</v>
      </c>
      <c r="S161" s="7" t="str">
        <f ca="1">IF(ISERROR(Proc[[#This Row],[TM1]]),C161,IF(LEFT(Proc[[#This Row],[TM1]],10)=Proc[[#This Row],[Requested]],"MAPPED",C161))</f>
        <v>Waiting for MDGF approval</v>
      </c>
    </row>
    <row r="162" spans="1:19">
      <c r="A162" s="7" t="s">
        <v>214</v>
      </c>
      <c r="B162" s="7" t="s">
        <v>143</v>
      </c>
      <c r="C162" s="7" t="s">
        <v>33</v>
      </c>
      <c r="D162" s="7" t="s">
        <v>560</v>
      </c>
      <c r="E162" s="7" t="s">
        <v>385</v>
      </c>
      <c r="F162" s="7" t="s">
        <v>393</v>
      </c>
      <c r="G162" s="7" t="s">
        <v>179</v>
      </c>
      <c r="H162" s="7" t="s">
        <v>561</v>
      </c>
      <c r="I162" s="7" t="s">
        <v>447</v>
      </c>
      <c r="J162" s="7" t="s">
        <v>32</v>
      </c>
      <c r="K162" s="7"/>
      <c r="L162" s="8">
        <v>45841</v>
      </c>
      <c r="M162" s="8"/>
      <c r="N162" s="8"/>
      <c r="O162" s="7" t="s">
        <v>144</v>
      </c>
      <c r="P162" s="6">
        <v>2</v>
      </c>
      <c r="Q162" s="7" t="s">
        <v>220</v>
      </c>
      <c r="R162" s="7" t="str" cm="1">
        <f t="array" aca="1" ref="R162" ca="1">_xll.ELPAR($D$1,D162,1)</f>
        <v>RECALC_0_191_</v>
      </c>
      <c r="S162" s="7" t="str">
        <f ca="1">IF(ISERROR(Proc[[#This Row],[TM1]]),C162,IF(LEFT(Proc[[#This Row],[TM1]],10)=Proc[[#This Row],[Requested]],"MAPPED",C162))</f>
        <v>Waiting for MDGF approval</v>
      </c>
    </row>
    <row r="163" spans="1:19">
      <c r="A163" s="7" t="s">
        <v>214</v>
      </c>
      <c r="B163" s="7" t="s">
        <v>143</v>
      </c>
      <c r="C163" s="7" t="s">
        <v>33</v>
      </c>
      <c r="D163" s="7" t="s">
        <v>562</v>
      </c>
      <c r="E163" s="7" t="s">
        <v>483</v>
      </c>
      <c r="F163" s="7" t="s">
        <v>495</v>
      </c>
      <c r="G163" s="7" t="s">
        <v>179</v>
      </c>
      <c r="H163" s="7" t="s">
        <v>563</v>
      </c>
      <c r="I163" s="7" t="s">
        <v>447</v>
      </c>
      <c r="J163" s="7" t="s">
        <v>32</v>
      </c>
      <c r="K163" s="7"/>
      <c r="L163" s="8">
        <v>45841</v>
      </c>
      <c r="M163" s="8"/>
      <c r="N163" s="8"/>
      <c r="O163" s="7" t="s">
        <v>144</v>
      </c>
      <c r="P163" s="6">
        <v>2</v>
      </c>
      <c r="Q163" s="7" t="s">
        <v>220</v>
      </c>
      <c r="R163" s="7" t="str" cm="1">
        <f t="array" aca="1" ref="R163" ca="1">_xll.ELPAR($D$1,D163,1)</f>
        <v>RECALC_0_141_</v>
      </c>
      <c r="S163" s="7" t="str">
        <f ca="1">IF(ISERROR(Proc[[#This Row],[TM1]]),C163,IF(LEFT(Proc[[#This Row],[TM1]],10)=Proc[[#This Row],[Requested]],"MAPPED",C163))</f>
        <v>Waiting for MDGF approval</v>
      </c>
    </row>
    <row r="164" spans="1:19">
      <c r="A164" s="7" t="s">
        <v>214</v>
      </c>
      <c r="B164" s="7" t="s">
        <v>143</v>
      </c>
      <c r="C164" s="7" t="s">
        <v>33</v>
      </c>
      <c r="D164" s="7" t="s">
        <v>564</v>
      </c>
      <c r="E164" s="7" t="s">
        <v>385</v>
      </c>
      <c r="F164" s="7" t="s">
        <v>565</v>
      </c>
      <c r="G164" s="7" t="s">
        <v>179</v>
      </c>
      <c r="H164" s="7" t="s">
        <v>566</v>
      </c>
      <c r="I164" s="7" t="s">
        <v>447</v>
      </c>
      <c r="J164" s="7" t="s">
        <v>32</v>
      </c>
      <c r="K164" s="7"/>
      <c r="L164" s="8">
        <v>45841</v>
      </c>
      <c r="M164" s="8"/>
      <c r="N164" s="8"/>
      <c r="O164" s="7" t="s">
        <v>144</v>
      </c>
      <c r="P164" s="6">
        <v>2</v>
      </c>
      <c r="Q164" s="7" t="s">
        <v>220</v>
      </c>
      <c r="R164" s="7" t="str" cm="1">
        <f t="array" aca="1" ref="R164" ca="1">_xll.ELPAR($D$1,D164,1)</f>
        <v>RECALC_0_108_</v>
      </c>
      <c r="S164" s="7" t="str">
        <f ca="1">IF(ISERROR(Proc[[#This Row],[TM1]]),C164,IF(LEFT(Proc[[#This Row],[TM1]],10)=Proc[[#This Row],[Requested]],"MAPPED",C164))</f>
        <v>Waiting for MDGF approval</v>
      </c>
    </row>
    <row r="165" spans="1:19">
      <c r="A165" s="7" t="s">
        <v>214</v>
      </c>
      <c r="B165" s="7" t="s">
        <v>143</v>
      </c>
      <c r="C165" s="7" t="s">
        <v>33</v>
      </c>
      <c r="D165" s="7" t="s">
        <v>567</v>
      </c>
      <c r="E165" s="7" t="s">
        <v>568</v>
      </c>
      <c r="F165" s="7" t="s">
        <v>569</v>
      </c>
      <c r="G165" s="7" t="s">
        <v>179</v>
      </c>
      <c r="H165" s="7" t="s">
        <v>570</v>
      </c>
      <c r="I165" s="7" t="s">
        <v>447</v>
      </c>
      <c r="J165" s="7" t="s">
        <v>32</v>
      </c>
      <c r="K165" s="7"/>
      <c r="L165" s="8">
        <v>45841</v>
      </c>
      <c r="M165" s="8"/>
      <c r="N165" s="8"/>
      <c r="O165" s="7" t="s">
        <v>144</v>
      </c>
      <c r="P165" s="6">
        <v>2</v>
      </c>
      <c r="Q165" s="7" t="s">
        <v>220</v>
      </c>
      <c r="R165" s="7" t="str" cm="1">
        <f t="array" aca="1" ref="R165" ca="1">_xll.ELPAR($D$1,D165,1)</f>
        <v>RECALC_0_314_</v>
      </c>
      <c r="S165" s="7" t="str">
        <f ca="1">IF(ISERROR(Proc[[#This Row],[TM1]]),C165,IF(LEFT(Proc[[#This Row],[TM1]],10)=Proc[[#This Row],[Requested]],"MAPPED",C165))</f>
        <v>Waiting for MDGF approval</v>
      </c>
    </row>
    <row r="166" spans="1:19">
      <c r="A166" s="7" t="s">
        <v>214</v>
      </c>
      <c r="B166" s="7" t="s">
        <v>143</v>
      </c>
      <c r="C166" s="7" t="s">
        <v>33</v>
      </c>
      <c r="D166" s="7" t="s">
        <v>571</v>
      </c>
      <c r="E166" s="7" t="s">
        <v>568</v>
      </c>
      <c r="F166" s="7" t="s">
        <v>569</v>
      </c>
      <c r="G166" s="7" t="s">
        <v>179</v>
      </c>
      <c r="H166" s="7" t="s">
        <v>572</v>
      </c>
      <c r="I166" s="7" t="s">
        <v>447</v>
      </c>
      <c r="J166" s="7" t="s">
        <v>32</v>
      </c>
      <c r="K166" s="7"/>
      <c r="L166" s="8">
        <v>45841</v>
      </c>
      <c r="M166" s="8"/>
      <c r="N166" s="8"/>
      <c r="O166" s="7" t="s">
        <v>144</v>
      </c>
      <c r="P166" s="6">
        <v>2</v>
      </c>
      <c r="Q166" s="7" t="s">
        <v>220</v>
      </c>
      <c r="R166" s="7" t="str" cm="1">
        <f t="array" aca="1" ref="R166" ca="1">_xll.ELPAR($D$1,D166,1)</f>
        <v>RECALC_0_285_</v>
      </c>
      <c r="S166" s="7" t="str">
        <f ca="1">IF(ISERROR(Proc[[#This Row],[TM1]]),C166,IF(LEFT(Proc[[#This Row],[TM1]],10)=Proc[[#This Row],[Requested]],"MAPPED",C166))</f>
        <v>Waiting for MDGF approval</v>
      </c>
    </row>
    <row r="167" spans="1:19">
      <c r="A167" s="7" t="s">
        <v>214</v>
      </c>
      <c r="B167" s="7" t="s">
        <v>143</v>
      </c>
      <c r="C167" s="7" t="s">
        <v>33</v>
      </c>
      <c r="D167" s="7" t="s">
        <v>573</v>
      </c>
      <c r="E167" s="7" t="s">
        <v>568</v>
      </c>
      <c r="F167" s="7" t="s">
        <v>569</v>
      </c>
      <c r="G167" s="7" t="s">
        <v>179</v>
      </c>
      <c r="H167" s="7" t="s">
        <v>574</v>
      </c>
      <c r="I167" s="7" t="s">
        <v>447</v>
      </c>
      <c r="J167" s="7" t="s">
        <v>32</v>
      </c>
      <c r="K167" s="7"/>
      <c r="L167" s="8">
        <v>45841</v>
      </c>
      <c r="M167" s="8"/>
      <c r="N167" s="8"/>
      <c r="O167" s="7" t="s">
        <v>144</v>
      </c>
      <c r="P167" s="6">
        <v>2</v>
      </c>
      <c r="Q167" s="7" t="s">
        <v>220</v>
      </c>
      <c r="R167" s="7" t="str" cm="1">
        <f t="array" aca="1" ref="R167" ca="1">_xll.ELPAR($D$1,D167,1)</f>
        <v>RECALC_0_76_</v>
      </c>
      <c r="S167" s="7" t="str">
        <f ca="1">IF(ISERROR(Proc[[#This Row],[TM1]]),C167,IF(LEFT(Proc[[#This Row],[TM1]],10)=Proc[[#This Row],[Requested]],"MAPPED",C167))</f>
        <v>Waiting for MDGF approval</v>
      </c>
    </row>
    <row r="168" spans="1:19">
      <c r="A168" s="7" t="s">
        <v>214</v>
      </c>
      <c r="B168" s="7" t="s">
        <v>143</v>
      </c>
      <c r="C168" s="7" t="s">
        <v>33</v>
      </c>
      <c r="D168" s="7" t="s">
        <v>575</v>
      </c>
      <c r="E168" s="7" t="s">
        <v>568</v>
      </c>
      <c r="F168" s="7" t="s">
        <v>569</v>
      </c>
      <c r="G168" s="7" t="s">
        <v>179</v>
      </c>
      <c r="H168" s="7" t="s">
        <v>576</v>
      </c>
      <c r="I168" s="7" t="s">
        <v>447</v>
      </c>
      <c r="J168" s="7" t="s">
        <v>32</v>
      </c>
      <c r="K168" s="7"/>
      <c r="L168" s="8">
        <v>45841</v>
      </c>
      <c r="M168" s="8"/>
      <c r="N168" s="8"/>
      <c r="O168" s="7" t="s">
        <v>144</v>
      </c>
      <c r="P168" s="6">
        <v>2</v>
      </c>
      <c r="Q168" s="7" t="s">
        <v>220</v>
      </c>
      <c r="R168" s="7" t="str" cm="1">
        <f t="array" aca="1" ref="R168" ca="1">_xll.ELPAR($D$1,D168,1)</f>
        <v>RECALC_0_50_</v>
      </c>
      <c r="S168" s="7" t="str">
        <f ca="1">IF(ISERROR(Proc[[#This Row],[TM1]]),C168,IF(LEFT(Proc[[#This Row],[TM1]],10)=Proc[[#This Row],[Requested]],"MAPPED",C168))</f>
        <v>Waiting for MDGF approval</v>
      </c>
    </row>
    <row r="169" spans="1:19">
      <c r="A169" s="7" t="s">
        <v>214</v>
      </c>
      <c r="B169" s="7" t="s">
        <v>143</v>
      </c>
      <c r="C169" s="7" t="s">
        <v>33</v>
      </c>
      <c r="D169" s="7" t="s">
        <v>577</v>
      </c>
      <c r="E169" s="7" t="s">
        <v>568</v>
      </c>
      <c r="F169" s="7" t="s">
        <v>569</v>
      </c>
      <c r="G169" s="7" t="s">
        <v>179</v>
      </c>
      <c r="H169" s="7" t="s">
        <v>578</v>
      </c>
      <c r="I169" s="7" t="s">
        <v>447</v>
      </c>
      <c r="J169" s="7" t="s">
        <v>32</v>
      </c>
      <c r="K169" s="7"/>
      <c r="L169" s="8">
        <v>45841</v>
      </c>
      <c r="M169" s="8"/>
      <c r="N169" s="8"/>
      <c r="O169" s="7" t="s">
        <v>144</v>
      </c>
      <c r="P169" s="6">
        <v>2</v>
      </c>
      <c r="Q169" s="7" t="s">
        <v>220</v>
      </c>
      <c r="R169" s="7" t="str" cm="1">
        <f t="array" aca="1" ref="R169" ca="1">_xll.ELPAR($D$1,D169,1)</f>
        <v>RECALC_0_248_</v>
      </c>
      <c r="S169" s="7" t="str">
        <f ca="1">IF(ISERROR(Proc[[#This Row],[TM1]]),C169,IF(LEFT(Proc[[#This Row],[TM1]],10)=Proc[[#This Row],[Requested]],"MAPPED",C169))</f>
        <v>Waiting for MDGF approval</v>
      </c>
    </row>
    <row r="170" spans="1:19">
      <c r="A170" s="7" t="s">
        <v>214</v>
      </c>
      <c r="B170" s="7" t="s">
        <v>143</v>
      </c>
      <c r="C170" s="7" t="s">
        <v>33</v>
      </c>
      <c r="D170" s="7" t="s">
        <v>579</v>
      </c>
      <c r="E170" s="7" t="s">
        <v>568</v>
      </c>
      <c r="F170" s="7" t="s">
        <v>569</v>
      </c>
      <c r="G170" s="7" t="s">
        <v>179</v>
      </c>
      <c r="H170" s="7" t="s">
        <v>580</v>
      </c>
      <c r="I170" s="7" t="s">
        <v>447</v>
      </c>
      <c r="J170" s="7" t="s">
        <v>32</v>
      </c>
      <c r="K170" s="7"/>
      <c r="L170" s="8">
        <v>45841</v>
      </c>
      <c r="M170" s="8"/>
      <c r="N170" s="8"/>
      <c r="O170" s="7" t="s">
        <v>144</v>
      </c>
      <c r="P170" s="6">
        <v>2</v>
      </c>
      <c r="Q170" s="7" t="s">
        <v>220</v>
      </c>
      <c r="R170" s="7" t="str" cm="1">
        <f t="array" aca="1" ref="R170" ca="1">_xll.ELPAR($D$1,D170,1)</f>
        <v>RECALC_0_208_</v>
      </c>
      <c r="S170" s="7" t="str">
        <f ca="1">IF(ISERROR(Proc[[#This Row],[TM1]]),C170,IF(LEFT(Proc[[#This Row],[TM1]],10)=Proc[[#This Row],[Requested]],"MAPPED",C170))</f>
        <v>Waiting for MDGF approval</v>
      </c>
    </row>
    <row r="171" spans="1:19">
      <c r="A171" s="7" t="s">
        <v>214</v>
      </c>
      <c r="B171" s="7" t="s">
        <v>143</v>
      </c>
      <c r="C171" s="7" t="s">
        <v>33</v>
      </c>
      <c r="D171" s="7" t="s">
        <v>581</v>
      </c>
      <c r="E171" s="7" t="s">
        <v>582</v>
      </c>
      <c r="F171" s="7" t="s">
        <v>583</v>
      </c>
      <c r="G171" s="7" t="s">
        <v>179</v>
      </c>
      <c r="H171" s="7" t="s">
        <v>584</v>
      </c>
      <c r="I171" s="7" t="s">
        <v>447</v>
      </c>
      <c r="J171" s="7" t="s">
        <v>32</v>
      </c>
      <c r="K171" s="7"/>
      <c r="L171" s="8">
        <v>45841</v>
      </c>
      <c r="M171" s="8"/>
      <c r="N171" s="8"/>
      <c r="O171" s="7" t="s">
        <v>144</v>
      </c>
      <c r="P171" s="6">
        <v>2</v>
      </c>
      <c r="Q171" s="7" t="s">
        <v>220</v>
      </c>
      <c r="R171" s="7" t="str" cm="1">
        <f t="array" aca="1" ref="R171" ca="1">_xll.ELPAR($D$1,D171,1)</f>
        <v>RECALC_0_313_</v>
      </c>
      <c r="S171" s="7" t="str">
        <f ca="1">IF(ISERROR(Proc[[#This Row],[TM1]]),C171,IF(LEFT(Proc[[#This Row],[TM1]],10)=Proc[[#This Row],[Requested]],"MAPPED",C171))</f>
        <v>Waiting for MDGF approval</v>
      </c>
    </row>
    <row r="172" spans="1:19">
      <c r="A172" s="7" t="s">
        <v>214</v>
      </c>
      <c r="B172" s="7" t="s">
        <v>143</v>
      </c>
      <c r="C172" s="7" t="s">
        <v>33</v>
      </c>
      <c r="D172" s="7" t="s">
        <v>585</v>
      </c>
      <c r="E172" s="7" t="s">
        <v>582</v>
      </c>
      <c r="F172" s="7" t="s">
        <v>583</v>
      </c>
      <c r="G172" s="7" t="s">
        <v>179</v>
      </c>
      <c r="H172" s="7" t="s">
        <v>586</v>
      </c>
      <c r="I172" s="7" t="s">
        <v>447</v>
      </c>
      <c r="J172" s="7" t="s">
        <v>32</v>
      </c>
      <c r="K172" s="7"/>
      <c r="L172" s="8">
        <v>45841</v>
      </c>
      <c r="M172" s="8"/>
      <c r="N172" s="8"/>
      <c r="O172" s="7" t="s">
        <v>144</v>
      </c>
      <c r="P172" s="6">
        <v>2</v>
      </c>
      <c r="Q172" s="7" t="s">
        <v>220</v>
      </c>
      <c r="R172" s="7" t="str" cm="1">
        <f t="array" aca="1" ref="R172" ca="1">_xll.ELPAR($D$1,D172,1)</f>
        <v>RECALC_0_284_</v>
      </c>
      <c r="S172" s="7" t="str">
        <f ca="1">IF(ISERROR(Proc[[#This Row],[TM1]]),C172,IF(LEFT(Proc[[#This Row],[TM1]],10)=Proc[[#This Row],[Requested]],"MAPPED",C172))</f>
        <v>Waiting for MDGF approval</v>
      </c>
    </row>
    <row r="173" spans="1:19">
      <c r="A173" s="7" t="s">
        <v>214</v>
      </c>
      <c r="B173" s="7" t="s">
        <v>143</v>
      </c>
      <c r="C173" s="7" t="s">
        <v>33</v>
      </c>
      <c r="D173" s="7" t="s">
        <v>587</v>
      </c>
      <c r="E173" s="7" t="s">
        <v>582</v>
      </c>
      <c r="F173" s="7" t="s">
        <v>583</v>
      </c>
      <c r="G173" s="7" t="s">
        <v>179</v>
      </c>
      <c r="H173" s="7" t="s">
        <v>588</v>
      </c>
      <c r="I173" s="7" t="s">
        <v>447</v>
      </c>
      <c r="J173" s="7" t="s">
        <v>32</v>
      </c>
      <c r="K173" s="7"/>
      <c r="L173" s="8">
        <v>45841</v>
      </c>
      <c r="M173" s="8"/>
      <c r="N173" s="8"/>
      <c r="O173" s="7" t="s">
        <v>144</v>
      </c>
      <c r="P173" s="6">
        <v>2</v>
      </c>
      <c r="Q173" s="7" t="s">
        <v>220</v>
      </c>
      <c r="R173" s="7" t="str" cm="1">
        <f t="array" aca="1" ref="R173" ca="1">_xll.ELPAR($D$1,D173,1)</f>
        <v>RECALC_0_166_</v>
      </c>
      <c r="S173" s="7" t="str">
        <f ca="1">IF(ISERROR(Proc[[#This Row],[TM1]]),C173,IF(LEFT(Proc[[#This Row],[TM1]],10)=Proc[[#This Row],[Requested]],"MAPPED",C173))</f>
        <v>Waiting for MDGF approval</v>
      </c>
    </row>
    <row r="174" spans="1:19">
      <c r="A174" s="7" t="s">
        <v>214</v>
      </c>
      <c r="B174" s="7" t="s">
        <v>143</v>
      </c>
      <c r="C174" s="7" t="s">
        <v>33</v>
      </c>
      <c r="D174" s="7" t="s">
        <v>589</v>
      </c>
      <c r="E174" s="7" t="s">
        <v>582</v>
      </c>
      <c r="F174" s="7" t="s">
        <v>583</v>
      </c>
      <c r="G174" s="7" t="s">
        <v>179</v>
      </c>
      <c r="H174" s="7" t="s">
        <v>590</v>
      </c>
      <c r="I174" s="7" t="s">
        <v>447</v>
      </c>
      <c r="J174" s="7" t="s">
        <v>32</v>
      </c>
      <c r="K174" s="7"/>
      <c r="L174" s="8">
        <v>45841</v>
      </c>
      <c r="M174" s="8"/>
      <c r="N174" s="8"/>
      <c r="O174" s="7" t="s">
        <v>144</v>
      </c>
      <c r="P174" s="6">
        <v>2</v>
      </c>
      <c r="Q174" s="7" t="s">
        <v>220</v>
      </c>
      <c r="R174" s="7" t="str" cm="1">
        <f t="array" aca="1" ref="R174" ca="1">_xll.ELPAR($D$1,D174,1)</f>
        <v>RECALC_0_140_</v>
      </c>
      <c r="S174" s="7" t="str">
        <f ca="1">IF(ISERROR(Proc[[#This Row],[TM1]]),C174,IF(LEFT(Proc[[#This Row],[TM1]],10)=Proc[[#This Row],[Requested]],"MAPPED",C174))</f>
        <v>Waiting for MDGF approval</v>
      </c>
    </row>
    <row r="175" spans="1:19">
      <c r="A175" s="7" t="s">
        <v>214</v>
      </c>
      <c r="B175" s="7" t="s">
        <v>143</v>
      </c>
      <c r="C175" s="7" t="s">
        <v>33</v>
      </c>
      <c r="D175" s="7" t="s">
        <v>591</v>
      </c>
      <c r="E175" s="7" t="s">
        <v>582</v>
      </c>
      <c r="F175" s="7" t="s">
        <v>583</v>
      </c>
      <c r="G175" s="7" t="s">
        <v>179</v>
      </c>
      <c r="H175" s="7" t="s">
        <v>592</v>
      </c>
      <c r="I175" s="7" t="s">
        <v>447</v>
      </c>
      <c r="J175" s="7" t="s">
        <v>32</v>
      </c>
      <c r="K175" s="7"/>
      <c r="L175" s="8">
        <v>45841</v>
      </c>
      <c r="M175" s="8"/>
      <c r="N175" s="8"/>
      <c r="O175" s="7" t="s">
        <v>144</v>
      </c>
      <c r="P175" s="6">
        <v>2</v>
      </c>
      <c r="Q175" s="7" t="s">
        <v>220</v>
      </c>
      <c r="R175" s="7" t="str" cm="1">
        <f t="array" aca="1" ref="R175" ca="1">_xll.ELPAR($D$1,D175,1)</f>
        <v>RECALC_0_107_</v>
      </c>
      <c r="S175" s="7" t="str">
        <f ca="1">IF(ISERROR(Proc[[#This Row],[TM1]]),C175,IF(LEFT(Proc[[#This Row],[TM1]],10)=Proc[[#This Row],[Requested]],"MAPPED",C175))</f>
        <v>Waiting for MDGF approval</v>
      </c>
    </row>
    <row r="176" spans="1:19">
      <c r="A176" s="7" t="s">
        <v>214</v>
      </c>
      <c r="B176" s="7" t="s">
        <v>143</v>
      </c>
      <c r="C176" s="7" t="s">
        <v>33</v>
      </c>
      <c r="D176" s="7" t="s">
        <v>593</v>
      </c>
      <c r="E176" s="7" t="s">
        <v>582</v>
      </c>
      <c r="F176" s="7" t="s">
        <v>583</v>
      </c>
      <c r="G176" s="7" t="s">
        <v>179</v>
      </c>
      <c r="H176" s="7" t="s">
        <v>594</v>
      </c>
      <c r="I176" s="7" t="s">
        <v>447</v>
      </c>
      <c r="J176" s="7" t="s">
        <v>32</v>
      </c>
      <c r="K176" s="7"/>
      <c r="L176" s="8">
        <v>45841</v>
      </c>
      <c r="M176" s="8"/>
      <c r="N176" s="8"/>
      <c r="O176" s="7" t="s">
        <v>144</v>
      </c>
      <c r="P176" s="6">
        <v>2</v>
      </c>
      <c r="Q176" s="7" t="s">
        <v>220</v>
      </c>
      <c r="R176" s="7" t="str" cm="1">
        <f t="array" aca="1" ref="R176" ca="1">_xll.ELPAR($D$1,D176,1)</f>
        <v>RECALC_0_75_</v>
      </c>
      <c r="S176" s="7" t="str">
        <f ca="1">IF(ISERROR(Proc[[#This Row],[TM1]]),C176,IF(LEFT(Proc[[#This Row],[TM1]],10)=Proc[[#This Row],[Requested]],"MAPPED",C176))</f>
        <v>Waiting for MDGF approval</v>
      </c>
    </row>
    <row r="177" spans="1:19">
      <c r="A177" s="7" t="s">
        <v>214</v>
      </c>
      <c r="B177" s="7" t="s">
        <v>143</v>
      </c>
      <c r="C177" s="7" t="s">
        <v>33</v>
      </c>
      <c r="D177" s="7" t="s">
        <v>595</v>
      </c>
      <c r="E177" s="7" t="s">
        <v>582</v>
      </c>
      <c r="F177" s="7" t="s">
        <v>583</v>
      </c>
      <c r="G177" s="7" t="s">
        <v>179</v>
      </c>
      <c r="H177" s="7" t="s">
        <v>596</v>
      </c>
      <c r="I177" s="7" t="s">
        <v>447</v>
      </c>
      <c r="J177" s="7" t="s">
        <v>32</v>
      </c>
      <c r="K177" s="7"/>
      <c r="L177" s="8">
        <v>45841</v>
      </c>
      <c r="M177" s="8"/>
      <c r="N177" s="8"/>
      <c r="O177" s="7" t="s">
        <v>144</v>
      </c>
      <c r="P177" s="6">
        <v>2</v>
      </c>
      <c r="Q177" s="7" t="s">
        <v>220</v>
      </c>
      <c r="R177" s="7" t="str" cm="1">
        <f t="array" aca="1" ref="R177" ca="1">_xll.ELPAR($D$1,D177,1)</f>
        <v>RECALC_0_27_</v>
      </c>
      <c r="S177" s="7" t="str">
        <f ca="1">IF(ISERROR(Proc[[#This Row],[TM1]]),C177,IF(LEFT(Proc[[#This Row],[TM1]],10)=Proc[[#This Row],[Requested]],"MAPPED",C177))</f>
        <v>Waiting for MDGF approval</v>
      </c>
    </row>
    <row r="178" spans="1:19">
      <c r="A178" s="7" t="s">
        <v>214</v>
      </c>
      <c r="B178" s="7" t="s">
        <v>143</v>
      </c>
      <c r="C178" s="7" t="s">
        <v>33</v>
      </c>
      <c r="D178" s="7" t="s">
        <v>597</v>
      </c>
      <c r="E178" s="7" t="s">
        <v>598</v>
      </c>
      <c r="F178" s="7" t="s">
        <v>599</v>
      </c>
      <c r="G178" s="7" t="s">
        <v>179</v>
      </c>
      <c r="H178" s="7" t="s">
        <v>600</v>
      </c>
      <c r="I178" s="7" t="s">
        <v>447</v>
      </c>
      <c r="J178" s="7" t="s">
        <v>32</v>
      </c>
      <c r="K178" s="7"/>
      <c r="L178" s="8">
        <v>45841</v>
      </c>
      <c r="M178" s="8"/>
      <c r="N178" s="8"/>
      <c r="O178" s="7" t="s">
        <v>144</v>
      </c>
      <c r="P178" s="6">
        <v>2</v>
      </c>
      <c r="Q178" s="7" t="s">
        <v>220</v>
      </c>
      <c r="R178" s="7" t="str" cm="1">
        <f t="array" aca="1" ref="R178" ca="1">_xll.ELPAR($D$1,D178,1)</f>
        <v>RECALC_0_283_</v>
      </c>
      <c r="S178" s="7" t="str">
        <f ca="1">IF(ISERROR(Proc[[#This Row],[TM1]]),C178,IF(LEFT(Proc[[#This Row],[TM1]],10)=Proc[[#This Row],[Requested]],"MAPPED",C178))</f>
        <v>Waiting for MDGF approval</v>
      </c>
    </row>
    <row r="179" spans="1:19">
      <c r="A179" s="7" t="s">
        <v>214</v>
      </c>
      <c r="B179" s="7" t="s">
        <v>143</v>
      </c>
      <c r="C179" s="7" t="s">
        <v>33</v>
      </c>
      <c r="D179" s="7" t="s">
        <v>601</v>
      </c>
      <c r="E179" s="7" t="s">
        <v>598</v>
      </c>
      <c r="F179" s="7" t="s">
        <v>602</v>
      </c>
      <c r="G179" s="7" t="s">
        <v>179</v>
      </c>
      <c r="H179" s="7" t="s">
        <v>603</v>
      </c>
      <c r="I179" s="7" t="s">
        <v>447</v>
      </c>
      <c r="J179" s="7" t="s">
        <v>32</v>
      </c>
      <c r="K179" s="7"/>
      <c r="L179" s="8">
        <v>45841</v>
      </c>
      <c r="M179" s="8"/>
      <c r="N179" s="8"/>
      <c r="O179" s="7" t="s">
        <v>144</v>
      </c>
      <c r="P179" s="6">
        <v>2</v>
      </c>
      <c r="Q179" s="7" t="s">
        <v>220</v>
      </c>
      <c r="R179" s="7" t="str" cm="1">
        <f t="array" aca="1" ref="R179" ca="1">_xll.ELPAR($D$1,D179,1)</f>
        <v>RECALC_0_12_</v>
      </c>
      <c r="S179" s="7" t="str">
        <f ca="1">IF(ISERROR(Proc[[#This Row],[TM1]]),C179,IF(LEFT(Proc[[#This Row],[TM1]],10)=Proc[[#This Row],[Requested]],"MAPPED",C179))</f>
        <v>Waiting for MDGF approval</v>
      </c>
    </row>
    <row r="180" spans="1:19">
      <c r="A180" s="7" t="s">
        <v>214</v>
      </c>
      <c r="B180" s="7" t="s">
        <v>143</v>
      </c>
      <c r="C180" s="7" t="s">
        <v>33</v>
      </c>
      <c r="D180" s="7" t="s">
        <v>604</v>
      </c>
      <c r="E180" s="7" t="s">
        <v>598</v>
      </c>
      <c r="F180" s="7" t="s">
        <v>599</v>
      </c>
      <c r="G180" s="7" t="s">
        <v>179</v>
      </c>
      <c r="H180" s="7" t="s">
        <v>605</v>
      </c>
      <c r="I180" s="7" t="s">
        <v>447</v>
      </c>
      <c r="J180" s="7" t="s">
        <v>32</v>
      </c>
      <c r="K180" s="7"/>
      <c r="L180" s="8">
        <v>45841</v>
      </c>
      <c r="M180" s="8"/>
      <c r="N180" s="8"/>
      <c r="O180" s="7" t="s">
        <v>144</v>
      </c>
      <c r="P180" s="6">
        <v>2</v>
      </c>
      <c r="Q180" s="7" t="s">
        <v>220</v>
      </c>
      <c r="R180" s="7" t="str" cm="1">
        <f t="array" aca="1" ref="R180" ca="1">_xll.ELPAR($D$1,D180,1)</f>
        <v>RECALC_0_240_</v>
      </c>
      <c r="S180" s="7" t="str">
        <f ca="1">IF(ISERROR(Proc[[#This Row],[TM1]]),C180,IF(LEFT(Proc[[#This Row],[TM1]],10)=Proc[[#This Row],[Requested]],"MAPPED",C180))</f>
        <v>Waiting for MDGF approval</v>
      </c>
    </row>
    <row r="181" spans="1:19">
      <c r="A181" s="7" t="s">
        <v>214</v>
      </c>
      <c r="B181" s="7" t="s">
        <v>143</v>
      </c>
      <c r="C181" s="7" t="s">
        <v>33</v>
      </c>
      <c r="D181" s="7" t="s">
        <v>606</v>
      </c>
      <c r="E181" s="7" t="s">
        <v>607</v>
      </c>
      <c r="F181" s="7" t="s">
        <v>608</v>
      </c>
      <c r="G181" s="7" t="s">
        <v>179</v>
      </c>
      <c r="H181" s="7" t="s">
        <v>609</v>
      </c>
      <c r="I181" s="7" t="s">
        <v>447</v>
      </c>
      <c r="J181" s="7" t="s">
        <v>32</v>
      </c>
      <c r="K181" s="7"/>
      <c r="L181" s="8">
        <v>45841</v>
      </c>
      <c r="M181" s="8"/>
      <c r="N181" s="8"/>
      <c r="O181" s="7" t="s">
        <v>144</v>
      </c>
      <c r="P181" s="6">
        <v>2</v>
      </c>
      <c r="Q181" s="7" t="s">
        <v>220</v>
      </c>
      <c r="R181" s="7" t="str" cm="1">
        <f t="array" aca="1" ref="R181" ca="1">_xll.ELPAR($D$1,D181,1)</f>
        <v>RECALC_0_190_</v>
      </c>
      <c r="S181" s="7" t="str">
        <f ca="1">IF(ISERROR(Proc[[#This Row],[TM1]]),C181,IF(LEFT(Proc[[#This Row],[TM1]],10)=Proc[[#This Row],[Requested]],"MAPPED",C181))</f>
        <v>Waiting for MDGF approval</v>
      </c>
    </row>
    <row r="182" spans="1:19">
      <c r="A182" s="7" t="s">
        <v>214</v>
      </c>
      <c r="B182" s="7" t="s">
        <v>143</v>
      </c>
      <c r="C182" s="7" t="s">
        <v>33</v>
      </c>
      <c r="D182" s="7" t="s">
        <v>610</v>
      </c>
      <c r="E182" s="7" t="s">
        <v>598</v>
      </c>
      <c r="F182" s="7" t="s">
        <v>599</v>
      </c>
      <c r="G182" s="7" t="s">
        <v>179</v>
      </c>
      <c r="H182" s="7" t="s">
        <v>611</v>
      </c>
      <c r="I182" s="7" t="s">
        <v>447</v>
      </c>
      <c r="J182" s="7" t="s">
        <v>32</v>
      </c>
      <c r="K182" s="7"/>
      <c r="L182" s="8">
        <v>45841</v>
      </c>
      <c r="M182" s="8"/>
      <c r="N182" s="8"/>
      <c r="O182" s="7" t="s">
        <v>144</v>
      </c>
      <c r="P182" s="6">
        <v>2</v>
      </c>
      <c r="Q182" s="7" t="s">
        <v>220</v>
      </c>
      <c r="R182" s="7" t="str" cm="1">
        <f t="array" aca="1" ref="R182" ca="1">_xll.ELPAR($D$1,D182,1)</f>
        <v>RECALC_0_139_</v>
      </c>
      <c r="S182" s="7" t="str">
        <f ca="1">IF(ISERROR(Proc[[#This Row],[TM1]]),C182,IF(LEFT(Proc[[#This Row],[TM1]],10)=Proc[[#This Row],[Requested]],"MAPPED",C182))</f>
        <v>Waiting for MDGF approval</v>
      </c>
    </row>
    <row r="183" spans="1:19">
      <c r="A183" s="7" t="s">
        <v>214</v>
      </c>
      <c r="B183" s="7" t="s">
        <v>143</v>
      </c>
      <c r="C183" s="7" t="s">
        <v>33</v>
      </c>
      <c r="D183" s="7" t="s">
        <v>612</v>
      </c>
      <c r="E183" s="7" t="s">
        <v>607</v>
      </c>
      <c r="F183" s="7" t="s">
        <v>613</v>
      </c>
      <c r="G183" s="7" t="s">
        <v>179</v>
      </c>
      <c r="H183" s="7" t="s">
        <v>614</v>
      </c>
      <c r="I183" s="7" t="s">
        <v>447</v>
      </c>
      <c r="J183" s="7" t="s">
        <v>32</v>
      </c>
      <c r="K183" s="7"/>
      <c r="L183" s="8">
        <v>45841</v>
      </c>
      <c r="M183" s="8"/>
      <c r="N183" s="8"/>
      <c r="O183" s="7" t="s">
        <v>144</v>
      </c>
      <c r="P183" s="6">
        <v>2</v>
      </c>
      <c r="Q183" s="7" t="s">
        <v>220</v>
      </c>
      <c r="R183" s="7" t="str" cm="1">
        <f t="array" aca="1" ref="R183" ca="1">_xll.ELPAR($D$1,D183,1)</f>
        <v>RECALC_0_106_</v>
      </c>
      <c r="S183" s="7" t="str">
        <f ca="1">IF(ISERROR(Proc[[#This Row],[TM1]]),C183,IF(LEFT(Proc[[#This Row],[TM1]],10)=Proc[[#This Row],[Requested]],"MAPPED",C183))</f>
        <v>Waiting for MDGF approval</v>
      </c>
    </row>
    <row r="184" spans="1:19">
      <c r="A184" s="7" t="s">
        <v>214</v>
      </c>
      <c r="B184" s="7" t="s">
        <v>143</v>
      </c>
      <c r="C184" s="7" t="s">
        <v>33</v>
      </c>
      <c r="D184" s="7" t="s">
        <v>615</v>
      </c>
      <c r="E184" s="7" t="s">
        <v>616</v>
      </c>
      <c r="F184" s="7" t="s">
        <v>599</v>
      </c>
      <c r="G184" s="7" t="s">
        <v>179</v>
      </c>
      <c r="H184" s="7" t="s">
        <v>617</v>
      </c>
      <c r="I184" s="7" t="s">
        <v>447</v>
      </c>
      <c r="J184" s="7" t="s">
        <v>32</v>
      </c>
      <c r="K184" s="7"/>
      <c r="L184" s="8">
        <v>45841</v>
      </c>
      <c r="M184" s="8"/>
      <c r="N184" s="8"/>
      <c r="O184" s="7" t="s">
        <v>144</v>
      </c>
      <c r="P184" s="6">
        <v>2</v>
      </c>
      <c r="Q184" s="7" t="s">
        <v>220</v>
      </c>
      <c r="R184" s="7" t="str" cm="1">
        <f t="array" aca="1" ref="R184" ca="1">_xll.ELPAR($D$1,D184,1)</f>
        <v>RECALC_0_282_</v>
      </c>
      <c r="S184" s="7" t="str">
        <f ca="1">IF(ISERROR(Proc[[#This Row],[TM1]]),C184,IF(LEFT(Proc[[#This Row],[TM1]],10)=Proc[[#This Row],[Requested]],"MAPPED",C184))</f>
        <v>Waiting for MDGF approval</v>
      </c>
    </row>
    <row r="185" spans="1:19">
      <c r="A185" s="7" t="s">
        <v>214</v>
      </c>
      <c r="B185" s="7" t="s">
        <v>143</v>
      </c>
      <c r="C185" s="7" t="s">
        <v>33</v>
      </c>
      <c r="D185" s="7" t="s">
        <v>618</v>
      </c>
      <c r="E185" s="7" t="s">
        <v>607</v>
      </c>
      <c r="F185" s="7" t="s">
        <v>613</v>
      </c>
      <c r="G185" s="7" t="s">
        <v>179</v>
      </c>
      <c r="H185" s="7" t="s">
        <v>619</v>
      </c>
      <c r="I185" s="7" t="s">
        <v>447</v>
      </c>
      <c r="J185" s="7" t="s">
        <v>32</v>
      </c>
      <c r="K185" s="7"/>
      <c r="L185" s="8">
        <v>45841</v>
      </c>
      <c r="M185" s="8"/>
      <c r="N185" s="8"/>
      <c r="O185" s="7" t="s">
        <v>144</v>
      </c>
      <c r="P185" s="6">
        <v>2</v>
      </c>
      <c r="Q185" s="7" t="s">
        <v>220</v>
      </c>
      <c r="R185" s="7" t="str" cm="1">
        <f t="array" aca="1" ref="R185" ca="1">_xll.ELPAR($D$1,D185,1)</f>
        <v>RECALC_0_90_</v>
      </c>
      <c r="S185" s="7" t="str">
        <f ca="1">IF(ISERROR(Proc[[#This Row],[TM1]]),C185,IF(LEFT(Proc[[#This Row],[TM1]],10)=Proc[[#This Row],[Requested]],"MAPPED",C185))</f>
        <v>Waiting for MDGF approval</v>
      </c>
    </row>
    <row r="186" spans="1:19">
      <c r="A186" s="7" t="s">
        <v>214</v>
      </c>
      <c r="B186" s="7" t="s">
        <v>143</v>
      </c>
      <c r="C186" s="7" t="s">
        <v>33</v>
      </c>
      <c r="D186" s="7" t="s">
        <v>620</v>
      </c>
      <c r="E186" s="7" t="s">
        <v>607</v>
      </c>
      <c r="F186" s="7" t="s">
        <v>613</v>
      </c>
      <c r="G186" s="7" t="s">
        <v>179</v>
      </c>
      <c r="H186" s="7" t="s">
        <v>621</v>
      </c>
      <c r="I186" s="7" t="s">
        <v>447</v>
      </c>
      <c r="J186" s="7" t="s">
        <v>32</v>
      </c>
      <c r="K186" s="7"/>
      <c r="L186" s="8">
        <v>45841</v>
      </c>
      <c r="M186" s="8"/>
      <c r="N186" s="8"/>
      <c r="O186" s="7" t="s">
        <v>144</v>
      </c>
      <c r="P186" s="6">
        <v>2</v>
      </c>
      <c r="Q186" s="7" t="s">
        <v>220</v>
      </c>
      <c r="R186" s="7" t="str" cm="1">
        <f t="array" aca="1" ref="R186" ca="1">_xll.ELPAR($D$1,D186,1)</f>
        <v>RECALC_0_74_</v>
      </c>
      <c r="S186" s="7" t="str">
        <f ca="1">IF(ISERROR(Proc[[#This Row],[TM1]]),C186,IF(LEFT(Proc[[#This Row],[TM1]],10)=Proc[[#This Row],[Requested]],"MAPPED",C186))</f>
        <v>Waiting for MDGF approval</v>
      </c>
    </row>
    <row r="187" spans="1:19">
      <c r="A187" s="7" t="s">
        <v>214</v>
      </c>
      <c r="B187" s="7" t="s">
        <v>143</v>
      </c>
      <c r="C187" s="7" t="s">
        <v>33</v>
      </c>
      <c r="D187" s="7" t="s">
        <v>622</v>
      </c>
      <c r="E187" s="7" t="s">
        <v>598</v>
      </c>
      <c r="F187" s="7" t="s">
        <v>602</v>
      </c>
      <c r="G187" s="7" t="s">
        <v>179</v>
      </c>
      <c r="H187" s="7" t="s">
        <v>623</v>
      </c>
      <c r="I187" s="7" t="s">
        <v>447</v>
      </c>
      <c r="J187" s="7" t="s">
        <v>32</v>
      </c>
      <c r="K187" s="7"/>
      <c r="L187" s="8">
        <v>45841</v>
      </c>
      <c r="M187" s="8"/>
      <c r="N187" s="8"/>
      <c r="O187" s="7" t="s">
        <v>144</v>
      </c>
      <c r="P187" s="6">
        <v>2</v>
      </c>
      <c r="Q187" s="7" t="s">
        <v>220</v>
      </c>
      <c r="R187" s="7" t="str" cm="1">
        <f t="array" aca="1" ref="R187" ca="1">_xll.ELPAR($D$1,D187,1)</f>
        <v>RECALC_0_26_</v>
      </c>
      <c r="S187" s="7" t="str">
        <f ca="1">IF(ISERROR(Proc[[#This Row],[TM1]]),C187,IF(LEFT(Proc[[#This Row],[TM1]],10)=Proc[[#This Row],[Requested]],"MAPPED",C187))</f>
        <v>Waiting for MDGF approval</v>
      </c>
    </row>
    <row r="188" spans="1:19">
      <c r="A188" s="7" t="s">
        <v>214</v>
      </c>
      <c r="B188" s="7" t="s">
        <v>143</v>
      </c>
      <c r="C188" s="7" t="s">
        <v>33</v>
      </c>
      <c r="D188" s="7" t="s">
        <v>624</v>
      </c>
      <c r="E188" s="7" t="s">
        <v>598</v>
      </c>
      <c r="F188" s="7" t="s">
        <v>625</v>
      </c>
      <c r="G188" s="7" t="s">
        <v>179</v>
      </c>
      <c r="H188" s="7" t="s">
        <v>626</v>
      </c>
      <c r="I188" s="7" t="s">
        <v>447</v>
      </c>
      <c r="J188" s="7" t="s">
        <v>32</v>
      </c>
      <c r="K188" s="7"/>
      <c r="L188" s="8">
        <v>45841</v>
      </c>
      <c r="M188" s="8"/>
      <c r="N188" s="8"/>
      <c r="O188" s="7" t="s">
        <v>144</v>
      </c>
      <c r="P188" s="6">
        <v>2</v>
      </c>
      <c r="Q188" s="7" t="s">
        <v>220</v>
      </c>
      <c r="R188" s="7" t="str" cm="1">
        <f t="array" aca="1" ref="R188" ca="1">_xll.ELPAR($D$1,D188,1)</f>
        <v>RECALC_0_239_</v>
      </c>
      <c r="S188" s="7" t="str">
        <f ca="1">IF(ISERROR(Proc[[#This Row],[TM1]]),C188,IF(LEFT(Proc[[#This Row],[TM1]],10)=Proc[[#This Row],[Requested]],"MAPPED",C188))</f>
        <v>Waiting for MDGF approval</v>
      </c>
    </row>
    <row r="189" spans="1:19">
      <c r="A189" s="7" t="s">
        <v>214</v>
      </c>
      <c r="B189" s="7" t="s">
        <v>143</v>
      </c>
      <c r="C189" s="7" t="s">
        <v>33</v>
      </c>
      <c r="D189" s="7" t="s">
        <v>627</v>
      </c>
      <c r="E189" s="7" t="s">
        <v>598</v>
      </c>
      <c r="F189" s="7" t="s">
        <v>602</v>
      </c>
      <c r="G189" s="7" t="s">
        <v>179</v>
      </c>
      <c r="H189" s="7" t="s">
        <v>628</v>
      </c>
      <c r="I189" s="7" t="s">
        <v>447</v>
      </c>
      <c r="J189" s="7" t="s">
        <v>32</v>
      </c>
      <c r="K189" s="7"/>
      <c r="L189" s="8">
        <v>45841</v>
      </c>
      <c r="M189" s="8"/>
      <c r="N189" s="8"/>
      <c r="O189" s="7" t="s">
        <v>144</v>
      </c>
      <c r="P189" s="6">
        <v>2</v>
      </c>
      <c r="Q189" s="7" t="s">
        <v>220</v>
      </c>
      <c r="R189" s="7" t="str" cm="1">
        <f t="array" aca="1" ref="R189" ca="1">_xll.ELPAR($D$1,D189,1)</f>
        <v>RECALC_0_189_</v>
      </c>
      <c r="S189" s="7" t="str">
        <f ca="1">IF(ISERROR(Proc[[#This Row],[TM1]]),C189,IF(LEFT(Proc[[#This Row],[TM1]],10)=Proc[[#This Row],[Requested]],"MAPPED",C189))</f>
        <v>Waiting for MDGF approval</v>
      </c>
    </row>
    <row r="190" spans="1:19">
      <c r="A190" s="7" t="s">
        <v>214</v>
      </c>
      <c r="B190" s="7" t="s">
        <v>143</v>
      </c>
      <c r="C190" s="7" t="s">
        <v>33</v>
      </c>
      <c r="D190" s="7" t="s">
        <v>629</v>
      </c>
      <c r="E190" s="7" t="s">
        <v>598</v>
      </c>
      <c r="F190" s="7" t="s">
        <v>602</v>
      </c>
      <c r="G190" s="7" t="s">
        <v>179</v>
      </c>
      <c r="H190" s="7" t="s">
        <v>630</v>
      </c>
      <c r="I190" s="7" t="s">
        <v>447</v>
      </c>
      <c r="J190" s="7" t="s">
        <v>32</v>
      </c>
      <c r="K190" s="7"/>
      <c r="L190" s="8">
        <v>45841</v>
      </c>
      <c r="M190" s="8"/>
      <c r="N190" s="8"/>
      <c r="O190" s="7" t="s">
        <v>144</v>
      </c>
      <c r="P190" s="6">
        <v>2</v>
      </c>
      <c r="Q190" s="7" t="s">
        <v>220</v>
      </c>
      <c r="R190" s="7" t="str" cm="1">
        <f t="array" aca="1" ref="R190" ca="1">_xll.ELPAR($D$1,D190,1)</f>
        <v>RECALC_0_281_</v>
      </c>
      <c r="S190" s="7" t="str">
        <f ca="1">IF(ISERROR(Proc[[#This Row],[TM1]]),C190,IF(LEFT(Proc[[#This Row],[TM1]],10)=Proc[[#This Row],[Requested]],"MAPPED",C190))</f>
        <v>Waiting for MDGF approval</v>
      </c>
    </row>
    <row r="191" spans="1:19">
      <c r="A191" s="7" t="s">
        <v>214</v>
      </c>
      <c r="B191" s="7" t="s">
        <v>143</v>
      </c>
      <c r="C191" s="7" t="s">
        <v>33</v>
      </c>
      <c r="D191" s="7" t="s">
        <v>631</v>
      </c>
      <c r="E191" s="7" t="s">
        <v>598</v>
      </c>
      <c r="F191" s="7" t="s">
        <v>602</v>
      </c>
      <c r="G191" s="7" t="s">
        <v>179</v>
      </c>
      <c r="H191" s="7" t="s">
        <v>632</v>
      </c>
      <c r="I191" s="7" t="s">
        <v>447</v>
      </c>
      <c r="J191" s="7" t="s">
        <v>32</v>
      </c>
      <c r="K191" s="7"/>
      <c r="L191" s="8">
        <v>45841</v>
      </c>
      <c r="M191" s="8"/>
      <c r="N191" s="8"/>
      <c r="O191" s="7" t="s">
        <v>144</v>
      </c>
      <c r="P191" s="6">
        <v>2</v>
      </c>
      <c r="Q191" s="7" t="s">
        <v>220</v>
      </c>
      <c r="R191" s="7" t="str" cm="1">
        <f t="array" aca="1" ref="R191" ca="1">_xll.ELPAR($D$1,D191,1)</f>
        <v>RECALC_0_165_</v>
      </c>
      <c r="S191" s="7" t="str">
        <f ca="1">IF(ISERROR(Proc[[#This Row],[TM1]]),C191,IF(LEFT(Proc[[#This Row],[TM1]],10)=Proc[[#This Row],[Requested]],"MAPPED",C191))</f>
        <v>Waiting for MDGF approval</v>
      </c>
    </row>
    <row r="192" spans="1:19">
      <c r="A192" s="7" t="s">
        <v>214</v>
      </c>
      <c r="B192" s="7" t="s">
        <v>143</v>
      </c>
      <c r="C192" s="7" t="s">
        <v>33</v>
      </c>
      <c r="D192" s="7" t="s">
        <v>633</v>
      </c>
      <c r="E192" s="7" t="s">
        <v>616</v>
      </c>
      <c r="F192" s="7" t="s">
        <v>602</v>
      </c>
      <c r="G192" s="7" t="s">
        <v>179</v>
      </c>
      <c r="H192" s="7" t="s">
        <v>634</v>
      </c>
      <c r="I192" s="7" t="s">
        <v>447</v>
      </c>
      <c r="J192" s="7" t="s">
        <v>32</v>
      </c>
      <c r="K192" s="7"/>
      <c r="L192" s="8">
        <v>45841</v>
      </c>
      <c r="M192" s="8"/>
      <c r="N192" s="8"/>
      <c r="O192" s="7" t="s">
        <v>144</v>
      </c>
      <c r="P192" s="6">
        <v>2</v>
      </c>
      <c r="Q192" s="7" t="s">
        <v>220</v>
      </c>
      <c r="R192" s="7" t="str" cm="1">
        <f t="array" aca="1" ref="R192" ca="1">_xll.ELPAR($D$1,D192,1)</f>
        <v>RECALC_0_138_</v>
      </c>
      <c r="S192" s="7" t="str">
        <f ca="1">IF(ISERROR(Proc[[#This Row],[TM1]]),C192,IF(LEFT(Proc[[#This Row],[TM1]],10)=Proc[[#This Row],[Requested]],"MAPPED",C192))</f>
        <v>Waiting for MDGF approval</v>
      </c>
    </row>
    <row r="193" spans="1:19">
      <c r="A193" s="7" t="s">
        <v>214</v>
      </c>
      <c r="B193" s="7" t="s">
        <v>143</v>
      </c>
      <c r="C193" s="7" t="s">
        <v>33</v>
      </c>
      <c r="D193" s="7" t="s">
        <v>635</v>
      </c>
      <c r="E193" s="7" t="s">
        <v>598</v>
      </c>
      <c r="F193" s="7" t="s">
        <v>602</v>
      </c>
      <c r="G193" s="7" t="s">
        <v>179</v>
      </c>
      <c r="H193" s="7" t="s">
        <v>636</v>
      </c>
      <c r="I193" s="7" t="s">
        <v>447</v>
      </c>
      <c r="J193" s="7" t="s">
        <v>32</v>
      </c>
      <c r="K193" s="7"/>
      <c r="L193" s="8">
        <v>45841</v>
      </c>
      <c r="M193" s="8"/>
      <c r="N193" s="8"/>
      <c r="O193" s="7" t="s">
        <v>144</v>
      </c>
      <c r="P193" s="6">
        <v>2</v>
      </c>
      <c r="Q193" s="7" t="s">
        <v>220</v>
      </c>
      <c r="R193" s="7" t="str" cm="1">
        <f t="array" aca="1" ref="R193" ca="1">_xll.ELPAR($D$1,D193,1)</f>
        <v>RECALC_0_105_</v>
      </c>
      <c r="S193" s="7" t="str">
        <f ca="1">IF(ISERROR(Proc[[#This Row],[TM1]]),C193,IF(LEFT(Proc[[#This Row],[TM1]],10)=Proc[[#This Row],[Requested]],"MAPPED",C193))</f>
        <v>Waiting for MDGF approval</v>
      </c>
    </row>
    <row r="194" spans="1:19">
      <c r="A194" s="7" t="s">
        <v>214</v>
      </c>
      <c r="B194" s="7" t="s">
        <v>143</v>
      </c>
      <c r="C194" s="7" t="s">
        <v>33</v>
      </c>
      <c r="D194" s="7" t="s">
        <v>637</v>
      </c>
      <c r="E194" s="7" t="s">
        <v>598</v>
      </c>
      <c r="F194" s="7" t="s">
        <v>599</v>
      </c>
      <c r="G194" s="7" t="s">
        <v>179</v>
      </c>
      <c r="H194" s="7" t="s">
        <v>638</v>
      </c>
      <c r="I194" s="7" t="s">
        <v>447</v>
      </c>
      <c r="J194" s="7" t="s">
        <v>32</v>
      </c>
      <c r="K194" s="7"/>
      <c r="L194" s="8">
        <v>45841</v>
      </c>
      <c r="M194" s="8"/>
      <c r="N194" s="8"/>
      <c r="O194" s="7" t="s">
        <v>144</v>
      </c>
      <c r="P194" s="6">
        <v>2</v>
      </c>
      <c r="Q194" s="7" t="s">
        <v>220</v>
      </c>
      <c r="R194" s="7" t="str" cm="1">
        <f t="array" aca="1" ref="R194" ca="1">_xll.ELPAR($D$1,D194,1)</f>
        <v>RECALC_0_73_</v>
      </c>
      <c r="S194" s="7" t="str">
        <f ca="1">IF(ISERROR(Proc[[#This Row],[TM1]]),C194,IF(LEFT(Proc[[#This Row],[TM1]],10)=Proc[[#This Row],[Requested]],"MAPPED",C194))</f>
        <v>Waiting for MDGF approval</v>
      </c>
    </row>
    <row r="195" spans="1:19">
      <c r="A195" s="7" t="s">
        <v>214</v>
      </c>
      <c r="B195" s="7" t="s">
        <v>143</v>
      </c>
      <c r="C195" s="7" t="s">
        <v>33</v>
      </c>
      <c r="D195" s="7" t="s">
        <v>639</v>
      </c>
      <c r="E195" s="7" t="s">
        <v>598</v>
      </c>
      <c r="F195" s="7" t="s">
        <v>599</v>
      </c>
      <c r="G195" s="7" t="s">
        <v>179</v>
      </c>
      <c r="H195" s="7" t="s">
        <v>640</v>
      </c>
      <c r="I195" s="7" t="s">
        <v>447</v>
      </c>
      <c r="J195" s="7" t="s">
        <v>32</v>
      </c>
      <c r="K195" s="7"/>
      <c r="L195" s="8">
        <v>45841</v>
      </c>
      <c r="M195" s="8"/>
      <c r="N195" s="8"/>
      <c r="O195" s="7" t="s">
        <v>144</v>
      </c>
      <c r="P195" s="6">
        <v>2</v>
      </c>
      <c r="Q195" s="7" t="s">
        <v>220</v>
      </c>
      <c r="R195" s="7" t="str" cm="1">
        <f t="array" aca="1" ref="R195" ca="1">_xll.ELPAR($D$1,D195,1)</f>
        <v>RECALC_0_25_</v>
      </c>
      <c r="S195" s="7" t="str">
        <f ca="1">IF(ISERROR(Proc[[#This Row],[TM1]]),C195,IF(LEFT(Proc[[#This Row],[TM1]],10)=Proc[[#This Row],[Requested]],"MAPPED",C195))</f>
        <v>Waiting for MDGF approval</v>
      </c>
    </row>
    <row r="196" spans="1:19">
      <c r="A196" s="7" t="s">
        <v>214</v>
      </c>
      <c r="B196" s="7" t="s">
        <v>143</v>
      </c>
      <c r="C196" s="7" t="s">
        <v>33</v>
      </c>
      <c r="D196" s="7" t="s">
        <v>641</v>
      </c>
      <c r="E196" s="7" t="s">
        <v>616</v>
      </c>
      <c r="F196" s="7" t="s">
        <v>599</v>
      </c>
      <c r="G196" s="7" t="s">
        <v>179</v>
      </c>
      <c r="H196" s="7" t="s">
        <v>642</v>
      </c>
      <c r="I196" s="7" t="s">
        <v>447</v>
      </c>
      <c r="J196" s="7" t="s">
        <v>32</v>
      </c>
      <c r="K196" s="7"/>
      <c r="L196" s="8">
        <v>45841</v>
      </c>
      <c r="M196" s="8"/>
      <c r="N196" s="8"/>
      <c r="O196" s="7" t="s">
        <v>144</v>
      </c>
      <c r="P196" s="6">
        <v>2</v>
      </c>
      <c r="Q196" s="7" t="s">
        <v>220</v>
      </c>
      <c r="R196" s="7" t="str" cm="1">
        <f t="array" aca="1" ref="R196" ca="1">_xll.ELPAR($D$1,D196,1)</f>
        <v>RECALC_0_11_</v>
      </c>
      <c r="S196" s="7" t="str">
        <f ca="1">IF(ISERROR(Proc[[#This Row],[TM1]]),C196,IF(LEFT(Proc[[#This Row],[TM1]],10)=Proc[[#This Row],[Requested]],"MAPPED",C196))</f>
        <v>Waiting for MDGF approval</v>
      </c>
    </row>
    <row r="197" spans="1:19">
      <c r="A197" s="7" t="s">
        <v>214</v>
      </c>
      <c r="B197" s="7" t="s">
        <v>143</v>
      </c>
      <c r="C197" s="7" t="s">
        <v>33</v>
      </c>
      <c r="D197" s="7" t="s">
        <v>643</v>
      </c>
      <c r="E197" s="7" t="s">
        <v>598</v>
      </c>
      <c r="F197" s="7" t="s">
        <v>599</v>
      </c>
      <c r="G197" s="7" t="s">
        <v>179</v>
      </c>
      <c r="H197" s="7" t="s">
        <v>644</v>
      </c>
      <c r="I197" s="7" t="s">
        <v>447</v>
      </c>
      <c r="J197" s="7" t="s">
        <v>32</v>
      </c>
      <c r="K197" s="7"/>
      <c r="L197" s="8">
        <v>45841</v>
      </c>
      <c r="M197" s="8"/>
      <c r="N197" s="8"/>
      <c r="O197" s="7" t="s">
        <v>144</v>
      </c>
      <c r="P197" s="6">
        <v>2</v>
      </c>
      <c r="Q197" s="7" t="s">
        <v>220</v>
      </c>
      <c r="R197" s="7" t="str" cm="1">
        <f t="array" aca="1" ref="R197" ca="1">_xll.ELPAR($D$1,D197,1)</f>
        <v>RECALC_0_238_</v>
      </c>
      <c r="S197" s="7" t="str">
        <f ca="1">IF(ISERROR(Proc[[#This Row],[TM1]]),C197,IF(LEFT(Proc[[#This Row],[TM1]],10)=Proc[[#This Row],[Requested]],"MAPPED",C197))</f>
        <v>Waiting for MDGF approval</v>
      </c>
    </row>
    <row r="198" spans="1:19">
      <c r="A198" s="7" t="s">
        <v>214</v>
      </c>
      <c r="B198" s="7" t="s">
        <v>143</v>
      </c>
      <c r="C198" s="7" t="s">
        <v>33</v>
      </c>
      <c r="D198" s="7" t="s">
        <v>645</v>
      </c>
      <c r="E198" s="7" t="s">
        <v>598</v>
      </c>
      <c r="F198" s="7" t="s">
        <v>599</v>
      </c>
      <c r="G198" s="7" t="s">
        <v>179</v>
      </c>
      <c r="H198" s="7" t="s">
        <v>646</v>
      </c>
      <c r="I198" s="7" t="s">
        <v>447</v>
      </c>
      <c r="J198" s="7" t="s">
        <v>32</v>
      </c>
      <c r="K198" s="7"/>
      <c r="L198" s="8">
        <v>45841</v>
      </c>
      <c r="M198" s="8"/>
      <c r="N198" s="8"/>
      <c r="O198" s="7" t="s">
        <v>144</v>
      </c>
      <c r="P198" s="6">
        <v>2</v>
      </c>
      <c r="Q198" s="7" t="s">
        <v>220</v>
      </c>
      <c r="R198" s="7" t="str" cm="1">
        <f t="array" aca="1" ref="R198" ca="1">_xll.ELPAR($D$1,D198,1)</f>
        <v>RECALC_0_207_</v>
      </c>
      <c r="S198" s="7" t="str">
        <f ca="1">IF(ISERROR(Proc[[#This Row],[TM1]]),C198,IF(LEFT(Proc[[#This Row],[TM1]],10)=Proc[[#This Row],[Requested]],"MAPPED",C198))</f>
        <v>Waiting for MDGF approval</v>
      </c>
    </row>
    <row r="199" spans="1:19">
      <c r="A199" s="7" t="s">
        <v>214</v>
      </c>
      <c r="B199" s="7" t="s">
        <v>143</v>
      </c>
      <c r="C199" s="7" t="s">
        <v>33</v>
      </c>
      <c r="D199" s="7" t="s">
        <v>647</v>
      </c>
      <c r="E199" s="7" t="s">
        <v>598</v>
      </c>
      <c r="F199" s="7" t="s">
        <v>602</v>
      </c>
      <c r="G199" s="7" t="s">
        <v>179</v>
      </c>
      <c r="H199" s="7" t="s">
        <v>648</v>
      </c>
      <c r="I199" s="7" t="s">
        <v>447</v>
      </c>
      <c r="J199" s="7" t="s">
        <v>32</v>
      </c>
      <c r="K199" s="7"/>
      <c r="L199" s="8">
        <v>45841</v>
      </c>
      <c r="M199" s="8"/>
      <c r="N199" s="8"/>
      <c r="O199" s="7" t="s">
        <v>144</v>
      </c>
      <c r="P199" s="6">
        <v>2</v>
      </c>
      <c r="Q199" s="7" t="s">
        <v>220</v>
      </c>
      <c r="R199" s="7" t="str" cm="1">
        <f t="array" aca="1" ref="R199" ca="1">_xll.ELPAR($D$1,D199,1)</f>
        <v>RECALC_0_164_</v>
      </c>
      <c r="S199" s="7" t="str">
        <f ca="1">IF(ISERROR(Proc[[#This Row],[TM1]]),C199,IF(LEFT(Proc[[#This Row],[TM1]],10)=Proc[[#This Row],[Requested]],"MAPPED",C199))</f>
        <v>Waiting for MDGF approval</v>
      </c>
    </row>
    <row r="200" spans="1:19">
      <c r="A200" s="7" t="s">
        <v>214</v>
      </c>
      <c r="B200" s="7" t="s">
        <v>143</v>
      </c>
      <c r="C200" s="7" t="s">
        <v>33</v>
      </c>
      <c r="D200" s="7" t="s">
        <v>649</v>
      </c>
      <c r="E200" s="7" t="s">
        <v>607</v>
      </c>
      <c r="F200" s="7" t="s">
        <v>613</v>
      </c>
      <c r="G200" s="7" t="s">
        <v>179</v>
      </c>
      <c r="H200" s="7" t="s">
        <v>650</v>
      </c>
      <c r="I200" s="7" t="s">
        <v>447</v>
      </c>
      <c r="J200" s="7" t="s">
        <v>32</v>
      </c>
      <c r="K200" s="7"/>
      <c r="L200" s="8">
        <v>45841</v>
      </c>
      <c r="M200" s="8"/>
      <c r="N200" s="8"/>
      <c r="O200" s="7" t="s">
        <v>144</v>
      </c>
      <c r="P200" s="6">
        <v>2</v>
      </c>
      <c r="Q200" s="7" t="s">
        <v>220</v>
      </c>
      <c r="R200" s="7" t="str" cm="1">
        <f t="array" aca="1" ref="R200" ca="1">_xll.ELPAR($D$1,D200,1)</f>
        <v>RECALC_0_121_</v>
      </c>
      <c r="S200" s="7" t="str">
        <f ca="1">IF(ISERROR(Proc[[#This Row],[TM1]]),C200,IF(LEFT(Proc[[#This Row],[TM1]],10)=Proc[[#This Row],[Requested]],"MAPPED",C200))</f>
        <v>Waiting for MDGF approval</v>
      </c>
    </row>
    <row r="201" spans="1:19">
      <c r="A201" s="7" t="s">
        <v>214</v>
      </c>
      <c r="B201" s="7" t="s">
        <v>143</v>
      </c>
      <c r="C201" s="7" t="s">
        <v>33</v>
      </c>
      <c r="D201" s="7" t="s">
        <v>651</v>
      </c>
      <c r="E201" s="7" t="s">
        <v>598</v>
      </c>
      <c r="F201" s="7" t="s">
        <v>599</v>
      </c>
      <c r="G201" s="7" t="s">
        <v>179</v>
      </c>
      <c r="H201" s="7" t="s">
        <v>652</v>
      </c>
      <c r="I201" s="7" t="s">
        <v>447</v>
      </c>
      <c r="J201" s="7" t="s">
        <v>32</v>
      </c>
      <c r="K201" s="7"/>
      <c r="L201" s="8">
        <v>45841</v>
      </c>
      <c r="M201" s="8"/>
      <c r="N201" s="8"/>
      <c r="O201" s="7" t="s">
        <v>144</v>
      </c>
      <c r="P201" s="6">
        <v>2</v>
      </c>
      <c r="Q201" s="7" t="s">
        <v>220</v>
      </c>
      <c r="R201" s="7" t="str" cm="1">
        <f t="array" aca="1" ref="R201" ca="1">_xll.ELPAR($D$1,D201,1)</f>
        <v>RECALC_0_89_</v>
      </c>
      <c r="S201" s="7" t="str">
        <f ca="1">IF(ISERROR(Proc[[#This Row],[TM1]]),C201,IF(LEFT(Proc[[#This Row],[TM1]],10)=Proc[[#This Row],[Requested]],"MAPPED",C201))</f>
        <v>Waiting for MDGF approval</v>
      </c>
    </row>
    <row r="202" spans="1:19">
      <c r="A202" s="7" t="s">
        <v>214</v>
      </c>
      <c r="B202" s="7" t="s">
        <v>143</v>
      </c>
      <c r="C202" s="7" t="s">
        <v>33</v>
      </c>
      <c r="D202" s="7" t="s">
        <v>653</v>
      </c>
      <c r="E202" s="7" t="s">
        <v>616</v>
      </c>
      <c r="F202" s="7" t="s">
        <v>599</v>
      </c>
      <c r="G202" s="7" t="s">
        <v>179</v>
      </c>
      <c r="H202" s="7" t="s">
        <v>654</v>
      </c>
      <c r="I202" s="7" t="s">
        <v>447</v>
      </c>
      <c r="J202" s="7" t="s">
        <v>32</v>
      </c>
      <c r="K202" s="7"/>
      <c r="L202" s="8">
        <v>45841</v>
      </c>
      <c r="M202" s="8"/>
      <c r="N202" s="8"/>
      <c r="O202" s="7" t="s">
        <v>144</v>
      </c>
      <c r="P202" s="6">
        <v>2</v>
      </c>
      <c r="Q202" s="7" t="s">
        <v>220</v>
      </c>
      <c r="R202" s="7" t="str" cm="1">
        <f t="array" aca="1" ref="R202" ca="1">_xll.ELPAR($D$1,D202,1)</f>
        <v>RECALC_0_72_</v>
      </c>
      <c r="S202" s="7" t="str">
        <f ca="1">IF(ISERROR(Proc[[#This Row],[TM1]]),C202,IF(LEFT(Proc[[#This Row],[TM1]],10)=Proc[[#This Row],[Requested]],"MAPPED",C202))</f>
        <v>Waiting for MDGF approval</v>
      </c>
    </row>
    <row r="203" spans="1:19">
      <c r="A203" s="7" t="s">
        <v>214</v>
      </c>
      <c r="B203" s="7" t="s">
        <v>143</v>
      </c>
      <c r="C203" s="7" t="s">
        <v>33</v>
      </c>
      <c r="D203" s="7" t="s">
        <v>655</v>
      </c>
      <c r="E203" s="7" t="s">
        <v>616</v>
      </c>
      <c r="F203" s="7" t="s">
        <v>599</v>
      </c>
      <c r="G203" s="7" t="s">
        <v>179</v>
      </c>
      <c r="H203" s="7" t="s">
        <v>656</v>
      </c>
      <c r="I203" s="7" t="s">
        <v>447</v>
      </c>
      <c r="J203" s="7" t="s">
        <v>32</v>
      </c>
      <c r="K203" s="7"/>
      <c r="L203" s="8">
        <v>45841</v>
      </c>
      <c r="M203" s="8"/>
      <c r="N203" s="8"/>
      <c r="O203" s="7" t="s">
        <v>144</v>
      </c>
      <c r="P203" s="6">
        <v>2</v>
      </c>
      <c r="Q203" s="7" t="s">
        <v>220</v>
      </c>
      <c r="R203" s="7" t="str" cm="1">
        <f t="array" aca="1" ref="R203" ca="1">_xll.ELPAR($D$1,D203,1)</f>
        <v>RECALC_0_49_</v>
      </c>
      <c r="S203" s="7" t="str">
        <f ca="1">IF(ISERROR(Proc[[#This Row],[TM1]]),C203,IF(LEFT(Proc[[#This Row],[TM1]],10)=Proc[[#This Row],[Requested]],"MAPPED",C203))</f>
        <v>Waiting for MDGF approval</v>
      </c>
    </row>
    <row r="204" spans="1:19">
      <c r="A204" s="7" t="s">
        <v>214</v>
      </c>
      <c r="B204" s="7" t="s">
        <v>143</v>
      </c>
      <c r="C204" s="7" t="s">
        <v>33</v>
      </c>
      <c r="D204" s="7" t="s">
        <v>657</v>
      </c>
      <c r="E204" s="7" t="s">
        <v>598</v>
      </c>
      <c r="F204" s="7" t="s">
        <v>602</v>
      </c>
      <c r="G204" s="7" t="s">
        <v>179</v>
      </c>
      <c r="H204" s="7" t="s">
        <v>658</v>
      </c>
      <c r="I204" s="7" t="s">
        <v>447</v>
      </c>
      <c r="J204" s="7" t="s">
        <v>32</v>
      </c>
      <c r="K204" s="7"/>
      <c r="L204" s="8">
        <v>45841</v>
      </c>
      <c r="M204" s="8"/>
      <c r="N204" s="8"/>
      <c r="O204" s="7" t="s">
        <v>144</v>
      </c>
      <c r="P204" s="6">
        <v>2</v>
      </c>
      <c r="Q204" s="7" t="s">
        <v>220</v>
      </c>
      <c r="R204" s="7" t="str" cm="1">
        <f t="array" aca="1" ref="R204" ca="1">_xll.ELPAR($D$1,D204,1)</f>
        <v>RECALC_0_24_</v>
      </c>
      <c r="S204" s="7" t="str">
        <f ca="1">IF(ISERROR(Proc[[#This Row],[TM1]]),C204,IF(LEFT(Proc[[#This Row],[TM1]],10)=Proc[[#This Row],[Requested]],"MAPPED",C204))</f>
        <v>Waiting for MDGF approval</v>
      </c>
    </row>
    <row r="205" spans="1:19">
      <c r="A205" s="7" t="s">
        <v>214</v>
      </c>
      <c r="B205" s="7" t="s">
        <v>143</v>
      </c>
      <c r="C205" s="7" t="s">
        <v>33</v>
      </c>
      <c r="D205" s="7" t="s">
        <v>659</v>
      </c>
      <c r="E205" s="7" t="s">
        <v>598</v>
      </c>
      <c r="F205" s="7" t="s">
        <v>599</v>
      </c>
      <c r="G205" s="7" t="s">
        <v>179</v>
      </c>
      <c r="H205" s="7" t="s">
        <v>660</v>
      </c>
      <c r="I205" s="7" t="s">
        <v>447</v>
      </c>
      <c r="J205" s="7" t="s">
        <v>32</v>
      </c>
      <c r="K205" s="7"/>
      <c r="L205" s="8">
        <v>45841</v>
      </c>
      <c r="M205" s="8"/>
      <c r="N205" s="8"/>
      <c r="O205" s="7" t="s">
        <v>144</v>
      </c>
      <c r="P205" s="6">
        <v>2</v>
      </c>
      <c r="Q205" s="7" t="s">
        <v>220</v>
      </c>
      <c r="R205" s="7" t="str" cm="1">
        <f t="array" aca="1" ref="R205" ca="1">_xll.ELPAR($D$1,D205,1)</f>
        <v>RECALC_0_237_</v>
      </c>
      <c r="S205" s="7" t="str">
        <f ca="1">IF(ISERROR(Proc[[#This Row],[TM1]]),C205,IF(LEFT(Proc[[#This Row],[TM1]],10)=Proc[[#This Row],[Requested]],"MAPPED",C205))</f>
        <v>Waiting for MDGF approval</v>
      </c>
    </row>
    <row r="206" spans="1:19">
      <c r="A206" s="7" t="s">
        <v>214</v>
      </c>
      <c r="B206" s="7" t="s">
        <v>143</v>
      </c>
      <c r="C206" s="7" t="s">
        <v>33</v>
      </c>
      <c r="D206" s="7" t="s">
        <v>661</v>
      </c>
      <c r="E206" s="7" t="s">
        <v>598</v>
      </c>
      <c r="F206" s="7" t="s">
        <v>599</v>
      </c>
      <c r="G206" s="7" t="s">
        <v>179</v>
      </c>
      <c r="H206" s="7" t="s">
        <v>662</v>
      </c>
      <c r="I206" s="7" t="s">
        <v>447</v>
      </c>
      <c r="J206" s="7" t="s">
        <v>32</v>
      </c>
      <c r="K206" s="7"/>
      <c r="L206" s="8">
        <v>45841</v>
      </c>
      <c r="M206" s="8"/>
      <c r="N206" s="8"/>
      <c r="O206" s="7" t="s">
        <v>144</v>
      </c>
      <c r="P206" s="6">
        <v>2</v>
      </c>
      <c r="Q206" s="7" t="s">
        <v>220</v>
      </c>
      <c r="R206" s="7" t="str" cm="1">
        <f t="array" aca="1" ref="R206" ca="1">_xll.ELPAR($D$1,D206,1)</f>
        <v>RECALC_0_188_</v>
      </c>
      <c r="S206" s="7" t="str">
        <f ca="1">IF(ISERROR(Proc[[#This Row],[TM1]]),C206,IF(LEFT(Proc[[#This Row],[TM1]],10)=Proc[[#This Row],[Requested]],"MAPPED",C206))</f>
        <v>Waiting for MDGF approval</v>
      </c>
    </row>
    <row r="207" spans="1:19">
      <c r="A207" s="7" t="s">
        <v>214</v>
      </c>
      <c r="B207" s="7" t="s">
        <v>143</v>
      </c>
      <c r="C207" s="7" t="s">
        <v>33</v>
      </c>
      <c r="D207" s="7" t="s">
        <v>663</v>
      </c>
      <c r="E207" s="7" t="s">
        <v>607</v>
      </c>
      <c r="F207" s="7" t="s">
        <v>613</v>
      </c>
      <c r="G207" s="7" t="s">
        <v>179</v>
      </c>
      <c r="H207" s="7" t="s">
        <v>664</v>
      </c>
      <c r="I207" s="7" t="s">
        <v>447</v>
      </c>
      <c r="J207" s="7" t="s">
        <v>32</v>
      </c>
      <c r="K207" s="7"/>
      <c r="L207" s="8">
        <v>45841</v>
      </c>
      <c r="M207" s="8"/>
      <c r="N207" s="8"/>
      <c r="O207" s="7" t="s">
        <v>144</v>
      </c>
      <c r="P207" s="6">
        <v>2</v>
      </c>
      <c r="Q207" s="7" t="s">
        <v>220</v>
      </c>
      <c r="R207" s="7" t="str" cm="1">
        <f t="array" aca="1" ref="R207" ca="1">_xll.ELPAR($D$1,D207,1)</f>
        <v>RECALC_0_137_</v>
      </c>
      <c r="S207" s="7" t="str">
        <f ca="1">IF(ISERROR(Proc[[#This Row],[TM1]]),C207,IF(LEFT(Proc[[#This Row],[TM1]],10)=Proc[[#This Row],[Requested]],"MAPPED",C207))</f>
        <v>Waiting for MDGF approval</v>
      </c>
    </row>
    <row r="208" spans="1:19">
      <c r="A208" s="7" t="s">
        <v>214</v>
      </c>
      <c r="B208" s="7" t="s">
        <v>143</v>
      </c>
      <c r="C208" s="7" t="s">
        <v>33</v>
      </c>
      <c r="D208" s="7" t="s">
        <v>665</v>
      </c>
      <c r="E208" s="7" t="s">
        <v>607</v>
      </c>
      <c r="F208" s="7" t="s">
        <v>613</v>
      </c>
      <c r="G208" s="7" t="s">
        <v>179</v>
      </c>
      <c r="H208" s="7" t="s">
        <v>666</v>
      </c>
      <c r="I208" s="7" t="s">
        <v>447</v>
      </c>
      <c r="J208" s="7" t="s">
        <v>32</v>
      </c>
      <c r="K208" s="7"/>
      <c r="L208" s="8">
        <v>45841</v>
      </c>
      <c r="M208" s="8"/>
      <c r="N208" s="8"/>
      <c r="O208" s="7" t="s">
        <v>144</v>
      </c>
      <c r="P208" s="6">
        <v>2</v>
      </c>
      <c r="Q208" s="7" t="s">
        <v>220</v>
      </c>
      <c r="R208" s="7" t="str" cm="1">
        <f t="array" aca="1" ref="R208" ca="1">_xll.ELPAR($D$1,D208,1)</f>
        <v>RECALC_0_120_</v>
      </c>
      <c r="S208" s="7" t="str">
        <f ca="1">IF(ISERROR(Proc[[#This Row],[TM1]]),C208,IF(LEFT(Proc[[#This Row],[TM1]],10)=Proc[[#This Row],[Requested]],"MAPPED",C208))</f>
        <v>Waiting for MDGF approval</v>
      </c>
    </row>
    <row r="209" spans="1:19">
      <c r="A209" s="7" t="s">
        <v>214</v>
      </c>
      <c r="B209" s="7" t="s">
        <v>143</v>
      </c>
      <c r="C209" s="7" t="s">
        <v>33</v>
      </c>
      <c r="D209" s="7" t="s">
        <v>667</v>
      </c>
      <c r="E209" s="7" t="s">
        <v>607</v>
      </c>
      <c r="F209" s="7" t="s">
        <v>613</v>
      </c>
      <c r="G209" s="7" t="s">
        <v>179</v>
      </c>
      <c r="H209" s="7" t="s">
        <v>668</v>
      </c>
      <c r="I209" s="7" t="s">
        <v>447</v>
      </c>
      <c r="J209" s="7" t="s">
        <v>32</v>
      </c>
      <c r="K209" s="7"/>
      <c r="L209" s="8">
        <v>45841</v>
      </c>
      <c r="M209" s="8"/>
      <c r="N209" s="8"/>
      <c r="O209" s="7" t="s">
        <v>144</v>
      </c>
      <c r="P209" s="6">
        <v>2</v>
      </c>
      <c r="Q209" s="7" t="s">
        <v>220</v>
      </c>
      <c r="R209" s="7" t="str" cm="1">
        <f t="array" aca="1" ref="R209" ca="1">_xll.ELPAR($D$1,D209,1)</f>
        <v>RECALC_0_104_</v>
      </c>
      <c r="S209" s="7" t="str">
        <f ca="1">IF(ISERROR(Proc[[#This Row],[TM1]]),C209,IF(LEFT(Proc[[#This Row],[TM1]],10)=Proc[[#This Row],[Requested]],"MAPPED",C209))</f>
        <v>Waiting for MDGF approval</v>
      </c>
    </row>
    <row r="210" spans="1:19">
      <c r="A210" s="7" t="s">
        <v>214</v>
      </c>
      <c r="B210" s="7" t="s">
        <v>143</v>
      </c>
      <c r="C210" s="7" t="s">
        <v>33</v>
      </c>
      <c r="D210" s="7" t="s">
        <v>669</v>
      </c>
      <c r="E210" s="7" t="s">
        <v>607</v>
      </c>
      <c r="F210" s="7" t="s">
        <v>613</v>
      </c>
      <c r="G210" s="7" t="s">
        <v>179</v>
      </c>
      <c r="H210" s="7" t="s">
        <v>670</v>
      </c>
      <c r="I210" s="7" t="s">
        <v>447</v>
      </c>
      <c r="J210" s="7" t="s">
        <v>32</v>
      </c>
      <c r="K210" s="7"/>
      <c r="L210" s="8">
        <v>45841</v>
      </c>
      <c r="M210" s="8"/>
      <c r="N210" s="8"/>
      <c r="O210" s="7" t="s">
        <v>144</v>
      </c>
      <c r="P210" s="6">
        <v>2</v>
      </c>
      <c r="Q210" s="7" t="s">
        <v>220</v>
      </c>
      <c r="R210" s="7" t="str" cm="1">
        <f t="array" aca="1" ref="R210" ca="1">_xll.ELPAR($D$1,D210,1)</f>
        <v>RECALC_0_88_</v>
      </c>
      <c r="S210" s="7" t="str">
        <f ca="1">IF(ISERROR(Proc[[#This Row],[TM1]]),C210,IF(LEFT(Proc[[#This Row],[TM1]],10)=Proc[[#This Row],[Requested]],"MAPPED",C210))</f>
        <v>Waiting for MDGF approval</v>
      </c>
    </row>
    <row r="211" spans="1:19">
      <c r="A211" s="7" t="s">
        <v>214</v>
      </c>
      <c r="B211" s="7" t="s">
        <v>143</v>
      </c>
      <c r="C211" s="7" t="s">
        <v>33</v>
      </c>
      <c r="D211" s="7" t="s">
        <v>671</v>
      </c>
      <c r="E211" s="7" t="s">
        <v>607</v>
      </c>
      <c r="F211" s="7" t="s">
        <v>613</v>
      </c>
      <c r="G211" s="7" t="s">
        <v>179</v>
      </c>
      <c r="H211" s="7" t="s">
        <v>672</v>
      </c>
      <c r="I211" s="7" t="s">
        <v>447</v>
      </c>
      <c r="J211" s="7" t="s">
        <v>32</v>
      </c>
      <c r="K211" s="7"/>
      <c r="L211" s="8">
        <v>45841</v>
      </c>
      <c r="M211" s="8"/>
      <c r="N211" s="8"/>
      <c r="O211" s="7" t="s">
        <v>144</v>
      </c>
      <c r="P211" s="6">
        <v>2</v>
      </c>
      <c r="Q211" s="7" t="s">
        <v>220</v>
      </c>
      <c r="R211" s="7" t="str" cm="1">
        <f t="array" aca="1" ref="R211" ca="1">_xll.ELPAR($D$1,D211,1)</f>
        <v>RECALC_0_48_</v>
      </c>
      <c r="S211" s="7" t="str">
        <f ca="1">IF(ISERROR(Proc[[#This Row],[TM1]]),C211,IF(LEFT(Proc[[#This Row],[TM1]],10)=Proc[[#This Row],[Requested]],"MAPPED",C211))</f>
        <v>Waiting for MDGF approval</v>
      </c>
    </row>
    <row r="212" spans="1:19">
      <c r="A212" s="7" t="s">
        <v>214</v>
      </c>
      <c r="B212" s="7" t="s">
        <v>143</v>
      </c>
      <c r="C212" s="7" t="s">
        <v>33</v>
      </c>
      <c r="D212" s="7" t="s">
        <v>673</v>
      </c>
      <c r="E212" s="7" t="s">
        <v>607</v>
      </c>
      <c r="F212" s="7" t="s">
        <v>613</v>
      </c>
      <c r="G212" s="7" t="s">
        <v>179</v>
      </c>
      <c r="H212" s="7" t="s">
        <v>674</v>
      </c>
      <c r="I212" s="7" t="s">
        <v>447</v>
      </c>
      <c r="J212" s="7" t="s">
        <v>32</v>
      </c>
      <c r="K212" s="7"/>
      <c r="L212" s="8">
        <v>45841</v>
      </c>
      <c r="M212" s="8"/>
      <c r="N212" s="8"/>
      <c r="O212" s="7" t="s">
        <v>144</v>
      </c>
      <c r="P212" s="6">
        <v>2</v>
      </c>
      <c r="Q212" s="7" t="s">
        <v>220</v>
      </c>
      <c r="R212" s="7" t="str" cm="1">
        <f t="array" aca="1" ref="R212" ca="1">_xll.ELPAR($D$1,D212,1)</f>
        <v>RECALC_0_10_</v>
      </c>
      <c r="S212" s="7" t="str">
        <f ca="1">IF(ISERROR(Proc[[#This Row],[TM1]]),C212,IF(LEFT(Proc[[#This Row],[TM1]],10)=Proc[[#This Row],[Requested]],"MAPPED",C212))</f>
        <v>Waiting for MDGF approval</v>
      </c>
    </row>
    <row r="213" spans="1:19">
      <c r="A213" s="7" t="s">
        <v>214</v>
      </c>
      <c r="B213" s="7" t="s">
        <v>143</v>
      </c>
      <c r="C213" s="7" t="s">
        <v>33</v>
      </c>
      <c r="D213" s="7" t="s">
        <v>675</v>
      </c>
      <c r="E213" s="7" t="s">
        <v>607</v>
      </c>
      <c r="F213" s="7" t="s">
        <v>613</v>
      </c>
      <c r="G213" s="7" t="s">
        <v>179</v>
      </c>
      <c r="H213" s="7" t="s">
        <v>676</v>
      </c>
      <c r="I213" s="7" t="s">
        <v>447</v>
      </c>
      <c r="J213" s="7" t="s">
        <v>32</v>
      </c>
      <c r="K213" s="7"/>
      <c r="L213" s="8">
        <v>45841</v>
      </c>
      <c r="M213" s="8"/>
      <c r="N213" s="8"/>
      <c r="O213" s="7" t="s">
        <v>144</v>
      </c>
      <c r="P213" s="6">
        <v>2</v>
      </c>
      <c r="Q213" s="7" t="s">
        <v>220</v>
      </c>
      <c r="R213" s="7" t="str" cm="1">
        <f t="array" aca="1" ref="R213" ca="1">_xll.ELPAR($D$1,D213,1)</f>
        <v>RECALC_0_225_</v>
      </c>
      <c r="S213" s="7" t="str">
        <f ca="1">IF(ISERROR(Proc[[#This Row],[TM1]]),C213,IF(LEFT(Proc[[#This Row],[TM1]],10)=Proc[[#This Row],[Requested]],"MAPPED",C213))</f>
        <v>Waiting for MDGF approval</v>
      </c>
    </row>
    <row r="214" spans="1:19">
      <c r="A214" s="7" t="s">
        <v>214</v>
      </c>
      <c r="B214" s="7" t="s">
        <v>143</v>
      </c>
      <c r="C214" s="7" t="s">
        <v>33</v>
      </c>
      <c r="D214" s="7" t="s">
        <v>677</v>
      </c>
      <c r="E214" s="7" t="s">
        <v>607</v>
      </c>
      <c r="F214" s="7" t="s">
        <v>613</v>
      </c>
      <c r="G214" s="7" t="s">
        <v>179</v>
      </c>
      <c r="H214" s="7" t="s">
        <v>678</v>
      </c>
      <c r="I214" s="7" t="s">
        <v>447</v>
      </c>
      <c r="J214" s="7" t="s">
        <v>32</v>
      </c>
      <c r="K214" s="7"/>
      <c r="L214" s="8">
        <v>45841</v>
      </c>
      <c r="M214" s="8"/>
      <c r="N214" s="8"/>
      <c r="O214" s="7" t="s">
        <v>144</v>
      </c>
      <c r="P214" s="6">
        <v>2</v>
      </c>
      <c r="Q214" s="7" t="s">
        <v>220</v>
      </c>
      <c r="R214" s="7" t="str" cm="1">
        <f t="array" aca="1" ref="R214" ca="1">_xll.ELPAR($D$1,D214,1)</f>
        <v>RECALC_0_187_</v>
      </c>
      <c r="S214" s="7" t="str">
        <f ca="1">IF(ISERROR(Proc[[#This Row],[TM1]]),C214,IF(LEFT(Proc[[#This Row],[TM1]],10)=Proc[[#This Row],[Requested]],"MAPPED",C214))</f>
        <v>Waiting for MDGF approval</v>
      </c>
    </row>
    <row r="215" spans="1:19">
      <c r="A215" s="7" t="s">
        <v>214</v>
      </c>
      <c r="B215" s="7" t="s">
        <v>143</v>
      </c>
      <c r="C215" s="7" t="s">
        <v>33</v>
      </c>
      <c r="D215" s="7" t="s">
        <v>679</v>
      </c>
      <c r="E215" s="7" t="s">
        <v>607</v>
      </c>
      <c r="F215" s="7" t="s">
        <v>613</v>
      </c>
      <c r="G215" s="7" t="s">
        <v>179</v>
      </c>
      <c r="H215" s="7" t="s">
        <v>680</v>
      </c>
      <c r="I215" s="7" t="s">
        <v>447</v>
      </c>
      <c r="J215" s="7" t="s">
        <v>32</v>
      </c>
      <c r="K215" s="7"/>
      <c r="L215" s="8">
        <v>45841</v>
      </c>
      <c r="M215" s="8"/>
      <c r="N215" s="8"/>
      <c r="O215" s="7" t="s">
        <v>144</v>
      </c>
      <c r="P215" s="6">
        <v>2</v>
      </c>
      <c r="Q215" s="7" t="s">
        <v>220</v>
      </c>
      <c r="R215" s="7" t="str" cm="1">
        <f t="array" aca="1" ref="R215" ca="1">_xll.ELPAR($D$1,D215,1)</f>
        <v>RECALC_0_163_</v>
      </c>
      <c r="S215" s="7" t="str">
        <f ca="1">IF(ISERROR(Proc[[#This Row],[TM1]]),C215,IF(LEFT(Proc[[#This Row],[TM1]],10)=Proc[[#This Row],[Requested]],"MAPPED",C215))</f>
        <v>Waiting for MDGF approval</v>
      </c>
    </row>
    <row r="216" spans="1:19">
      <c r="A216" s="7" t="s">
        <v>214</v>
      </c>
      <c r="B216" s="7" t="s">
        <v>143</v>
      </c>
      <c r="C216" s="7" t="s">
        <v>33</v>
      </c>
      <c r="D216" s="7" t="s">
        <v>681</v>
      </c>
      <c r="E216" s="7" t="s">
        <v>607</v>
      </c>
      <c r="F216" s="7" t="s">
        <v>613</v>
      </c>
      <c r="G216" s="7" t="s">
        <v>179</v>
      </c>
      <c r="H216" s="7" t="s">
        <v>682</v>
      </c>
      <c r="I216" s="7" t="s">
        <v>447</v>
      </c>
      <c r="J216" s="7" t="s">
        <v>32</v>
      </c>
      <c r="K216" s="7"/>
      <c r="L216" s="8">
        <v>45841</v>
      </c>
      <c r="M216" s="8"/>
      <c r="N216" s="8"/>
      <c r="O216" s="7" t="s">
        <v>144</v>
      </c>
      <c r="P216" s="6">
        <v>2</v>
      </c>
      <c r="Q216" s="7" t="s">
        <v>220</v>
      </c>
      <c r="R216" s="7" t="str" cm="1">
        <f t="array" aca="1" ref="R216" ca="1">_xll.ELPAR($D$1,D216,1)</f>
        <v>RECALC_0_136_</v>
      </c>
      <c r="S216" s="7" t="str">
        <f ca="1">IF(ISERROR(Proc[[#This Row],[TM1]]),C216,IF(LEFT(Proc[[#This Row],[TM1]],10)=Proc[[#This Row],[Requested]],"MAPPED",C216))</f>
        <v>Waiting for MDGF approval</v>
      </c>
    </row>
    <row r="217" spans="1:19">
      <c r="A217" s="7" t="s">
        <v>214</v>
      </c>
      <c r="B217" s="7" t="s">
        <v>143</v>
      </c>
      <c r="C217" s="7" t="s">
        <v>33</v>
      </c>
      <c r="D217" s="7" t="s">
        <v>683</v>
      </c>
      <c r="E217" s="7" t="s">
        <v>607</v>
      </c>
      <c r="F217" s="7" t="s">
        <v>613</v>
      </c>
      <c r="G217" s="7" t="s">
        <v>179</v>
      </c>
      <c r="H217" s="7" t="s">
        <v>684</v>
      </c>
      <c r="I217" s="7" t="s">
        <v>447</v>
      </c>
      <c r="J217" s="7" t="s">
        <v>32</v>
      </c>
      <c r="K217" s="7"/>
      <c r="L217" s="8">
        <v>45841</v>
      </c>
      <c r="M217" s="8"/>
      <c r="N217" s="8"/>
      <c r="O217" s="7" t="s">
        <v>144</v>
      </c>
      <c r="P217" s="6">
        <v>2</v>
      </c>
      <c r="Q217" s="7" t="s">
        <v>220</v>
      </c>
      <c r="R217" s="7" t="str" cm="1">
        <f t="array" aca="1" ref="R217" ca="1">_xll.ELPAR($D$1,D217,1)</f>
        <v>RECALC_0_103_</v>
      </c>
      <c r="S217" s="7" t="str">
        <f ca="1">IF(ISERROR(Proc[[#This Row],[TM1]]),C217,IF(LEFT(Proc[[#This Row],[TM1]],10)=Proc[[#This Row],[Requested]],"MAPPED",C217))</f>
        <v>Waiting for MDGF approval</v>
      </c>
    </row>
    <row r="218" spans="1:19">
      <c r="A218" s="7" t="s">
        <v>214</v>
      </c>
      <c r="B218" s="7" t="s">
        <v>143</v>
      </c>
      <c r="C218" s="7" t="s">
        <v>33</v>
      </c>
      <c r="D218" s="7" t="s">
        <v>685</v>
      </c>
      <c r="E218" s="7" t="s">
        <v>607</v>
      </c>
      <c r="F218" s="7" t="s">
        <v>613</v>
      </c>
      <c r="G218" s="7" t="s">
        <v>179</v>
      </c>
      <c r="H218" s="7" t="s">
        <v>686</v>
      </c>
      <c r="I218" s="7" t="s">
        <v>447</v>
      </c>
      <c r="J218" s="7" t="s">
        <v>32</v>
      </c>
      <c r="K218" s="7"/>
      <c r="L218" s="8">
        <v>45841</v>
      </c>
      <c r="M218" s="8"/>
      <c r="N218" s="8"/>
      <c r="O218" s="7" t="s">
        <v>144</v>
      </c>
      <c r="P218" s="6">
        <v>2</v>
      </c>
      <c r="Q218" s="7" t="s">
        <v>220</v>
      </c>
      <c r="R218" s="7" t="str" cm="1">
        <f t="array" aca="1" ref="R218" ca="1">_xll.ELPAR($D$1,D218,1)</f>
        <v>RECALC_0_71_</v>
      </c>
      <c r="S218" s="7" t="str">
        <f ca="1">IF(ISERROR(Proc[[#This Row],[TM1]]),C218,IF(LEFT(Proc[[#This Row],[TM1]],10)=Proc[[#This Row],[Requested]],"MAPPED",C218))</f>
        <v>Waiting for MDGF approval</v>
      </c>
    </row>
    <row r="219" spans="1:19">
      <c r="A219" s="7" t="s">
        <v>214</v>
      </c>
      <c r="B219" s="7" t="s">
        <v>143</v>
      </c>
      <c r="C219" s="7" t="s">
        <v>33</v>
      </c>
      <c r="D219" s="7" t="s">
        <v>687</v>
      </c>
      <c r="E219" s="7" t="s">
        <v>607</v>
      </c>
      <c r="F219" s="7" t="s">
        <v>613</v>
      </c>
      <c r="G219" s="7" t="s">
        <v>179</v>
      </c>
      <c r="H219" s="7" t="s">
        <v>688</v>
      </c>
      <c r="I219" s="7" t="s">
        <v>447</v>
      </c>
      <c r="J219" s="7" t="s">
        <v>32</v>
      </c>
      <c r="K219" s="7"/>
      <c r="L219" s="8">
        <v>45841</v>
      </c>
      <c r="M219" s="8"/>
      <c r="N219" s="8"/>
      <c r="O219" s="7" t="s">
        <v>144</v>
      </c>
      <c r="P219" s="6">
        <v>2</v>
      </c>
      <c r="Q219" s="7" t="s">
        <v>220</v>
      </c>
      <c r="R219" s="7" t="str" cm="1">
        <f t="array" aca="1" ref="R219" ca="1">_xll.ELPAR($D$1,D219,1)</f>
        <v>RECALC_0_23_</v>
      </c>
      <c r="S219" s="7" t="str">
        <f ca="1">IF(ISERROR(Proc[[#This Row],[TM1]]),C219,IF(LEFT(Proc[[#This Row],[TM1]],10)=Proc[[#This Row],[Requested]],"MAPPED",C219))</f>
        <v>Waiting for MDGF approval</v>
      </c>
    </row>
    <row r="220" spans="1:19">
      <c r="A220" s="7" t="s">
        <v>214</v>
      </c>
      <c r="B220" s="7" t="s">
        <v>143</v>
      </c>
      <c r="C220" s="7" t="s">
        <v>33</v>
      </c>
      <c r="D220" s="7" t="s">
        <v>689</v>
      </c>
      <c r="E220" s="7" t="s">
        <v>607</v>
      </c>
      <c r="F220" s="7" t="s">
        <v>613</v>
      </c>
      <c r="G220" s="7" t="s">
        <v>179</v>
      </c>
      <c r="H220" s="7" t="s">
        <v>690</v>
      </c>
      <c r="I220" s="7" t="s">
        <v>447</v>
      </c>
      <c r="J220" s="7" t="s">
        <v>32</v>
      </c>
      <c r="K220" s="7"/>
      <c r="L220" s="8">
        <v>45841</v>
      </c>
      <c r="M220" s="8"/>
      <c r="N220" s="8"/>
      <c r="O220" s="7" t="s">
        <v>144</v>
      </c>
      <c r="P220" s="6">
        <v>2</v>
      </c>
      <c r="Q220" s="7" t="s">
        <v>220</v>
      </c>
      <c r="R220" s="7" t="str" cm="1">
        <f t="array" aca="1" ref="R220" ca="1">_xll.ELPAR($D$1,D220,1)</f>
        <v>RECALC_0_37_</v>
      </c>
      <c r="S220" s="7" t="str">
        <f ca="1">IF(ISERROR(Proc[[#This Row],[TM1]]),C220,IF(LEFT(Proc[[#This Row],[TM1]],10)=Proc[[#This Row],[Requested]],"MAPPED",C220))</f>
        <v>Waiting for MDGF approval</v>
      </c>
    </row>
    <row r="221" spans="1:19">
      <c r="A221" s="7" t="s">
        <v>214</v>
      </c>
      <c r="B221" s="7" t="s">
        <v>143</v>
      </c>
      <c r="C221" s="7" t="s">
        <v>33</v>
      </c>
      <c r="D221" s="7" t="s">
        <v>691</v>
      </c>
      <c r="E221" s="7" t="s">
        <v>598</v>
      </c>
      <c r="F221" s="7" t="s">
        <v>625</v>
      </c>
      <c r="G221" s="7" t="s">
        <v>179</v>
      </c>
      <c r="H221" s="7" t="s">
        <v>692</v>
      </c>
      <c r="I221" s="7" t="s">
        <v>447</v>
      </c>
      <c r="J221" s="7" t="s">
        <v>32</v>
      </c>
      <c r="K221" s="7"/>
      <c r="L221" s="8">
        <v>45841</v>
      </c>
      <c r="M221" s="8"/>
      <c r="N221" s="8"/>
      <c r="O221" s="7" t="s">
        <v>144</v>
      </c>
      <c r="P221" s="6">
        <v>2</v>
      </c>
      <c r="Q221" s="7" t="s">
        <v>220</v>
      </c>
      <c r="R221" s="7" t="str" cm="1">
        <f t="array" aca="1" ref="R221" ca="1">_xll.ELPAR($D$1,D221,1)</f>
        <v>RECALC_0_236_</v>
      </c>
      <c r="S221" s="7" t="str">
        <f ca="1">IF(ISERROR(Proc[[#This Row],[TM1]]),C221,IF(LEFT(Proc[[#This Row],[TM1]],10)=Proc[[#This Row],[Requested]],"MAPPED",C221))</f>
        <v>Waiting for MDGF approval</v>
      </c>
    </row>
    <row r="222" spans="1:19">
      <c r="A222" s="7" t="s">
        <v>214</v>
      </c>
      <c r="B222" s="7" t="s">
        <v>143</v>
      </c>
      <c r="C222" s="7" t="s">
        <v>33</v>
      </c>
      <c r="D222" s="7" t="s">
        <v>693</v>
      </c>
      <c r="E222" s="7" t="s">
        <v>598</v>
      </c>
      <c r="F222" s="7" t="s">
        <v>602</v>
      </c>
      <c r="G222" s="7" t="s">
        <v>179</v>
      </c>
      <c r="H222" s="7" t="s">
        <v>694</v>
      </c>
      <c r="I222" s="7" t="s">
        <v>447</v>
      </c>
      <c r="J222" s="7" t="s">
        <v>32</v>
      </c>
      <c r="K222" s="7"/>
      <c r="L222" s="8">
        <v>45841</v>
      </c>
      <c r="M222" s="8"/>
      <c r="N222" s="8"/>
      <c r="O222" s="7" t="s">
        <v>144</v>
      </c>
      <c r="P222" s="6">
        <v>2</v>
      </c>
      <c r="Q222" s="7" t="s">
        <v>220</v>
      </c>
      <c r="R222" s="7" t="str" cm="1">
        <f t="array" aca="1" ref="R222" ca="1">_xll.ELPAR($D$1,D222,1)</f>
        <v>RECALC_0_206_</v>
      </c>
      <c r="S222" s="7" t="str">
        <f ca="1">IF(ISERROR(Proc[[#This Row],[TM1]]),C222,IF(LEFT(Proc[[#This Row],[TM1]],10)=Proc[[#This Row],[Requested]],"MAPPED",C222))</f>
        <v>Waiting for MDGF approval</v>
      </c>
    </row>
    <row r="223" spans="1:19">
      <c r="A223" s="7" t="s">
        <v>214</v>
      </c>
      <c r="B223" s="7" t="s">
        <v>143</v>
      </c>
      <c r="C223" s="7" t="s">
        <v>33</v>
      </c>
      <c r="D223" s="7" t="s">
        <v>695</v>
      </c>
      <c r="E223" s="7" t="s">
        <v>598</v>
      </c>
      <c r="F223" s="7" t="s">
        <v>599</v>
      </c>
      <c r="G223" s="7" t="s">
        <v>179</v>
      </c>
      <c r="H223" s="7" t="s">
        <v>696</v>
      </c>
      <c r="I223" s="7" t="s">
        <v>447</v>
      </c>
      <c r="J223" s="7" t="s">
        <v>32</v>
      </c>
      <c r="K223" s="7"/>
      <c r="L223" s="8">
        <v>45841</v>
      </c>
      <c r="M223" s="8"/>
      <c r="N223" s="8"/>
      <c r="O223" s="7" t="s">
        <v>144</v>
      </c>
      <c r="P223" s="6">
        <v>2</v>
      </c>
      <c r="Q223" s="7" t="s">
        <v>220</v>
      </c>
      <c r="R223" s="7" t="str" cm="1">
        <f t="array" aca="1" ref="R223" ca="1">_xll.ELPAR($D$1,D223,1)</f>
        <v>RECALC_0_162_</v>
      </c>
      <c r="S223" s="7" t="str">
        <f ca="1">IF(ISERROR(Proc[[#This Row],[TM1]]),C223,IF(LEFT(Proc[[#This Row],[TM1]],10)=Proc[[#This Row],[Requested]],"MAPPED",C223))</f>
        <v>Waiting for MDGF approval</v>
      </c>
    </row>
    <row r="224" spans="1:19">
      <c r="A224" s="7" t="s">
        <v>214</v>
      </c>
      <c r="B224" s="7" t="s">
        <v>143</v>
      </c>
      <c r="C224" s="7" t="s">
        <v>33</v>
      </c>
      <c r="D224" s="7" t="s">
        <v>697</v>
      </c>
      <c r="E224" s="7" t="s">
        <v>607</v>
      </c>
      <c r="F224" s="7" t="s">
        <v>613</v>
      </c>
      <c r="G224" s="7" t="s">
        <v>179</v>
      </c>
      <c r="H224" s="7" t="s">
        <v>698</v>
      </c>
      <c r="I224" s="7" t="s">
        <v>447</v>
      </c>
      <c r="J224" s="7" t="s">
        <v>32</v>
      </c>
      <c r="K224" s="7"/>
      <c r="L224" s="8">
        <v>45841</v>
      </c>
      <c r="M224" s="8"/>
      <c r="N224" s="8"/>
      <c r="O224" s="7" t="s">
        <v>144</v>
      </c>
      <c r="P224" s="6">
        <v>2</v>
      </c>
      <c r="Q224" s="7" t="s">
        <v>220</v>
      </c>
      <c r="R224" s="7" t="str" cm="1">
        <f t="array" aca="1" ref="R224" ca="1">_xll.ELPAR($D$1,D224,1)</f>
        <v>RECALC_0_119_</v>
      </c>
      <c r="S224" s="7" t="str">
        <f ca="1">IF(ISERROR(Proc[[#This Row],[TM1]]),C224,IF(LEFT(Proc[[#This Row],[TM1]],10)=Proc[[#This Row],[Requested]],"MAPPED",C224))</f>
        <v>Waiting for MDGF approval</v>
      </c>
    </row>
    <row r="225" spans="1:19">
      <c r="A225" s="7" t="s">
        <v>214</v>
      </c>
      <c r="B225" s="7" t="s">
        <v>143</v>
      </c>
      <c r="C225" s="7" t="s">
        <v>33</v>
      </c>
      <c r="D225" s="7" t="s">
        <v>699</v>
      </c>
      <c r="E225" s="7" t="s">
        <v>607</v>
      </c>
      <c r="F225" s="7" t="s">
        <v>613</v>
      </c>
      <c r="G225" s="7" t="s">
        <v>179</v>
      </c>
      <c r="H225" s="7" t="s">
        <v>700</v>
      </c>
      <c r="I225" s="7" t="s">
        <v>447</v>
      </c>
      <c r="J225" s="7" t="s">
        <v>32</v>
      </c>
      <c r="K225" s="7"/>
      <c r="L225" s="8">
        <v>45841</v>
      </c>
      <c r="M225" s="8"/>
      <c r="N225" s="8"/>
      <c r="O225" s="7" t="s">
        <v>144</v>
      </c>
      <c r="P225" s="6">
        <v>2</v>
      </c>
      <c r="Q225" s="7" t="s">
        <v>220</v>
      </c>
      <c r="R225" s="7" t="str" cm="1">
        <f t="array" aca="1" ref="R225" ca="1">_xll.ELPAR($D$1,D225,1)</f>
        <v>RECALC_0_87_</v>
      </c>
      <c r="S225" s="7" t="str">
        <f ca="1">IF(ISERROR(Proc[[#This Row],[TM1]]),C225,IF(LEFT(Proc[[#This Row],[TM1]],10)=Proc[[#This Row],[Requested]],"MAPPED",C225))</f>
        <v>Waiting for MDGF approval</v>
      </c>
    </row>
    <row r="226" spans="1:19">
      <c r="A226" s="7" t="s">
        <v>214</v>
      </c>
      <c r="B226" s="7" t="s">
        <v>143</v>
      </c>
      <c r="C226" s="7" t="s">
        <v>33</v>
      </c>
      <c r="D226" s="7" t="s">
        <v>701</v>
      </c>
      <c r="E226" s="7" t="s">
        <v>607</v>
      </c>
      <c r="F226" s="7" t="s">
        <v>613</v>
      </c>
      <c r="G226" s="7" t="s">
        <v>179</v>
      </c>
      <c r="H226" s="7" t="s">
        <v>702</v>
      </c>
      <c r="I226" s="7" t="s">
        <v>447</v>
      </c>
      <c r="J226" s="7" t="s">
        <v>32</v>
      </c>
      <c r="K226" s="7"/>
      <c r="L226" s="8">
        <v>45841</v>
      </c>
      <c r="M226" s="8"/>
      <c r="N226" s="8"/>
      <c r="O226" s="7" t="s">
        <v>144</v>
      </c>
      <c r="P226" s="6">
        <v>2</v>
      </c>
      <c r="Q226" s="7" t="s">
        <v>220</v>
      </c>
      <c r="R226" s="7" t="str" cm="1">
        <f t="array" aca="1" ref="R226" ca="1">_xll.ELPAR($D$1,D226,1)</f>
        <v>RECALC_0_70_</v>
      </c>
      <c r="S226" s="7" t="str">
        <f ca="1">IF(ISERROR(Proc[[#This Row],[TM1]]),C226,IF(LEFT(Proc[[#This Row],[TM1]],10)=Proc[[#This Row],[Requested]],"MAPPED",C226))</f>
        <v>Waiting for MDGF approval</v>
      </c>
    </row>
    <row r="227" spans="1:19">
      <c r="A227" s="7" t="s">
        <v>214</v>
      </c>
      <c r="B227" s="7" t="s">
        <v>143</v>
      </c>
      <c r="C227" s="7" t="s">
        <v>33</v>
      </c>
      <c r="D227" s="7" t="s">
        <v>703</v>
      </c>
      <c r="E227" s="7" t="s">
        <v>607</v>
      </c>
      <c r="F227" s="7" t="s">
        <v>613</v>
      </c>
      <c r="G227" s="7" t="s">
        <v>179</v>
      </c>
      <c r="H227" s="7" t="s">
        <v>704</v>
      </c>
      <c r="I227" s="7" t="s">
        <v>447</v>
      </c>
      <c r="J227" s="7" t="s">
        <v>32</v>
      </c>
      <c r="K227" s="7"/>
      <c r="L227" s="8">
        <v>45841</v>
      </c>
      <c r="M227" s="8"/>
      <c r="N227" s="8"/>
      <c r="O227" s="7" t="s">
        <v>144</v>
      </c>
      <c r="P227" s="6">
        <v>2</v>
      </c>
      <c r="Q227" s="7" t="s">
        <v>220</v>
      </c>
      <c r="R227" s="7" t="str" cm="1">
        <f t="array" aca="1" ref="R227" ca="1">_xll.ELPAR($D$1,D227,1)</f>
        <v>RECALC_0_47_</v>
      </c>
      <c r="S227" s="7" t="str">
        <f ca="1">IF(ISERROR(Proc[[#This Row],[TM1]]),C227,IF(LEFT(Proc[[#This Row],[TM1]],10)=Proc[[#This Row],[Requested]],"MAPPED",C227))</f>
        <v>Waiting for MDGF approval</v>
      </c>
    </row>
    <row r="228" spans="1:19">
      <c r="A228" s="7" t="s">
        <v>214</v>
      </c>
      <c r="B228" s="7" t="s">
        <v>143</v>
      </c>
      <c r="C228" s="7" t="s">
        <v>33</v>
      </c>
      <c r="D228" s="7" t="s">
        <v>705</v>
      </c>
      <c r="E228" s="7" t="s">
        <v>607</v>
      </c>
      <c r="F228" s="7" t="s">
        <v>613</v>
      </c>
      <c r="G228" s="7" t="s">
        <v>179</v>
      </c>
      <c r="H228" s="7" t="s">
        <v>706</v>
      </c>
      <c r="I228" s="7" t="s">
        <v>447</v>
      </c>
      <c r="J228" s="7" t="s">
        <v>32</v>
      </c>
      <c r="K228" s="7"/>
      <c r="L228" s="8">
        <v>45841</v>
      </c>
      <c r="M228" s="8"/>
      <c r="N228" s="8"/>
      <c r="O228" s="7" t="s">
        <v>144</v>
      </c>
      <c r="P228" s="6">
        <v>2</v>
      </c>
      <c r="Q228" s="7" t="s">
        <v>220</v>
      </c>
      <c r="R228" s="7" t="str" cm="1">
        <f t="array" aca="1" ref="R228" ca="1">_xll.ELPAR($D$1,D228,1)</f>
        <v>RECALC_0_22_</v>
      </c>
      <c r="S228" s="7" t="str">
        <f ca="1">IF(ISERROR(Proc[[#This Row],[TM1]]),C228,IF(LEFT(Proc[[#This Row],[TM1]],10)=Proc[[#This Row],[Requested]],"MAPPED",C228))</f>
        <v>Waiting for MDGF approval</v>
      </c>
    </row>
    <row r="229" spans="1:19">
      <c r="A229" s="7" t="s">
        <v>214</v>
      </c>
      <c r="B229" s="7" t="s">
        <v>143</v>
      </c>
      <c r="C229" s="7" t="s">
        <v>33</v>
      </c>
      <c r="D229" s="7" t="s">
        <v>707</v>
      </c>
      <c r="E229" s="7" t="s">
        <v>607</v>
      </c>
      <c r="F229" s="7" t="s">
        <v>613</v>
      </c>
      <c r="G229" s="7" t="s">
        <v>179</v>
      </c>
      <c r="H229" s="7" t="s">
        <v>708</v>
      </c>
      <c r="I229" s="7" t="s">
        <v>447</v>
      </c>
      <c r="J229" s="7" t="s">
        <v>32</v>
      </c>
      <c r="K229" s="7"/>
      <c r="L229" s="8">
        <v>45841</v>
      </c>
      <c r="M229" s="8"/>
      <c r="N229" s="8"/>
      <c r="O229" s="7" t="s">
        <v>144</v>
      </c>
      <c r="P229" s="6">
        <v>2</v>
      </c>
      <c r="Q229" s="7" t="s">
        <v>220</v>
      </c>
      <c r="R229" s="7" t="str" cm="1">
        <f t="array" aca="1" ref="R229" ca="1">_xll.ELPAR($D$1,D229,1)</f>
        <v>RECALC_0_235_</v>
      </c>
      <c r="S229" s="7" t="str">
        <f ca="1">IF(ISERROR(Proc[[#This Row],[TM1]]),C229,IF(LEFT(Proc[[#This Row],[TM1]],10)=Proc[[#This Row],[Requested]],"MAPPED",C229))</f>
        <v>Waiting for MDGF approval</v>
      </c>
    </row>
    <row r="230" spans="1:19">
      <c r="A230" s="7" t="s">
        <v>214</v>
      </c>
      <c r="B230" s="7" t="s">
        <v>143</v>
      </c>
      <c r="C230" s="7" t="s">
        <v>33</v>
      </c>
      <c r="D230" s="7" t="s">
        <v>709</v>
      </c>
      <c r="E230" s="7" t="s">
        <v>607</v>
      </c>
      <c r="F230" s="7" t="s">
        <v>613</v>
      </c>
      <c r="G230" s="7" t="s">
        <v>179</v>
      </c>
      <c r="H230" s="7" t="s">
        <v>710</v>
      </c>
      <c r="I230" s="7" t="s">
        <v>447</v>
      </c>
      <c r="J230" s="7" t="s">
        <v>32</v>
      </c>
      <c r="K230" s="7"/>
      <c r="L230" s="8">
        <v>45841</v>
      </c>
      <c r="M230" s="8"/>
      <c r="N230" s="8"/>
      <c r="O230" s="7" t="s">
        <v>144</v>
      </c>
      <c r="P230" s="6">
        <v>2</v>
      </c>
      <c r="Q230" s="7" t="s">
        <v>220</v>
      </c>
      <c r="R230" s="7" t="str" cm="1">
        <f t="array" aca="1" ref="R230" ca="1">_xll.ELPAR($D$1,D230,1)</f>
        <v>RECALC_0_186_</v>
      </c>
      <c r="S230" s="7" t="str">
        <f ca="1">IF(ISERROR(Proc[[#This Row],[TM1]]),C230,IF(LEFT(Proc[[#This Row],[TM1]],10)=Proc[[#This Row],[Requested]],"MAPPED",C230))</f>
        <v>Waiting for MDGF approval</v>
      </c>
    </row>
    <row r="231" spans="1:19">
      <c r="A231" s="7" t="s">
        <v>214</v>
      </c>
      <c r="B231" s="7" t="s">
        <v>143</v>
      </c>
      <c r="C231" s="7" t="s">
        <v>33</v>
      </c>
      <c r="D231" s="7" t="s">
        <v>711</v>
      </c>
      <c r="E231" s="7" t="s">
        <v>607</v>
      </c>
      <c r="F231" s="7" t="s">
        <v>613</v>
      </c>
      <c r="G231" s="7" t="s">
        <v>179</v>
      </c>
      <c r="H231" s="7" t="s">
        <v>712</v>
      </c>
      <c r="I231" s="7" t="s">
        <v>447</v>
      </c>
      <c r="J231" s="7" t="s">
        <v>32</v>
      </c>
      <c r="K231" s="7"/>
      <c r="L231" s="8">
        <v>45841</v>
      </c>
      <c r="M231" s="8"/>
      <c r="N231" s="8"/>
      <c r="O231" s="7" t="s">
        <v>144</v>
      </c>
      <c r="P231" s="6">
        <v>2</v>
      </c>
      <c r="Q231" s="7" t="s">
        <v>220</v>
      </c>
      <c r="R231" s="7" t="str" cm="1">
        <f t="array" aca="1" ref="R231" ca="1">_xll.ELPAR($D$1,D231,1)</f>
        <v>RECALC_0_135_</v>
      </c>
      <c r="S231" s="7" t="str">
        <f ca="1">IF(ISERROR(Proc[[#This Row],[TM1]]),C231,IF(LEFT(Proc[[#This Row],[TM1]],10)=Proc[[#This Row],[Requested]],"MAPPED",C231))</f>
        <v>Waiting for MDGF approval</v>
      </c>
    </row>
    <row r="232" spans="1:19">
      <c r="A232" s="7" t="s">
        <v>214</v>
      </c>
      <c r="B232" s="7" t="s">
        <v>143</v>
      </c>
      <c r="C232" s="7" t="s">
        <v>33</v>
      </c>
      <c r="D232" s="7" t="s">
        <v>713</v>
      </c>
      <c r="E232" s="7" t="s">
        <v>607</v>
      </c>
      <c r="F232" s="7" t="s">
        <v>613</v>
      </c>
      <c r="G232" s="7" t="s">
        <v>179</v>
      </c>
      <c r="H232" s="7" t="s">
        <v>714</v>
      </c>
      <c r="I232" s="7" t="s">
        <v>447</v>
      </c>
      <c r="J232" s="7" t="s">
        <v>32</v>
      </c>
      <c r="K232" s="7"/>
      <c r="L232" s="8">
        <v>45841</v>
      </c>
      <c r="M232" s="8"/>
      <c r="N232" s="8"/>
      <c r="O232" s="7" t="s">
        <v>144</v>
      </c>
      <c r="P232" s="6">
        <v>2</v>
      </c>
      <c r="Q232" s="7" t="s">
        <v>220</v>
      </c>
      <c r="R232" s="7" t="str" cm="1">
        <f t="array" aca="1" ref="R232" ca="1">_xll.ELPAR($D$1,D232,1)</f>
        <v>RECALC_0_118_</v>
      </c>
      <c r="S232" s="7" t="str">
        <f ca="1">IF(ISERROR(Proc[[#This Row],[TM1]]),C232,IF(LEFT(Proc[[#This Row],[TM1]],10)=Proc[[#This Row],[Requested]],"MAPPED",C232))</f>
        <v>Waiting for MDGF approval</v>
      </c>
    </row>
    <row r="233" spans="1:19">
      <c r="A233" s="7" t="s">
        <v>214</v>
      </c>
      <c r="B233" s="7" t="s">
        <v>143</v>
      </c>
      <c r="C233" s="7" t="s">
        <v>33</v>
      </c>
      <c r="D233" s="7" t="s">
        <v>715</v>
      </c>
      <c r="E233" s="7" t="s">
        <v>607</v>
      </c>
      <c r="F233" s="7" t="s">
        <v>613</v>
      </c>
      <c r="G233" s="7" t="s">
        <v>179</v>
      </c>
      <c r="H233" s="7" t="s">
        <v>716</v>
      </c>
      <c r="I233" s="7" t="s">
        <v>447</v>
      </c>
      <c r="J233" s="7" t="s">
        <v>32</v>
      </c>
      <c r="K233" s="7"/>
      <c r="L233" s="8">
        <v>45841</v>
      </c>
      <c r="M233" s="8"/>
      <c r="N233" s="8"/>
      <c r="O233" s="7" t="s">
        <v>144</v>
      </c>
      <c r="P233" s="6">
        <v>2</v>
      </c>
      <c r="Q233" s="7" t="s">
        <v>220</v>
      </c>
      <c r="R233" s="7" t="str" cm="1">
        <f t="array" aca="1" ref="R233" ca="1">_xll.ELPAR($D$1,D233,1)</f>
        <v>RECALC_0_102_</v>
      </c>
      <c r="S233" s="7" t="str">
        <f ca="1">IF(ISERROR(Proc[[#This Row],[TM1]]),C233,IF(LEFT(Proc[[#This Row],[TM1]],10)=Proc[[#This Row],[Requested]],"MAPPED",C233))</f>
        <v>Waiting for MDGF approval</v>
      </c>
    </row>
    <row r="234" spans="1:19">
      <c r="A234" s="7" t="s">
        <v>214</v>
      </c>
      <c r="B234" s="7" t="s">
        <v>143</v>
      </c>
      <c r="C234" s="7" t="s">
        <v>33</v>
      </c>
      <c r="D234" s="7" t="s">
        <v>717</v>
      </c>
      <c r="E234" s="7" t="s">
        <v>607</v>
      </c>
      <c r="F234" s="7" t="s">
        <v>613</v>
      </c>
      <c r="G234" s="7" t="s">
        <v>179</v>
      </c>
      <c r="H234" s="7" t="s">
        <v>718</v>
      </c>
      <c r="I234" s="7" t="s">
        <v>447</v>
      </c>
      <c r="J234" s="7" t="s">
        <v>32</v>
      </c>
      <c r="K234" s="7"/>
      <c r="L234" s="8">
        <v>45841</v>
      </c>
      <c r="M234" s="8"/>
      <c r="N234" s="8"/>
      <c r="O234" s="7" t="s">
        <v>144</v>
      </c>
      <c r="P234" s="6">
        <v>2</v>
      </c>
      <c r="Q234" s="7" t="s">
        <v>220</v>
      </c>
      <c r="R234" s="7" t="str" cm="1">
        <f t="array" aca="1" ref="R234" ca="1">_xll.ELPAR($D$1,D234,1)</f>
        <v>RECALC_0_86_</v>
      </c>
      <c r="S234" s="7" t="str">
        <f ca="1">IF(ISERROR(Proc[[#This Row],[TM1]]),C234,IF(LEFT(Proc[[#This Row],[TM1]],10)=Proc[[#This Row],[Requested]],"MAPPED",C234))</f>
        <v>Waiting for MDGF approval</v>
      </c>
    </row>
    <row r="235" spans="1:19">
      <c r="A235" s="7" t="s">
        <v>214</v>
      </c>
      <c r="B235" s="7" t="s">
        <v>143</v>
      </c>
      <c r="C235" s="7" t="s">
        <v>33</v>
      </c>
      <c r="D235" s="7" t="s">
        <v>719</v>
      </c>
      <c r="E235" s="7" t="s">
        <v>607</v>
      </c>
      <c r="F235" s="7" t="s">
        <v>613</v>
      </c>
      <c r="G235" s="7" t="s">
        <v>179</v>
      </c>
      <c r="H235" s="7" t="s">
        <v>720</v>
      </c>
      <c r="I235" s="7" t="s">
        <v>447</v>
      </c>
      <c r="J235" s="7" t="s">
        <v>32</v>
      </c>
      <c r="K235" s="7"/>
      <c r="L235" s="8">
        <v>45841</v>
      </c>
      <c r="M235" s="8"/>
      <c r="N235" s="8"/>
      <c r="O235" s="7" t="s">
        <v>144</v>
      </c>
      <c r="P235" s="6">
        <v>2</v>
      </c>
      <c r="Q235" s="7" t="s">
        <v>220</v>
      </c>
      <c r="R235" s="7" t="str" cm="1">
        <f t="array" aca="1" ref="R235" ca="1">_xll.ELPAR($D$1,D235,1)</f>
        <v>RECALC_0_46_</v>
      </c>
      <c r="S235" s="7" t="str">
        <f ca="1">IF(ISERROR(Proc[[#This Row],[TM1]]),C235,IF(LEFT(Proc[[#This Row],[TM1]],10)=Proc[[#This Row],[Requested]],"MAPPED",C235))</f>
        <v>Waiting for MDGF approval</v>
      </c>
    </row>
    <row r="236" spans="1:19">
      <c r="A236" s="7" t="s">
        <v>214</v>
      </c>
      <c r="B236" s="7" t="s">
        <v>143</v>
      </c>
      <c r="C236" s="7" t="s">
        <v>33</v>
      </c>
      <c r="D236" s="7" t="s">
        <v>721</v>
      </c>
      <c r="E236" s="7" t="s">
        <v>607</v>
      </c>
      <c r="F236" s="7" t="s">
        <v>613</v>
      </c>
      <c r="G236" s="7" t="s">
        <v>179</v>
      </c>
      <c r="H236" s="7" t="s">
        <v>722</v>
      </c>
      <c r="I236" s="7" t="s">
        <v>447</v>
      </c>
      <c r="J236" s="7" t="s">
        <v>32</v>
      </c>
      <c r="K236" s="7"/>
      <c r="L236" s="8">
        <v>45841</v>
      </c>
      <c r="M236" s="8"/>
      <c r="N236" s="8"/>
      <c r="O236" s="7" t="s">
        <v>144</v>
      </c>
      <c r="P236" s="6">
        <v>2</v>
      </c>
      <c r="Q236" s="7" t="s">
        <v>220</v>
      </c>
      <c r="R236" s="7" t="str" cm="1">
        <f t="array" aca="1" ref="R236" ca="1">_xll.ELPAR($D$1,D236,1)</f>
        <v>RECALC_0_9_</v>
      </c>
      <c r="S236" s="7" t="str">
        <f ca="1">IF(ISERROR(Proc[[#This Row],[TM1]]),C236,IF(LEFT(Proc[[#This Row],[TM1]],10)=Proc[[#This Row],[Requested]],"MAPPED",C236))</f>
        <v>Waiting for MDGF approval</v>
      </c>
    </row>
    <row r="237" spans="1:19">
      <c r="A237" s="7" t="s">
        <v>214</v>
      </c>
      <c r="B237" s="7" t="s">
        <v>143</v>
      </c>
      <c r="C237" s="7" t="s">
        <v>33</v>
      </c>
      <c r="D237" s="7" t="s">
        <v>723</v>
      </c>
      <c r="E237" s="7" t="s">
        <v>607</v>
      </c>
      <c r="F237" s="7" t="s">
        <v>613</v>
      </c>
      <c r="G237" s="7" t="s">
        <v>179</v>
      </c>
      <c r="H237" s="7" t="s">
        <v>724</v>
      </c>
      <c r="I237" s="7" t="s">
        <v>447</v>
      </c>
      <c r="J237" s="7" t="s">
        <v>32</v>
      </c>
      <c r="K237" s="7"/>
      <c r="L237" s="8">
        <v>45841</v>
      </c>
      <c r="M237" s="8"/>
      <c r="N237" s="8"/>
      <c r="O237" s="7" t="s">
        <v>144</v>
      </c>
      <c r="P237" s="6">
        <v>2</v>
      </c>
      <c r="Q237" s="7" t="s">
        <v>220</v>
      </c>
      <c r="R237" s="7" t="str" cm="1">
        <f t="array" aca="1" ref="R237" ca="1">_xll.ELPAR($D$1,D237,1)</f>
        <v>RECALC_0_205_</v>
      </c>
      <c r="S237" s="7" t="str">
        <f ca="1">IF(ISERROR(Proc[[#This Row],[TM1]]),C237,IF(LEFT(Proc[[#This Row],[TM1]],10)=Proc[[#This Row],[Requested]],"MAPPED",C237))</f>
        <v>Waiting for MDGF approval</v>
      </c>
    </row>
    <row r="238" spans="1:19">
      <c r="A238" s="7" t="s">
        <v>214</v>
      </c>
      <c r="B238" s="7" t="s">
        <v>143</v>
      </c>
      <c r="C238" s="7" t="s">
        <v>33</v>
      </c>
      <c r="D238" s="7" t="s">
        <v>725</v>
      </c>
      <c r="E238" s="7" t="s">
        <v>607</v>
      </c>
      <c r="F238" s="7" t="s">
        <v>613</v>
      </c>
      <c r="G238" s="7" t="s">
        <v>179</v>
      </c>
      <c r="H238" s="7" t="s">
        <v>726</v>
      </c>
      <c r="I238" s="7" t="s">
        <v>447</v>
      </c>
      <c r="J238" s="7" t="s">
        <v>32</v>
      </c>
      <c r="K238" s="7"/>
      <c r="L238" s="8">
        <v>45841</v>
      </c>
      <c r="M238" s="8"/>
      <c r="N238" s="8"/>
      <c r="O238" s="7" t="s">
        <v>144</v>
      </c>
      <c r="P238" s="6">
        <v>2</v>
      </c>
      <c r="Q238" s="7" t="s">
        <v>220</v>
      </c>
      <c r="R238" s="7" t="str" cm="1">
        <f t="array" aca="1" ref="R238" ca="1">_xll.ELPAR($D$1,D238,1)</f>
        <v>RECALC_0_185_</v>
      </c>
      <c r="S238" s="7" t="str">
        <f ca="1">IF(ISERROR(Proc[[#This Row],[TM1]]),C238,IF(LEFT(Proc[[#This Row],[TM1]],10)=Proc[[#This Row],[Requested]],"MAPPED",C238))</f>
        <v>Waiting for MDGF approval</v>
      </c>
    </row>
    <row r="239" spans="1:19">
      <c r="A239" s="7" t="s">
        <v>214</v>
      </c>
      <c r="B239" s="7" t="s">
        <v>143</v>
      </c>
      <c r="C239" s="7" t="s">
        <v>33</v>
      </c>
      <c r="D239" s="7" t="s">
        <v>727</v>
      </c>
      <c r="E239" s="7" t="s">
        <v>607</v>
      </c>
      <c r="F239" s="7" t="s">
        <v>613</v>
      </c>
      <c r="G239" s="7" t="s">
        <v>179</v>
      </c>
      <c r="H239" s="7" t="s">
        <v>728</v>
      </c>
      <c r="I239" s="7" t="s">
        <v>447</v>
      </c>
      <c r="J239" s="7" t="s">
        <v>32</v>
      </c>
      <c r="K239" s="7"/>
      <c r="L239" s="8">
        <v>45841</v>
      </c>
      <c r="M239" s="8"/>
      <c r="N239" s="8"/>
      <c r="O239" s="7" t="s">
        <v>144</v>
      </c>
      <c r="P239" s="6">
        <v>2</v>
      </c>
      <c r="Q239" s="7" t="s">
        <v>220</v>
      </c>
      <c r="R239" s="7" t="str" cm="1">
        <f t="array" aca="1" ref="R239" ca="1">_xll.ELPAR($D$1,D239,1)</f>
        <v>RECALC_0_161_</v>
      </c>
      <c r="S239" s="7" t="str">
        <f ca="1">IF(ISERROR(Proc[[#This Row],[TM1]]),C239,IF(LEFT(Proc[[#This Row],[TM1]],10)=Proc[[#This Row],[Requested]],"MAPPED",C239))</f>
        <v>Waiting for MDGF approval</v>
      </c>
    </row>
    <row r="240" spans="1:19">
      <c r="A240" s="7" t="s">
        <v>214</v>
      </c>
      <c r="B240" s="7" t="s">
        <v>143</v>
      </c>
      <c r="C240" s="7" t="s">
        <v>33</v>
      </c>
      <c r="D240" s="7" t="s">
        <v>729</v>
      </c>
      <c r="E240" s="7" t="s">
        <v>607</v>
      </c>
      <c r="F240" s="7" t="s">
        <v>613</v>
      </c>
      <c r="G240" s="7" t="s">
        <v>179</v>
      </c>
      <c r="H240" s="7" t="s">
        <v>730</v>
      </c>
      <c r="I240" s="7" t="s">
        <v>447</v>
      </c>
      <c r="J240" s="7" t="s">
        <v>32</v>
      </c>
      <c r="K240" s="7"/>
      <c r="L240" s="8">
        <v>45841</v>
      </c>
      <c r="M240" s="8"/>
      <c r="N240" s="8"/>
      <c r="O240" s="7" t="s">
        <v>144</v>
      </c>
      <c r="P240" s="6">
        <v>2</v>
      </c>
      <c r="Q240" s="7" t="s">
        <v>220</v>
      </c>
      <c r="R240" s="7" t="str" cm="1">
        <f t="array" aca="1" ref="R240" ca="1">_xll.ELPAR($D$1,D240,1)</f>
        <v>RECALC_0_134_</v>
      </c>
      <c r="S240" s="7" t="str">
        <f ca="1">IF(ISERROR(Proc[[#This Row],[TM1]]),C240,IF(LEFT(Proc[[#This Row],[TM1]],10)=Proc[[#This Row],[Requested]],"MAPPED",C240))</f>
        <v>Waiting for MDGF approval</v>
      </c>
    </row>
    <row r="241" spans="1:19">
      <c r="A241" s="7" t="s">
        <v>214</v>
      </c>
      <c r="B241" s="7" t="s">
        <v>143</v>
      </c>
      <c r="C241" s="7" t="s">
        <v>33</v>
      </c>
      <c r="D241" s="7" t="s">
        <v>731</v>
      </c>
      <c r="E241" s="7" t="s">
        <v>607</v>
      </c>
      <c r="F241" s="7" t="s">
        <v>613</v>
      </c>
      <c r="G241" s="7" t="s">
        <v>179</v>
      </c>
      <c r="H241" s="7" t="s">
        <v>732</v>
      </c>
      <c r="I241" s="7" t="s">
        <v>447</v>
      </c>
      <c r="J241" s="7" t="s">
        <v>32</v>
      </c>
      <c r="K241" s="7"/>
      <c r="L241" s="8">
        <v>45841</v>
      </c>
      <c r="M241" s="8"/>
      <c r="N241" s="8"/>
      <c r="O241" s="7" t="s">
        <v>144</v>
      </c>
      <c r="P241" s="6">
        <v>2</v>
      </c>
      <c r="Q241" s="7" t="s">
        <v>220</v>
      </c>
      <c r="R241" s="7" t="str" cm="1">
        <f t="array" aca="1" ref="R241" ca="1">_xll.ELPAR($D$1,D241,1)</f>
        <v>RECALC_0_101_</v>
      </c>
      <c r="S241" s="7" t="str">
        <f ca="1">IF(ISERROR(Proc[[#This Row],[TM1]]),C241,IF(LEFT(Proc[[#This Row],[TM1]],10)=Proc[[#This Row],[Requested]],"MAPPED",C241))</f>
        <v>Waiting for MDGF approval</v>
      </c>
    </row>
    <row r="242" spans="1:19">
      <c r="A242" s="7" t="s">
        <v>214</v>
      </c>
      <c r="B242" s="7" t="s">
        <v>143</v>
      </c>
      <c r="C242" s="7" t="s">
        <v>33</v>
      </c>
      <c r="D242" s="7" t="s">
        <v>733</v>
      </c>
      <c r="E242" s="7" t="s">
        <v>734</v>
      </c>
      <c r="F242" s="7" t="s">
        <v>735</v>
      </c>
      <c r="G242" s="7" t="s">
        <v>179</v>
      </c>
      <c r="H242" s="7" t="s">
        <v>736</v>
      </c>
      <c r="I242" s="7" t="s">
        <v>447</v>
      </c>
      <c r="J242" s="7" t="s">
        <v>32</v>
      </c>
      <c r="K242" s="7"/>
      <c r="L242" s="8">
        <v>45841</v>
      </c>
      <c r="M242" s="8"/>
      <c r="N242" s="8"/>
      <c r="O242" s="7" t="s">
        <v>144</v>
      </c>
      <c r="P242" s="6">
        <v>2</v>
      </c>
      <c r="Q242" s="7" t="s">
        <v>220</v>
      </c>
      <c r="R242" s="7" t="str" cm="1">
        <f t="array" aca="1" ref="R242" ca="1">_xll.ELPAR($D$1,D242,1)</f>
        <v>RECALC_0_69_</v>
      </c>
      <c r="S242" s="7" t="str">
        <f ca="1">IF(ISERROR(Proc[[#This Row],[TM1]]),C242,IF(LEFT(Proc[[#This Row],[TM1]],10)=Proc[[#This Row],[Requested]],"MAPPED",C242))</f>
        <v>Waiting for MDGF approval</v>
      </c>
    </row>
    <row r="243" spans="1:19">
      <c r="A243" s="7" t="s">
        <v>214</v>
      </c>
      <c r="B243" s="7" t="s">
        <v>143</v>
      </c>
      <c r="C243" s="7" t="s">
        <v>33</v>
      </c>
      <c r="D243" s="7" t="s">
        <v>737</v>
      </c>
      <c r="E243" s="7" t="s">
        <v>738</v>
      </c>
      <c r="F243" s="7" t="s">
        <v>739</v>
      </c>
      <c r="G243" s="7" t="s">
        <v>179</v>
      </c>
      <c r="H243" s="7" t="s">
        <v>740</v>
      </c>
      <c r="I243" s="7" t="s">
        <v>447</v>
      </c>
      <c r="J243" s="7" t="s">
        <v>32</v>
      </c>
      <c r="K243" s="7"/>
      <c r="L243" s="8">
        <v>45841</v>
      </c>
      <c r="M243" s="8"/>
      <c r="N243" s="8"/>
      <c r="O243" s="7" t="s">
        <v>144</v>
      </c>
      <c r="P243" s="6">
        <v>2</v>
      </c>
      <c r="Q243" s="7" t="s">
        <v>220</v>
      </c>
      <c r="R243" s="7" t="str" cm="1">
        <f t="array" aca="1" ref="R243" ca="1">_xll.ELPAR($D$1,D243,1)</f>
        <v>RECALC_0_21_</v>
      </c>
      <c r="S243" s="7" t="str">
        <f ca="1">IF(ISERROR(Proc[[#This Row],[TM1]]),C243,IF(LEFT(Proc[[#This Row],[TM1]],10)=Proc[[#This Row],[Requested]],"MAPPED",C243))</f>
        <v>Waiting for MDGF approval</v>
      </c>
    </row>
    <row r="244" spans="1:19">
      <c r="A244" s="7" t="s">
        <v>214</v>
      </c>
      <c r="B244" s="7" t="s">
        <v>143</v>
      </c>
      <c r="C244" s="7" t="s">
        <v>33</v>
      </c>
      <c r="D244" s="7" t="s">
        <v>741</v>
      </c>
      <c r="E244" s="7" t="s">
        <v>734</v>
      </c>
      <c r="F244" s="7" t="s">
        <v>742</v>
      </c>
      <c r="G244" s="7" t="s">
        <v>179</v>
      </c>
      <c r="H244" s="7" t="s">
        <v>743</v>
      </c>
      <c r="I244" s="7" t="s">
        <v>447</v>
      </c>
      <c r="J244" s="7" t="s">
        <v>32</v>
      </c>
      <c r="K244" s="7"/>
      <c r="L244" s="8">
        <v>45841</v>
      </c>
      <c r="M244" s="8"/>
      <c r="N244" s="8"/>
      <c r="O244" s="7" t="s">
        <v>144</v>
      </c>
      <c r="P244" s="6">
        <v>2</v>
      </c>
      <c r="Q244" s="7" t="s">
        <v>220</v>
      </c>
      <c r="R244" s="7" t="str" cm="1">
        <f t="array" aca="1" ref="R244" ca="1">_xll.ELPAR($D$1,D244,1)</f>
        <v>RECALC_0_8_</v>
      </c>
      <c r="S244" s="7" t="str">
        <f ca="1">IF(ISERROR(Proc[[#This Row],[TM1]]),C244,IF(LEFT(Proc[[#This Row],[TM1]],10)=Proc[[#This Row],[Requested]],"MAPPED",C244))</f>
        <v>Waiting for MDGF approval</v>
      </c>
    </row>
    <row r="245" spans="1:19">
      <c r="A245" s="7" t="s">
        <v>214</v>
      </c>
      <c r="B245" s="7" t="s">
        <v>143</v>
      </c>
      <c r="C245" s="7" t="s">
        <v>33</v>
      </c>
      <c r="D245" s="7" t="s">
        <v>744</v>
      </c>
      <c r="E245" s="7" t="s">
        <v>745</v>
      </c>
      <c r="F245" s="7" t="s">
        <v>746</v>
      </c>
      <c r="G245" s="7" t="s">
        <v>179</v>
      </c>
      <c r="H245" s="7" t="s">
        <v>747</v>
      </c>
      <c r="I245" s="7" t="s">
        <v>447</v>
      </c>
      <c r="J245" s="7" t="s">
        <v>32</v>
      </c>
      <c r="K245" s="7"/>
      <c r="L245" s="8">
        <v>45841</v>
      </c>
      <c r="M245" s="8"/>
      <c r="N245" s="8"/>
      <c r="O245" s="7" t="s">
        <v>144</v>
      </c>
      <c r="P245" s="6">
        <v>2</v>
      </c>
      <c r="Q245" s="7" t="s">
        <v>220</v>
      </c>
      <c r="R245" s="7" t="str" cm="1">
        <f t="array" aca="1" ref="R245" ca="1">_xll.ELPAR($D$1,D245,1)</f>
        <v>RECALC_0_234_</v>
      </c>
      <c r="S245" s="7" t="str">
        <f ca="1">IF(ISERROR(Proc[[#This Row],[TM1]]),C245,IF(LEFT(Proc[[#This Row],[TM1]],10)=Proc[[#This Row],[Requested]],"MAPPED",C245))</f>
        <v>Waiting for MDGF approval</v>
      </c>
    </row>
    <row r="246" spans="1:19">
      <c r="A246" s="7" t="s">
        <v>214</v>
      </c>
      <c r="B246" s="7" t="s">
        <v>143</v>
      </c>
      <c r="C246" s="7" t="s">
        <v>33</v>
      </c>
      <c r="D246" s="7" t="s">
        <v>748</v>
      </c>
      <c r="E246" s="7" t="s">
        <v>734</v>
      </c>
      <c r="F246" s="7" t="s">
        <v>746</v>
      </c>
      <c r="G246" s="7" t="s">
        <v>179</v>
      </c>
      <c r="H246" s="7" t="s">
        <v>749</v>
      </c>
      <c r="I246" s="7" t="s">
        <v>447</v>
      </c>
      <c r="J246" s="7" t="s">
        <v>32</v>
      </c>
      <c r="K246" s="7"/>
      <c r="L246" s="8">
        <v>45841</v>
      </c>
      <c r="M246" s="8"/>
      <c r="N246" s="8"/>
      <c r="O246" s="7" t="s">
        <v>144</v>
      </c>
      <c r="P246" s="6">
        <v>2</v>
      </c>
      <c r="Q246" s="7" t="s">
        <v>220</v>
      </c>
      <c r="R246" s="7" t="str" cm="1">
        <f t="array" aca="1" ref="R246" ca="1">_xll.ELPAR($D$1,D246,1)</f>
        <v>RECALC_0_224_</v>
      </c>
      <c r="S246" s="7" t="str">
        <f ca="1">IF(ISERROR(Proc[[#This Row],[TM1]]),C246,IF(LEFT(Proc[[#This Row],[TM1]],10)=Proc[[#This Row],[Requested]],"MAPPED",C246))</f>
        <v>Waiting for MDGF approval</v>
      </c>
    </row>
    <row r="247" spans="1:19">
      <c r="A247" s="7" t="s">
        <v>214</v>
      </c>
      <c r="B247" s="7" t="s">
        <v>143</v>
      </c>
      <c r="C247" s="7" t="s">
        <v>33</v>
      </c>
      <c r="D247" s="7" t="s">
        <v>750</v>
      </c>
      <c r="E247" s="7" t="s">
        <v>734</v>
      </c>
      <c r="F247" s="7" t="s">
        <v>746</v>
      </c>
      <c r="G247" s="7" t="s">
        <v>179</v>
      </c>
      <c r="H247" s="7" t="s">
        <v>751</v>
      </c>
      <c r="I247" s="7" t="s">
        <v>447</v>
      </c>
      <c r="J247" s="7" t="s">
        <v>32</v>
      </c>
      <c r="K247" s="7"/>
      <c r="L247" s="8">
        <v>45841</v>
      </c>
      <c r="M247" s="8"/>
      <c r="N247" s="8"/>
      <c r="O247" s="7" t="s">
        <v>144</v>
      </c>
      <c r="P247" s="6">
        <v>2</v>
      </c>
      <c r="Q247" s="7" t="s">
        <v>220</v>
      </c>
      <c r="R247" s="7" t="str" cm="1">
        <f t="array" aca="1" ref="R247" ca="1">_xll.ELPAR($D$1,D247,1)</f>
        <v>RECALC_0_160_</v>
      </c>
      <c r="S247" s="7" t="str">
        <f ca="1">IF(ISERROR(Proc[[#This Row],[TM1]]),C247,IF(LEFT(Proc[[#This Row],[TM1]],10)=Proc[[#This Row],[Requested]],"MAPPED",C247))</f>
        <v>Waiting for MDGF approval</v>
      </c>
    </row>
    <row r="248" spans="1:19">
      <c r="A248" s="7" t="s">
        <v>214</v>
      </c>
      <c r="B248" s="7" t="s">
        <v>143</v>
      </c>
      <c r="C248" s="7" t="s">
        <v>33</v>
      </c>
      <c r="D248" s="7" t="s">
        <v>752</v>
      </c>
      <c r="E248" s="7" t="s">
        <v>734</v>
      </c>
      <c r="F248" s="7" t="s">
        <v>753</v>
      </c>
      <c r="G248" s="7" t="s">
        <v>179</v>
      </c>
      <c r="H248" s="7" t="s">
        <v>754</v>
      </c>
      <c r="I248" s="7" t="s">
        <v>447</v>
      </c>
      <c r="J248" s="7" t="s">
        <v>32</v>
      </c>
      <c r="K248" s="7"/>
      <c r="L248" s="8">
        <v>45841</v>
      </c>
      <c r="M248" s="8"/>
      <c r="N248" s="8"/>
      <c r="O248" s="7" t="s">
        <v>144</v>
      </c>
      <c r="P248" s="6">
        <v>2</v>
      </c>
      <c r="Q248" s="7" t="s">
        <v>220</v>
      </c>
      <c r="R248" s="7" t="str" cm="1">
        <f t="array" aca="1" ref="R248" ca="1">_xll.ELPAR($D$1,D248,1)</f>
        <v>RECALC_0_117_</v>
      </c>
      <c r="S248" s="7" t="str">
        <f ca="1">IF(ISERROR(Proc[[#This Row],[TM1]]),C248,IF(LEFT(Proc[[#This Row],[TM1]],10)=Proc[[#This Row],[Requested]],"MAPPED",C248))</f>
        <v>Waiting for MDGF approval</v>
      </c>
    </row>
    <row r="249" spans="1:19">
      <c r="A249" s="7" t="s">
        <v>214</v>
      </c>
      <c r="B249" s="7" t="s">
        <v>143</v>
      </c>
      <c r="C249" s="7" t="s">
        <v>33</v>
      </c>
      <c r="D249" s="7" t="s">
        <v>755</v>
      </c>
      <c r="E249" s="7" t="s">
        <v>745</v>
      </c>
      <c r="F249" s="7" t="s">
        <v>756</v>
      </c>
      <c r="G249" s="7" t="s">
        <v>179</v>
      </c>
      <c r="H249" s="7" t="s">
        <v>757</v>
      </c>
      <c r="I249" s="7" t="s">
        <v>447</v>
      </c>
      <c r="J249" s="7" t="s">
        <v>32</v>
      </c>
      <c r="K249" s="7"/>
      <c r="L249" s="8">
        <v>45841</v>
      </c>
      <c r="M249" s="8"/>
      <c r="N249" s="8"/>
      <c r="O249" s="7" t="s">
        <v>144</v>
      </c>
      <c r="P249" s="6">
        <v>2</v>
      </c>
      <c r="Q249" s="7" t="s">
        <v>220</v>
      </c>
      <c r="R249" s="7" t="str" cm="1">
        <f t="array" aca="1" ref="R249" ca="1">_xll.ELPAR($D$1,D249,1)</f>
        <v>RECALC_0_85_</v>
      </c>
      <c r="S249" s="7" t="str">
        <f ca="1">IF(ISERROR(Proc[[#This Row],[TM1]]),C249,IF(LEFT(Proc[[#This Row],[TM1]],10)=Proc[[#This Row],[Requested]],"MAPPED",C249))</f>
        <v>Waiting for MDGF approval</v>
      </c>
    </row>
    <row r="250" spans="1:19">
      <c r="A250" s="7" t="s">
        <v>214</v>
      </c>
      <c r="B250" s="7" t="s">
        <v>143</v>
      </c>
      <c r="C250" s="7" t="s">
        <v>33</v>
      </c>
      <c r="D250" s="7" t="s">
        <v>758</v>
      </c>
      <c r="E250" s="7" t="s">
        <v>738</v>
      </c>
      <c r="F250" s="7" t="s">
        <v>756</v>
      </c>
      <c r="G250" s="7" t="s">
        <v>179</v>
      </c>
      <c r="H250" s="7" t="s">
        <v>759</v>
      </c>
      <c r="I250" s="7" t="s">
        <v>447</v>
      </c>
      <c r="J250" s="7" t="s">
        <v>32</v>
      </c>
      <c r="K250" s="7"/>
      <c r="L250" s="8">
        <v>45841</v>
      </c>
      <c r="M250" s="8"/>
      <c r="N250" s="8"/>
      <c r="O250" s="7" t="s">
        <v>144</v>
      </c>
      <c r="P250" s="6">
        <v>2</v>
      </c>
      <c r="Q250" s="7" t="s">
        <v>220</v>
      </c>
      <c r="R250" s="7" t="str" cm="1">
        <f t="array" aca="1" ref="R250" ca="1">_xll.ELPAR($D$1,D250,1)</f>
        <v>RECALC_0_68_</v>
      </c>
      <c r="S250" s="7" t="str">
        <f ca="1">IF(ISERROR(Proc[[#This Row],[TM1]]),C250,IF(LEFT(Proc[[#This Row],[TM1]],10)=Proc[[#This Row],[Requested]],"MAPPED",C250))</f>
        <v>Waiting for MDGF approval</v>
      </c>
    </row>
    <row r="251" spans="1:19">
      <c r="A251" s="7" t="s">
        <v>214</v>
      </c>
      <c r="B251" s="7" t="s">
        <v>143</v>
      </c>
      <c r="C251" s="7" t="s">
        <v>33</v>
      </c>
      <c r="D251" s="7" t="s">
        <v>760</v>
      </c>
      <c r="E251" s="7" t="s">
        <v>734</v>
      </c>
      <c r="F251" s="7" t="s">
        <v>746</v>
      </c>
      <c r="G251" s="7" t="s">
        <v>179</v>
      </c>
      <c r="H251" s="7" t="s">
        <v>761</v>
      </c>
      <c r="I251" s="7" t="s">
        <v>447</v>
      </c>
      <c r="J251" s="7" t="s">
        <v>32</v>
      </c>
      <c r="K251" s="7"/>
      <c r="L251" s="8">
        <v>45841</v>
      </c>
      <c r="M251" s="8"/>
      <c r="N251" s="8"/>
      <c r="O251" s="7" t="s">
        <v>144</v>
      </c>
      <c r="P251" s="6">
        <v>2</v>
      </c>
      <c r="Q251" s="7" t="s">
        <v>220</v>
      </c>
      <c r="R251" s="7" t="str" cm="1">
        <f t="array" aca="1" ref="R251" ca="1">_xll.ELPAR($D$1,D251,1)</f>
        <v>RECALC_0_45_</v>
      </c>
      <c r="S251" s="7" t="str">
        <f ca="1">IF(ISERROR(Proc[[#This Row],[TM1]]),C251,IF(LEFT(Proc[[#This Row],[TM1]],10)=Proc[[#This Row],[Requested]],"MAPPED",C251))</f>
        <v>Waiting for MDGF approval</v>
      </c>
    </row>
    <row r="252" spans="1:19">
      <c r="A252" s="7" t="s">
        <v>214</v>
      </c>
      <c r="B252" s="7" t="s">
        <v>143</v>
      </c>
      <c r="C252" s="7" t="s">
        <v>33</v>
      </c>
      <c r="D252" s="7" t="s">
        <v>762</v>
      </c>
      <c r="E252" s="7" t="s">
        <v>734</v>
      </c>
      <c r="F252" s="7" t="s">
        <v>746</v>
      </c>
      <c r="G252" s="7" t="s">
        <v>179</v>
      </c>
      <c r="H252" s="7" t="s">
        <v>763</v>
      </c>
      <c r="I252" s="7" t="s">
        <v>447</v>
      </c>
      <c r="J252" s="7" t="s">
        <v>32</v>
      </c>
      <c r="K252" s="7"/>
      <c r="L252" s="8">
        <v>45841</v>
      </c>
      <c r="M252" s="8"/>
      <c r="N252" s="8"/>
      <c r="O252" s="7" t="s">
        <v>144</v>
      </c>
      <c r="P252" s="6">
        <v>2</v>
      </c>
      <c r="Q252" s="7" t="s">
        <v>220</v>
      </c>
      <c r="R252" s="7" t="str" cm="1">
        <f t="array" aca="1" ref="R252" ca="1">_xll.ELPAR($D$1,D252,1)</f>
        <v>RECALC_0_20_</v>
      </c>
      <c r="S252" s="7" t="str">
        <f ca="1">IF(ISERROR(Proc[[#This Row],[TM1]]),C252,IF(LEFT(Proc[[#This Row],[TM1]],10)=Proc[[#This Row],[Requested]],"MAPPED",C252))</f>
        <v>Waiting for MDGF approval</v>
      </c>
    </row>
    <row r="253" spans="1:19">
      <c r="A253" s="7" t="s">
        <v>214</v>
      </c>
      <c r="B253" s="7" t="s">
        <v>143</v>
      </c>
      <c r="C253" s="7" t="s">
        <v>33</v>
      </c>
      <c r="D253" s="7" t="s">
        <v>764</v>
      </c>
      <c r="E253" s="7" t="s">
        <v>734</v>
      </c>
      <c r="F253" s="7" t="s">
        <v>742</v>
      </c>
      <c r="G253" s="7" t="s">
        <v>179</v>
      </c>
      <c r="H253" s="7" t="s">
        <v>765</v>
      </c>
      <c r="I253" s="7" t="s">
        <v>447</v>
      </c>
      <c r="J253" s="7" t="s">
        <v>32</v>
      </c>
      <c r="K253" s="7"/>
      <c r="L253" s="8">
        <v>45841</v>
      </c>
      <c r="M253" s="8"/>
      <c r="N253" s="8"/>
      <c r="O253" s="7" t="s">
        <v>144</v>
      </c>
      <c r="P253" s="6">
        <v>2</v>
      </c>
      <c r="Q253" s="7" t="s">
        <v>220</v>
      </c>
      <c r="R253" s="7" t="str" cm="1">
        <f t="array" aca="1" ref="R253" ca="1">_xll.ELPAR($D$1,D253,1)</f>
        <v>RECALC_0_233_</v>
      </c>
      <c r="S253" s="7" t="str">
        <f ca="1">IF(ISERROR(Proc[[#This Row],[TM1]]),C253,IF(LEFT(Proc[[#This Row],[TM1]],10)=Proc[[#This Row],[Requested]],"MAPPED",C253))</f>
        <v>Waiting for MDGF approval</v>
      </c>
    </row>
    <row r="254" spans="1:19">
      <c r="A254" s="7" t="s">
        <v>214</v>
      </c>
      <c r="B254" s="7" t="s">
        <v>143</v>
      </c>
      <c r="C254" s="7" t="s">
        <v>33</v>
      </c>
      <c r="D254" s="7" t="s">
        <v>766</v>
      </c>
      <c r="E254" s="7" t="s">
        <v>734</v>
      </c>
      <c r="F254" s="7" t="s">
        <v>746</v>
      </c>
      <c r="G254" s="7" t="s">
        <v>179</v>
      </c>
      <c r="H254" s="7" t="s">
        <v>767</v>
      </c>
      <c r="I254" s="7" t="s">
        <v>447</v>
      </c>
      <c r="J254" s="7" t="s">
        <v>32</v>
      </c>
      <c r="K254" s="7"/>
      <c r="L254" s="8">
        <v>45841</v>
      </c>
      <c r="M254" s="8"/>
      <c r="N254" s="8"/>
      <c r="O254" s="7" t="s">
        <v>144</v>
      </c>
      <c r="P254" s="6">
        <v>2</v>
      </c>
      <c r="Q254" s="7" t="s">
        <v>220</v>
      </c>
      <c r="R254" s="7" t="str" cm="1">
        <f t="array" aca="1" ref="R254" ca="1">_xll.ELPAR($D$1,D254,1)</f>
        <v>RECALC_0_184_</v>
      </c>
      <c r="S254" s="7" t="str">
        <f ca="1">IF(ISERROR(Proc[[#This Row],[TM1]]),C254,IF(LEFT(Proc[[#This Row],[TM1]],10)=Proc[[#This Row],[Requested]],"MAPPED",C254))</f>
        <v>Waiting for MDGF approval</v>
      </c>
    </row>
    <row r="255" spans="1:19">
      <c r="A255" s="7" t="s">
        <v>214</v>
      </c>
      <c r="B255" s="7" t="s">
        <v>143</v>
      </c>
      <c r="C255" s="7" t="s">
        <v>33</v>
      </c>
      <c r="D255" s="7" t="s">
        <v>768</v>
      </c>
      <c r="E255" s="7" t="s">
        <v>734</v>
      </c>
      <c r="F255" s="7" t="s">
        <v>769</v>
      </c>
      <c r="G255" s="7" t="s">
        <v>179</v>
      </c>
      <c r="H255" s="7" t="s">
        <v>770</v>
      </c>
      <c r="I255" s="7" t="s">
        <v>447</v>
      </c>
      <c r="J255" s="7" t="s">
        <v>32</v>
      </c>
      <c r="K255" s="7"/>
      <c r="L255" s="8">
        <v>45841</v>
      </c>
      <c r="M255" s="8"/>
      <c r="N255" s="8"/>
      <c r="O255" s="7" t="s">
        <v>144</v>
      </c>
      <c r="P255" s="6">
        <v>2</v>
      </c>
      <c r="Q255" s="7" t="s">
        <v>220</v>
      </c>
      <c r="R255" s="7" t="str" cm="1">
        <f t="array" aca="1" ref="R255" ca="1">_xll.ELPAR($D$1,D255,1)</f>
        <v>RECALC_0_133_</v>
      </c>
      <c r="S255" s="7" t="str">
        <f ca="1">IF(ISERROR(Proc[[#This Row],[TM1]]),C255,IF(LEFT(Proc[[#This Row],[TM1]],10)=Proc[[#This Row],[Requested]],"MAPPED",C255))</f>
        <v>Waiting for MDGF approval</v>
      </c>
    </row>
    <row r="256" spans="1:19">
      <c r="A256" s="7" t="s">
        <v>214</v>
      </c>
      <c r="B256" s="7" t="s">
        <v>143</v>
      </c>
      <c r="C256" s="7" t="s">
        <v>33</v>
      </c>
      <c r="D256" s="7" t="s">
        <v>771</v>
      </c>
      <c r="E256" s="7" t="s">
        <v>734</v>
      </c>
      <c r="F256" s="7" t="s">
        <v>742</v>
      </c>
      <c r="G256" s="7" t="s">
        <v>179</v>
      </c>
      <c r="H256" s="7" t="s">
        <v>772</v>
      </c>
      <c r="I256" s="7" t="s">
        <v>447</v>
      </c>
      <c r="J256" s="7" t="s">
        <v>32</v>
      </c>
      <c r="K256" s="7"/>
      <c r="L256" s="8">
        <v>45841</v>
      </c>
      <c r="M256" s="8"/>
      <c r="N256" s="8"/>
      <c r="O256" s="7" t="s">
        <v>144</v>
      </c>
      <c r="P256" s="6">
        <v>2</v>
      </c>
      <c r="Q256" s="7" t="s">
        <v>220</v>
      </c>
      <c r="R256" s="7" t="str" cm="1">
        <f t="array" aca="1" ref="R256" ca="1">_xll.ELPAR($D$1,D256,1)</f>
        <v>RECALC_0_116_</v>
      </c>
      <c r="S256" s="7" t="str">
        <f ca="1">IF(ISERROR(Proc[[#This Row],[TM1]]),C256,IF(LEFT(Proc[[#This Row],[TM1]],10)=Proc[[#This Row],[Requested]],"MAPPED",C256))</f>
        <v>Waiting for MDGF approval</v>
      </c>
    </row>
    <row r="257" spans="1:19">
      <c r="A257" s="7" t="s">
        <v>214</v>
      </c>
      <c r="B257" s="7" t="s">
        <v>143</v>
      </c>
      <c r="C257" s="7" t="s">
        <v>33</v>
      </c>
      <c r="D257" s="7" t="s">
        <v>773</v>
      </c>
      <c r="E257" s="7" t="s">
        <v>734</v>
      </c>
      <c r="F257" s="7" t="s">
        <v>774</v>
      </c>
      <c r="G257" s="7" t="s">
        <v>179</v>
      </c>
      <c r="H257" s="7" t="s">
        <v>775</v>
      </c>
      <c r="I257" s="7" t="s">
        <v>447</v>
      </c>
      <c r="J257" s="7" t="s">
        <v>32</v>
      </c>
      <c r="K257" s="7"/>
      <c r="L257" s="8">
        <v>45841</v>
      </c>
      <c r="M257" s="8"/>
      <c r="N257" s="8"/>
      <c r="O257" s="7" t="s">
        <v>144</v>
      </c>
      <c r="P257" s="6">
        <v>2</v>
      </c>
      <c r="Q257" s="7" t="s">
        <v>220</v>
      </c>
      <c r="R257" s="7" t="str" cm="1">
        <f t="array" aca="1" ref="R257" ca="1">_xll.ELPAR($D$1,D257,1)</f>
        <v>RECALC_0_100_</v>
      </c>
      <c r="S257" s="7" t="str">
        <f ca="1">IF(ISERROR(Proc[[#This Row],[TM1]]),C257,IF(LEFT(Proc[[#This Row],[TM1]],10)=Proc[[#This Row],[Requested]],"MAPPED",C257))</f>
        <v>Waiting for MDGF approval</v>
      </c>
    </row>
    <row r="258" spans="1:19">
      <c r="A258" s="7" t="s">
        <v>214</v>
      </c>
      <c r="B258" s="7" t="s">
        <v>143</v>
      </c>
      <c r="C258" s="7" t="s">
        <v>33</v>
      </c>
      <c r="D258" s="7" t="s">
        <v>776</v>
      </c>
      <c r="E258" s="7" t="s">
        <v>734</v>
      </c>
      <c r="F258" s="7" t="s">
        <v>774</v>
      </c>
      <c r="G258" s="7" t="s">
        <v>179</v>
      </c>
      <c r="H258" s="7" t="s">
        <v>777</v>
      </c>
      <c r="I258" s="7" t="s">
        <v>447</v>
      </c>
      <c r="J258" s="7" t="s">
        <v>32</v>
      </c>
      <c r="K258" s="7"/>
      <c r="L258" s="8">
        <v>45841</v>
      </c>
      <c r="M258" s="8"/>
      <c r="N258" s="8"/>
      <c r="O258" s="7" t="s">
        <v>144</v>
      </c>
      <c r="P258" s="6">
        <v>2</v>
      </c>
      <c r="Q258" s="7" t="s">
        <v>220</v>
      </c>
      <c r="R258" s="7" t="str" cm="1">
        <f t="array" aca="1" ref="R258" ca="1">_xll.ELPAR($D$1,D258,1)</f>
        <v>RECALC_0_84_</v>
      </c>
      <c r="S258" s="7" t="str">
        <f ca="1">IF(ISERROR(Proc[[#This Row],[TM1]]),C258,IF(LEFT(Proc[[#This Row],[TM1]],10)=Proc[[#This Row],[Requested]],"MAPPED",C258))</f>
        <v>Waiting for MDGF approval</v>
      </c>
    </row>
    <row r="259" spans="1:19">
      <c r="A259" s="7" t="s">
        <v>214</v>
      </c>
      <c r="B259" s="7" t="s">
        <v>143</v>
      </c>
      <c r="C259" s="7" t="s">
        <v>33</v>
      </c>
      <c r="D259" s="7" t="s">
        <v>778</v>
      </c>
      <c r="E259" s="7" t="s">
        <v>734</v>
      </c>
      <c r="F259" s="7" t="s">
        <v>779</v>
      </c>
      <c r="G259" s="7" t="s">
        <v>179</v>
      </c>
      <c r="H259" s="7" t="s">
        <v>780</v>
      </c>
      <c r="I259" s="7" t="s">
        <v>447</v>
      </c>
      <c r="J259" s="7" t="s">
        <v>32</v>
      </c>
      <c r="K259" s="7"/>
      <c r="L259" s="8">
        <v>45841</v>
      </c>
      <c r="M259" s="8"/>
      <c r="N259" s="8"/>
      <c r="O259" s="7" t="s">
        <v>144</v>
      </c>
      <c r="P259" s="6">
        <v>2</v>
      </c>
      <c r="Q259" s="7" t="s">
        <v>220</v>
      </c>
      <c r="R259" s="7" t="str" cm="1">
        <f t="array" aca="1" ref="R259" ca="1">_xll.ELPAR($D$1,D259,1)</f>
        <v>RECALC_0_44_</v>
      </c>
      <c r="S259" s="7" t="str">
        <f ca="1">IF(ISERROR(Proc[[#This Row],[TM1]]),C259,IF(LEFT(Proc[[#This Row],[TM1]],10)=Proc[[#This Row],[Requested]],"MAPPED",C259))</f>
        <v>Waiting for MDGF approval</v>
      </c>
    </row>
    <row r="260" spans="1:19">
      <c r="A260" s="7" t="s">
        <v>214</v>
      </c>
      <c r="B260" s="7" t="s">
        <v>143</v>
      </c>
      <c r="C260" s="7" t="s">
        <v>33</v>
      </c>
      <c r="D260" s="7" t="s">
        <v>781</v>
      </c>
      <c r="E260" s="7" t="s">
        <v>734</v>
      </c>
      <c r="F260" s="7" t="s">
        <v>779</v>
      </c>
      <c r="G260" s="7" t="s">
        <v>179</v>
      </c>
      <c r="H260" s="7" t="s">
        <v>782</v>
      </c>
      <c r="I260" s="7" t="s">
        <v>447</v>
      </c>
      <c r="J260" s="7" t="s">
        <v>32</v>
      </c>
      <c r="K260" s="7"/>
      <c r="L260" s="8">
        <v>45841</v>
      </c>
      <c r="M260" s="8"/>
      <c r="N260" s="8"/>
      <c r="O260" s="7" t="s">
        <v>144</v>
      </c>
      <c r="P260" s="6">
        <v>2</v>
      </c>
      <c r="Q260" s="7" t="s">
        <v>220</v>
      </c>
      <c r="R260" s="7" t="str" cm="1">
        <f t="array" aca="1" ref="R260" ca="1">_xll.ELPAR($D$1,D260,1)</f>
        <v>RECALC_0_36_</v>
      </c>
      <c r="S260" s="7" t="str">
        <f ca="1">IF(ISERROR(Proc[[#This Row],[TM1]]),C260,IF(LEFT(Proc[[#This Row],[TM1]],10)=Proc[[#This Row],[Requested]],"MAPPED",C260))</f>
        <v>Waiting for MDGF approval</v>
      </c>
    </row>
    <row r="261" spans="1:19">
      <c r="A261" s="7" t="s">
        <v>214</v>
      </c>
      <c r="B261" s="7" t="s">
        <v>143</v>
      </c>
      <c r="C261" s="7" t="s">
        <v>33</v>
      </c>
      <c r="D261" s="7" t="s">
        <v>783</v>
      </c>
      <c r="E261" s="7" t="s">
        <v>734</v>
      </c>
      <c r="F261" s="7" t="s">
        <v>774</v>
      </c>
      <c r="G261" s="7" t="s">
        <v>179</v>
      </c>
      <c r="H261" s="7" t="s">
        <v>784</v>
      </c>
      <c r="I261" s="7" t="s">
        <v>447</v>
      </c>
      <c r="J261" s="7" t="s">
        <v>32</v>
      </c>
      <c r="K261" s="7"/>
      <c r="L261" s="8">
        <v>45841</v>
      </c>
      <c r="M261" s="8"/>
      <c r="N261" s="8"/>
      <c r="O261" s="7" t="s">
        <v>144</v>
      </c>
      <c r="P261" s="6">
        <v>2</v>
      </c>
      <c r="Q261" s="7" t="s">
        <v>220</v>
      </c>
      <c r="R261" s="7" t="str" cm="1">
        <f t="array" aca="1" ref="R261" ca="1">_xll.ELPAR($D$1,D261,1)</f>
        <v>RECALC_0_223_</v>
      </c>
      <c r="S261" s="7" t="str">
        <f ca="1">IF(ISERROR(Proc[[#This Row],[TM1]]),C261,IF(LEFT(Proc[[#This Row],[TM1]],10)=Proc[[#This Row],[Requested]],"MAPPED",C261))</f>
        <v>Waiting for MDGF approval</v>
      </c>
    </row>
    <row r="262" spans="1:19">
      <c r="A262" s="7" t="s">
        <v>214</v>
      </c>
      <c r="B262" s="7" t="s">
        <v>143</v>
      </c>
      <c r="C262" s="7" t="s">
        <v>33</v>
      </c>
      <c r="D262" s="7" t="s">
        <v>785</v>
      </c>
      <c r="E262" s="7" t="s">
        <v>734</v>
      </c>
      <c r="F262" s="7" t="s">
        <v>774</v>
      </c>
      <c r="G262" s="7" t="s">
        <v>179</v>
      </c>
      <c r="H262" s="7" t="s">
        <v>786</v>
      </c>
      <c r="I262" s="7" t="s">
        <v>447</v>
      </c>
      <c r="J262" s="7" t="s">
        <v>32</v>
      </c>
      <c r="K262" s="7"/>
      <c r="L262" s="8">
        <v>45841</v>
      </c>
      <c r="M262" s="8"/>
      <c r="N262" s="8"/>
      <c r="O262" s="7" t="s">
        <v>144</v>
      </c>
      <c r="P262" s="6">
        <v>2</v>
      </c>
      <c r="Q262" s="7" t="s">
        <v>220</v>
      </c>
      <c r="R262" s="7" t="str" cm="1">
        <f t="array" aca="1" ref="R262" ca="1">_xll.ELPAR($D$1,D262,1)</f>
        <v>RECALC_0_183_</v>
      </c>
      <c r="S262" s="7" t="str">
        <f ca="1">IF(ISERROR(Proc[[#This Row],[TM1]]),C262,IF(LEFT(Proc[[#This Row],[TM1]],10)=Proc[[#This Row],[Requested]],"MAPPED",C262))</f>
        <v>Waiting for MDGF approval</v>
      </c>
    </row>
    <row r="263" spans="1:19">
      <c r="A263" s="7" t="s">
        <v>214</v>
      </c>
      <c r="B263" s="7" t="s">
        <v>143</v>
      </c>
      <c r="C263" s="7" t="s">
        <v>33</v>
      </c>
      <c r="D263" s="7" t="s">
        <v>787</v>
      </c>
      <c r="E263" s="7" t="s">
        <v>734</v>
      </c>
      <c r="F263" s="7" t="s">
        <v>769</v>
      </c>
      <c r="G263" s="7" t="s">
        <v>179</v>
      </c>
      <c r="H263" s="7" t="s">
        <v>788</v>
      </c>
      <c r="I263" s="7" t="s">
        <v>447</v>
      </c>
      <c r="J263" s="7" t="s">
        <v>32</v>
      </c>
      <c r="K263" s="7"/>
      <c r="L263" s="8">
        <v>45841</v>
      </c>
      <c r="M263" s="8"/>
      <c r="N263" s="8"/>
      <c r="O263" s="7" t="s">
        <v>144</v>
      </c>
      <c r="P263" s="6">
        <v>2</v>
      </c>
      <c r="Q263" s="7" t="s">
        <v>220</v>
      </c>
      <c r="R263" s="7" t="str" cm="1">
        <f t="array" aca="1" ref="R263" ca="1">_xll.ELPAR($D$1,D263,1)</f>
        <v>RECALC_0_159_</v>
      </c>
      <c r="S263" s="7" t="str">
        <f ca="1">IF(ISERROR(Proc[[#This Row],[TM1]]),C263,IF(LEFT(Proc[[#This Row],[TM1]],10)=Proc[[#This Row],[Requested]],"MAPPED",C263))</f>
        <v>Waiting for MDGF approval</v>
      </c>
    </row>
    <row r="264" spans="1:19">
      <c r="A264" s="7" t="s">
        <v>214</v>
      </c>
      <c r="B264" s="7" t="s">
        <v>143</v>
      </c>
      <c r="C264" s="7" t="s">
        <v>33</v>
      </c>
      <c r="D264" s="7" t="s">
        <v>789</v>
      </c>
      <c r="E264" s="7" t="s">
        <v>734</v>
      </c>
      <c r="F264" s="7" t="s">
        <v>742</v>
      </c>
      <c r="G264" s="7" t="s">
        <v>179</v>
      </c>
      <c r="H264" s="7" t="s">
        <v>790</v>
      </c>
      <c r="I264" s="7" t="s">
        <v>447</v>
      </c>
      <c r="J264" s="7" t="s">
        <v>32</v>
      </c>
      <c r="K264" s="7"/>
      <c r="L264" s="8">
        <v>45841</v>
      </c>
      <c r="M264" s="8"/>
      <c r="N264" s="8"/>
      <c r="O264" s="7" t="s">
        <v>144</v>
      </c>
      <c r="P264" s="6">
        <v>2</v>
      </c>
      <c r="Q264" s="7" t="s">
        <v>220</v>
      </c>
      <c r="R264" s="7" t="str" cm="1">
        <f t="array" aca="1" ref="R264" ca="1">_xll.ELPAR($D$1,D264,1)</f>
        <v>RECALC_0_132_</v>
      </c>
      <c r="S264" s="7" t="str">
        <f ca="1">IF(ISERROR(Proc[[#This Row],[TM1]]),C264,IF(LEFT(Proc[[#This Row],[TM1]],10)=Proc[[#This Row],[Requested]],"MAPPED",C264))</f>
        <v>Waiting for MDGF approval</v>
      </c>
    </row>
    <row r="265" spans="1:19">
      <c r="A265" s="7" t="s">
        <v>214</v>
      </c>
      <c r="B265" s="7" t="s">
        <v>143</v>
      </c>
      <c r="C265" s="7" t="s">
        <v>33</v>
      </c>
      <c r="D265" s="7" t="s">
        <v>791</v>
      </c>
      <c r="E265" s="7" t="s">
        <v>734</v>
      </c>
      <c r="F265" s="7" t="s">
        <v>742</v>
      </c>
      <c r="G265" s="7" t="s">
        <v>179</v>
      </c>
      <c r="H265" s="7" t="s">
        <v>792</v>
      </c>
      <c r="I265" s="7" t="s">
        <v>447</v>
      </c>
      <c r="J265" s="7" t="s">
        <v>32</v>
      </c>
      <c r="K265" s="7"/>
      <c r="L265" s="8">
        <v>45841</v>
      </c>
      <c r="M265" s="8"/>
      <c r="N265" s="8"/>
      <c r="O265" s="7" t="s">
        <v>144</v>
      </c>
      <c r="P265" s="6">
        <v>2</v>
      </c>
      <c r="Q265" s="7" t="s">
        <v>220</v>
      </c>
      <c r="R265" s="7" t="str" cm="1">
        <f t="array" aca="1" ref="R265" ca="1">_xll.ELPAR($D$1,D265,1)</f>
        <v>RECALC_0_247_</v>
      </c>
      <c r="S265" s="7" t="str">
        <f ca="1">IF(ISERROR(Proc[[#This Row],[TM1]]),C265,IF(LEFT(Proc[[#This Row],[TM1]],10)=Proc[[#This Row],[Requested]],"MAPPED",C265))</f>
        <v>Waiting for MDGF approval</v>
      </c>
    </row>
    <row r="266" spans="1:19">
      <c r="A266" s="7" t="s">
        <v>214</v>
      </c>
      <c r="B266" s="7" t="s">
        <v>143</v>
      </c>
      <c r="C266" s="7" t="s">
        <v>33</v>
      </c>
      <c r="D266" s="7" t="s">
        <v>793</v>
      </c>
      <c r="E266" s="7" t="s">
        <v>734</v>
      </c>
      <c r="F266" s="7" t="s">
        <v>742</v>
      </c>
      <c r="G266" s="7" t="s">
        <v>179</v>
      </c>
      <c r="H266" s="7" t="s">
        <v>794</v>
      </c>
      <c r="I266" s="7" t="s">
        <v>447</v>
      </c>
      <c r="J266" s="7" t="s">
        <v>32</v>
      </c>
      <c r="K266" s="7"/>
      <c r="L266" s="8">
        <v>45841</v>
      </c>
      <c r="M266" s="8"/>
      <c r="N266" s="8"/>
      <c r="O266" s="7" t="s">
        <v>144</v>
      </c>
      <c r="P266" s="6">
        <v>2</v>
      </c>
      <c r="Q266" s="7" t="s">
        <v>220</v>
      </c>
      <c r="R266" s="7" t="str" cm="1">
        <f t="array" aca="1" ref="R266" ca="1">_xll.ELPAR($D$1,D266,1)</f>
        <v>RECALC_0_67_</v>
      </c>
      <c r="S266" s="7" t="str">
        <f ca="1">IF(ISERROR(Proc[[#This Row],[TM1]]),C266,IF(LEFT(Proc[[#This Row],[TM1]],10)=Proc[[#This Row],[Requested]],"MAPPED",C266))</f>
        <v>Waiting for MDGF approval</v>
      </c>
    </row>
    <row r="267" spans="1:19">
      <c r="A267" s="7" t="s">
        <v>214</v>
      </c>
      <c r="B267" s="7" t="s">
        <v>143</v>
      </c>
      <c r="C267" s="7" t="s">
        <v>33</v>
      </c>
      <c r="D267" s="7" t="s">
        <v>795</v>
      </c>
      <c r="E267" s="7" t="s">
        <v>738</v>
      </c>
      <c r="F267" s="7" t="s">
        <v>742</v>
      </c>
      <c r="G267" s="7" t="s">
        <v>179</v>
      </c>
      <c r="H267" s="7" t="s">
        <v>796</v>
      </c>
      <c r="I267" s="7" t="s">
        <v>447</v>
      </c>
      <c r="J267" s="7" t="s">
        <v>32</v>
      </c>
      <c r="K267" s="7"/>
      <c r="L267" s="8">
        <v>45841</v>
      </c>
      <c r="M267" s="8"/>
      <c r="N267" s="8"/>
      <c r="O267" s="7" t="s">
        <v>144</v>
      </c>
      <c r="P267" s="6">
        <v>2</v>
      </c>
      <c r="Q267" s="7" t="s">
        <v>220</v>
      </c>
      <c r="R267" s="7" t="str" cm="1">
        <f t="array" aca="1" ref="R267" ca="1">_xll.ELPAR($D$1,D267,1)</f>
        <v>RECALC_0_19_</v>
      </c>
      <c r="S267" s="7" t="str">
        <f ca="1">IF(ISERROR(Proc[[#This Row],[TM1]]),C267,IF(LEFT(Proc[[#This Row],[TM1]],10)=Proc[[#This Row],[Requested]],"MAPPED",C267))</f>
        <v>Waiting for MDGF approval</v>
      </c>
    </row>
    <row r="268" spans="1:19">
      <c r="A268" s="7" t="s">
        <v>214</v>
      </c>
      <c r="B268" s="7" t="s">
        <v>143</v>
      </c>
      <c r="C268" s="7" t="s">
        <v>33</v>
      </c>
      <c r="D268" s="7" t="s">
        <v>797</v>
      </c>
      <c r="E268" s="7" t="s">
        <v>738</v>
      </c>
      <c r="F268" s="7" t="s">
        <v>739</v>
      </c>
      <c r="G268" s="7" t="s">
        <v>179</v>
      </c>
      <c r="H268" s="7" t="s">
        <v>798</v>
      </c>
      <c r="I268" s="7" t="s">
        <v>447</v>
      </c>
      <c r="J268" s="7" t="s">
        <v>32</v>
      </c>
      <c r="K268" s="7"/>
      <c r="L268" s="8">
        <v>45841</v>
      </c>
      <c r="M268" s="8"/>
      <c r="N268" s="8"/>
      <c r="O268" s="7" t="s">
        <v>144</v>
      </c>
      <c r="P268" s="6">
        <v>2</v>
      </c>
      <c r="Q268" s="7" t="s">
        <v>220</v>
      </c>
      <c r="R268" s="7" t="str" cm="1">
        <f t="array" aca="1" ref="R268" ca="1">_xll.ELPAR($D$1,D268,1)</f>
        <v>RECALC_0_7_</v>
      </c>
      <c r="S268" s="7" t="str">
        <f ca="1">IF(ISERROR(Proc[[#This Row],[TM1]]),C268,IF(LEFT(Proc[[#This Row],[TM1]],10)=Proc[[#This Row],[Requested]],"MAPPED",C268))</f>
        <v>Waiting for MDGF approval</v>
      </c>
    </row>
    <row r="269" spans="1:19">
      <c r="A269" s="7" t="s">
        <v>214</v>
      </c>
      <c r="B269" s="7" t="s">
        <v>143</v>
      </c>
      <c r="C269" s="7" t="s">
        <v>33</v>
      </c>
      <c r="D269" s="7" t="s">
        <v>799</v>
      </c>
      <c r="E269" s="7" t="s">
        <v>734</v>
      </c>
      <c r="F269" s="7" t="s">
        <v>739</v>
      </c>
      <c r="G269" s="7" t="s">
        <v>179</v>
      </c>
      <c r="H269" s="7" t="s">
        <v>800</v>
      </c>
      <c r="I269" s="7" t="s">
        <v>447</v>
      </c>
      <c r="J269" s="7" t="s">
        <v>32</v>
      </c>
      <c r="K269" s="7"/>
      <c r="L269" s="8">
        <v>45841</v>
      </c>
      <c r="M269" s="8"/>
      <c r="N269" s="8"/>
      <c r="O269" s="7" t="s">
        <v>144</v>
      </c>
      <c r="P269" s="6">
        <v>2</v>
      </c>
      <c r="Q269" s="7" t="s">
        <v>220</v>
      </c>
      <c r="R269" s="7" t="str" cm="1">
        <f t="array" aca="1" ref="R269" ca="1">_xll.ELPAR($D$1,D269,1)</f>
        <v>RECALC_0_232_</v>
      </c>
      <c r="S269" s="7" t="str">
        <f ca="1">IF(ISERROR(Proc[[#This Row],[TM1]]),C269,IF(LEFT(Proc[[#This Row],[TM1]],10)=Proc[[#This Row],[Requested]],"MAPPED",C269))</f>
        <v>Waiting for MDGF approval</v>
      </c>
    </row>
    <row r="270" spans="1:19">
      <c r="A270" s="7" t="s">
        <v>214</v>
      </c>
      <c r="B270" s="7" t="s">
        <v>143</v>
      </c>
      <c r="C270" s="7" t="s">
        <v>33</v>
      </c>
      <c r="D270" s="7" t="s">
        <v>801</v>
      </c>
      <c r="E270" s="7" t="s">
        <v>738</v>
      </c>
      <c r="F270" s="7" t="s">
        <v>742</v>
      </c>
      <c r="G270" s="7" t="s">
        <v>179</v>
      </c>
      <c r="H270" s="7" t="s">
        <v>802</v>
      </c>
      <c r="I270" s="7" t="s">
        <v>447</v>
      </c>
      <c r="J270" s="7" t="s">
        <v>32</v>
      </c>
      <c r="K270" s="7"/>
      <c r="L270" s="8">
        <v>45841</v>
      </c>
      <c r="M270" s="8"/>
      <c r="N270" s="8"/>
      <c r="O270" s="7" t="s">
        <v>144</v>
      </c>
      <c r="P270" s="6">
        <v>2</v>
      </c>
      <c r="Q270" s="7" t="s">
        <v>220</v>
      </c>
      <c r="R270" s="7" t="str" cm="1">
        <f t="array" aca="1" ref="R270" ca="1">_xll.ELPAR($D$1,D270,1)</f>
        <v>RECALC_0_204_</v>
      </c>
      <c r="S270" s="7" t="str">
        <f ca="1">IF(ISERROR(Proc[[#This Row],[TM1]]),C270,IF(LEFT(Proc[[#This Row],[TM1]],10)=Proc[[#This Row],[Requested]],"MAPPED",C270))</f>
        <v>Waiting for MDGF approval</v>
      </c>
    </row>
    <row r="271" spans="1:19">
      <c r="A271" s="7" t="s">
        <v>214</v>
      </c>
      <c r="B271" s="7" t="s">
        <v>143</v>
      </c>
      <c r="C271" s="7" t="s">
        <v>33</v>
      </c>
      <c r="D271" s="7" t="s">
        <v>803</v>
      </c>
      <c r="E271" s="7" t="s">
        <v>734</v>
      </c>
      <c r="F271" s="7" t="s">
        <v>779</v>
      </c>
      <c r="G271" s="7" t="s">
        <v>179</v>
      </c>
      <c r="H271" s="7" t="s">
        <v>804</v>
      </c>
      <c r="I271" s="7" t="s">
        <v>447</v>
      </c>
      <c r="J271" s="7" t="s">
        <v>32</v>
      </c>
      <c r="K271" s="7"/>
      <c r="L271" s="8">
        <v>45841</v>
      </c>
      <c r="M271" s="8"/>
      <c r="N271" s="8"/>
      <c r="O271" s="7" t="s">
        <v>144</v>
      </c>
      <c r="P271" s="6">
        <v>2</v>
      </c>
      <c r="Q271" s="7" t="s">
        <v>220</v>
      </c>
      <c r="R271" s="7" t="str" cm="1">
        <f t="array" aca="1" ref="R271" ca="1">_xll.ELPAR($D$1,D271,1)</f>
        <v>RECALC_0_158_</v>
      </c>
      <c r="S271" s="7" t="str">
        <f ca="1">IF(ISERROR(Proc[[#This Row],[TM1]]),C271,IF(LEFT(Proc[[#This Row],[TM1]],10)=Proc[[#This Row],[Requested]],"MAPPED",C271))</f>
        <v>Waiting for MDGF approval</v>
      </c>
    </row>
    <row r="272" spans="1:19">
      <c r="A272" s="7" t="s">
        <v>214</v>
      </c>
      <c r="B272" s="7" t="s">
        <v>143</v>
      </c>
      <c r="C272" s="7" t="s">
        <v>33</v>
      </c>
      <c r="D272" s="7" t="s">
        <v>805</v>
      </c>
      <c r="E272" s="7" t="s">
        <v>738</v>
      </c>
      <c r="F272" s="7" t="s">
        <v>756</v>
      </c>
      <c r="G272" s="7" t="s">
        <v>179</v>
      </c>
      <c r="H272" s="7" t="s">
        <v>806</v>
      </c>
      <c r="I272" s="7" t="s">
        <v>447</v>
      </c>
      <c r="J272" s="7" t="s">
        <v>32</v>
      </c>
      <c r="K272" s="7"/>
      <c r="L272" s="8">
        <v>45841</v>
      </c>
      <c r="M272" s="8"/>
      <c r="N272" s="8"/>
      <c r="O272" s="7" t="s">
        <v>144</v>
      </c>
      <c r="P272" s="6">
        <v>2</v>
      </c>
      <c r="Q272" s="7" t="s">
        <v>220</v>
      </c>
      <c r="R272" s="7" t="str" cm="1">
        <f t="array" aca="1" ref="R272" ca="1">_xll.ELPAR($D$1,D272,1)</f>
        <v>RECALC_0_115_</v>
      </c>
      <c r="S272" s="7" t="str">
        <f ca="1">IF(ISERROR(Proc[[#This Row],[TM1]]),C272,IF(LEFT(Proc[[#This Row],[TM1]],10)=Proc[[#This Row],[Requested]],"MAPPED",C272))</f>
        <v>Waiting for MDGF approval</v>
      </c>
    </row>
    <row r="273" spans="1:19">
      <c r="A273" s="7" t="s">
        <v>214</v>
      </c>
      <c r="B273" s="7" t="s">
        <v>143</v>
      </c>
      <c r="C273" s="7" t="s">
        <v>33</v>
      </c>
      <c r="D273" s="7" t="s">
        <v>807</v>
      </c>
      <c r="E273" s="7" t="s">
        <v>734</v>
      </c>
      <c r="F273" s="7" t="s">
        <v>808</v>
      </c>
      <c r="G273" s="7" t="s">
        <v>179</v>
      </c>
      <c r="H273" s="7" t="s">
        <v>809</v>
      </c>
      <c r="I273" s="7" t="s">
        <v>447</v>
      </c>
      <c r="J273" s="7" t="s">
        <v>32</v>
      </c>
      <c r="K273" s="7"/>
      <c r="L273" s="8">
        <v>45841</v>
      </c>
      <c r="M273" s="8"/>
      <c r="N273" s="8"/>
      <c r="O273" s="7" t="s">
        <v>144</v>
      </c>
      <c r="P273" s="6">
        <v>2</v>
      </c>
      <c r="Q273" s="7" t="s">
        <v>220</v>
      </c>
      <c r="R273" s="7" t="str" cm="1">
        <f t="array" aca="1" ref="R273" ca="1">_xll.ELPAR($D$1,D273,1)</f>
        <v>RECALC_0_83_</v>
      </c>
      <c r="S273" s="7" t="str">
        <f ca="1">IF(ISERROR(Proc[[#This Row],[TM1]]),C273,IF(LEFT(Proc[[#This Row],[TM1]],10)=Proc[[#This Row],[Requested]],"MAPPED",C273))</f>
        <v>Waiting for MDGF approval</v>
      </c>
    </row>
    <row r="274" spans="1:19">
      <c r="A274" s="7" t="s">
        <v>214</v>
      </c>
      <c r="B274" s="7" t="s">
        <v>143</v>
      </c>
      <c r="C274" s="7" t="s">
        <v>33</v>
      </c>
      <c r="D274" s="7" t="s">
        <v>810</v>
      </c>
      <c r="E274" s="7" t="s">
        <v>738</v>
      </c>
      <c r="F274" s="7" t="s">
        <v>811</v>
      </c>
      <c r="G274" s="7" t="s">
        <v>179</v>
      </c>
      <c r="H274" s="7" t="s">
        <v>812</v>
      </c>
      <c r="I274" s="7" t="s">
        <v>447</v>
      </c>
      <c r="J274" s="7" t="s">
        <v>32</v>
      </c>
      <c r="K274" s="7"/>
      <c r="L274" s="8">
        <v>45841</v>
      </c>
      <c r="M274" s="8"/>
      <c r="N274" s="8"/>
      <c r="O274" s="7" t="s">
        <v>144</v>
      </c>
      <c r="P274" s="6">
        <v>2</v>
      </c>
      <c r="Q274" s="7" t="s">
        <v>220</v>
      </c>
      <c r="R274" s="7" t="str" cm="1">
        <f t="array" aca="1" ref="R274" ca="1">_xll.ELPAR($D$1,D274,1)</f>
        <v>RECALC_0_66_</v>
      </c>
      <c r="S274" s="7" t="str">
        <f ca="1">IF(ISERROR(Proc[[#This Row],[TM1]]),C274,IF(LEFT(Proc[[#This Row],[TM1]],10)=Proc[[#This Row],[Requested]],"MAPPED",C274))</f>
        <v>Waiting for MDGF approval</v>
      </c>
    </row>
    <row r="275" spans="1:19">
      <c r="A275" s="7" t="s">
        <v>214</v>
      </c>
      <c r="B275" s="7" t="s">
        <v>143</v>
      </c>
      <c r="C275" s="7" t="s">
        <v>33</v>
      </c>
      <c r="D275" s="7" t="s">
        <v>813</v>
      </c>
      <c r="E275" s="7" t="s">
        <v>814</v>
      </c>
      <c r="F275" s="7" t="s">
        <v>815</v>
      </c>
      <c r="G275" s="7" t="s">
        <v>179</v>
      </c>
      <c r="H275" s="7" t="s">
        <v>816</v>
      </c>
      <c r="I275" s="7" t="s">
        <v>447</v>
      </c>
      <c r="J275" s="7" t="s">
        <v>32</v>
      </c>
      <c r="K275" s="7"/>
      <c r="L275" s="8">
        <v>45841</v>
      </c>
      <c r="M275" s="8"/>
      <c r="N275" s="8"/>
      <c r="O275" s="7" t="s">
        <v>144</v>
      </c>
      <c r="P275" s="6">
        <v>2</v>
      </c>
      <c r="Q275" s="7" t="s">
        <v>220</v>
      </c>
      <c r="R275" s="7" t="str" cm="1">
        <f t="array" aca="1" ref="R275" ca="1">_xll.ELPAR($D$1,D275,1)</f>
        <v>RECALC_0_43_</v>
      </c>
      <c r="S275" s="7" t="str">
        <f ca="1">IF(ISERROR(Proc[[#This Row],[TM1]]),C275,IF(LEFT(Proc[[#This Row],[TM1]],10)=Proc[[#This Row],[Requested]],"MAPPED",C275))</f>
        <v>Waiting for MDGF approval</v>
      </c>
    </row>
    <row r="276" spans="1:19">
      <c r="A276" s="7" t="s">
        <v>214</v>
      </c>
      <c r="B276" s="7" t="s">
        <v>143</v>
      </c>
      <c r="C276" s="7" t="s">
        <v>33</v>
      </c>
      <c r="D276" s="7" t="s">
        <v>817</v>
      </c>
      <c r="E276" s="7" t="s">
        <v>738</v>
      </c>
      <c r="F276" s="7" t="s">
        <v>815</v>
      </c>
      <c r="G276" s="7" t="s">
        <v>179</v>
      </c>
      <c r="H276" s="7" t="s">
        <v>818</v>
      </c>
      <c r="I276" s="7" t="s">
        <v>447</v>
      </c>
      <c r="J276" s="7" t="s">
        <v>32</v>
      </c>
      <c r="K276" s="7"/>
      <c r="L276" s="8">
        <v>45841</v>
      </c>
      <c r="M276" s="8"/>
      <c r="N276" s="8"/>
      <c r="O276" s="7" t="s">
        <v>144</v>
      </c>
      <c r="P276" s="6">
        <v>2</v>
      </c>
      <c r="Q276" s="7" t="s">
        <v>220</v>
      </c>
      <c r="R276" s="7" t="str" cm="1">
        <f t="array" aca="1" ref="R276" ca="1">_xll.ELPAR($D$1,D276,1)</f>
        <v>RECALC_0_18_</v>
      </c>
      <c r="S276" s="7" t="str">
        <f ca="1">IF(ISERROR(Proc[[#This Row],[TM1]]),C276,IF(LEFT(Proc[[#This Row],[TM1]],10)=Proc[[#This Row],[Requested]],"MAPPED",C276))</f>
        <v>Waiting for MDGF approval</v>
      </c>
    </row>
    <row r="277" spans="1:19">
      <c r="A277" s="7" t="s">
        <v>214</v>
      </c>
      <c r="B277" s="7" t="s">
        <v>143</v>
      </c>
      <c r="C277" s="7" t="s">
        <v>33</v>
      </c>
      <c r="D277" s="7" t="s">
        <v>819</v>
      </c>
      <c r="E277" s="7" t="s">
        <v>738</v>
      </c>
      <c r="F277" s="7" t="s">
        <v>820</v>
      </c>
      <c r="G277" s="7" t="s">
        <v>179</v>
      </c>
      <c r="H277" s="7" t="s">
        <v>821</v>
      </c>
      <c r="I277" s="7" t="s">
        <v>447</v>
      </c>
      <c r="J277" s="7" t="s">
        <v>32</v>
      </c>
      <c r="K277" s="7"/>
      <c r="L277" s="8">
        <v>45841</v>
      </c>
      <c r="M277" s="8"/>
      <c r="N277" s="8"/>
      <c r="O277" s="7" t="s">
        <v>144</v>
      </c>
      <c r="P277" s="6">
        <v>2</v>
      </c>
      <c r="Q277" s="7" t="s">
        <v>220</v>
      </c>
      <c r="R277" s="7" t="str" cm="1">
        <f t="array" aca="1" ref="R277" ca="1">_xll.ELPAR($D$1,D277,1)</f>
        <v>RECALC_0_231_</v>
      </c>
      <c r="S277" s="7" t="str">
        <f ca="1">IF(ISERROR(Proc[[#This Row],[TM1]]),C277,IF(LEFT(Proc[[#This Row],[TM1]],10)=Proc[[#This Row],[Requested]],"MAPPED",C277))</f>
        <v>Waiting for MDGF approval</v>
      </c>
    </row>
    <row r="278" spans="1:19">
      <c r="A278" s="7" t="s">
        <v>214</v>
      </c>
      <c r="B278" s="7" t="s">
        <v>143</v>
      </c>
      <c r="C278" s="7" t="s">
        <v>33</v>
      </c>
      <c r="D278" s="7" t="s">
        <v>822</v>
      </c>
      <c r="E278" s="7" t="s">
        <v>738</v>
      </c>
      <c r="F278" s="7" t="s">
        <v>815</v>
      </c>
      <c r="G278" s="7" t="s">
        <v>179</v>
      </c>
      <c r="H278" s="7" t="s">
        <v>823</v>
      </c>
      <c r="I278" s="7" t="s">
        <v>447</v>
      </c>
      <c r="J278" s="7" t="s">
        <v>32</v>
      </c>
      <c r="K278" s="7"/>
      <c r="L278" s="8">
        <v>45841</v>
      </c>
      <c r="M278" s="8"/>
      <c r="N278" s="8"/>
      <c r="O278" s="7" t="s">
        <v>144</v>
      </c>
      <c r="P278" s="6">
        <v>2</v>
      </c>
      <c r="Q278" s="7" t="s">
        <v>220</v>
      </c>
      <c r="R278" s="7" t="str" cm="1">
        <f t="array" aca="1" ref="R278" ca="1">_xll.ELPAR($D$1,D278,1)</f>
        <v>RECALC_0_182_</v>
      </c>
      <c r="S278" s="7" t="str">
        <f ca="1">IF(ISERROR(Proc[[#This Row],[TM1]]),C278,IF(LEFT(Proc[[#This Row],[TM1]],10)=Proc[[#This Row],[Requested]],"MAPPED",C278))</f>
        <v>Waiting for MDGF approval</v>
      </c>
    </row>
    <row r="279" spans="1:19">
      <c r="A279" s="7" t="s">
        <v>214</v>
      </c>
      <c r="B279" s="7" t="s">
        <v>143</v>
      </c>
      <c r="C279" s="7" t="s">
        <v>33</v>
      </c>
      <c r="D279" s="7" t="s">
        <v>824</v>
      </c>
      <c r="E279" s="7" t="s">
        <v>738</v>
      </c>
      <c r="F279" s="7" t="s">
        <v>825</v>
      </c>
      <c r="G279" s="7" t="s">
        <v>179</v>
      </c>
      <c r="H279" s="7" t="s">
        <v>826</v>
      </c>
      <c r="I279" s="7" t="s">
        <v>447</v>
      </c>
      <c r="J279" s="7" t="s">
        <v>32</v>
      </c>
      <c r="K279" s="7"/>
      <c r="L279" s="8">
        <v>45841</v>
      </c>
      <c r="M279" s="8"/>
      <c r="N279" s="8"/>
      <c r="O279" s="7" t="s">
        <v>144</v>
      </c>
      <c r="P279" s="6">
        <v>2</v>
      </c>
      <c r="Q279" s="7" t="s">
        <v>220</v>
      </c>
      <c r="R279" s="7" t="str" cm="1">
        <f t="array" aca="1" ref="R279" ca="1">_xll.ELPAR($D$1,D279,1)</f>
        <v>RECALC_0_219_</v>
      </c>
      <c r="S279" s="7" t="str">
        <f ca="1">IF(ISERROR(Proc[[#This Row],[TM1]]),C279,IF(LEFT(Proc[[#This Row],[TM1]],10)=Proc[[#This Row],[Requested]],"MAPPED",C279))</f>
        <v>Waiting for MDGF approval</v>
      </c>
    </row>
    <row r="280" spans="1:19">
      <c r="A280" s="7" t="s">
        <v>214</v>
      </c>
      <c r="B280" s="7" t="s">
        <v>143</v>
      </c>
      <c r="C280" s="7" t="s">
        <v>33</v>
      </c>
      <c r="D280" s="7" t="s">
        <v>827</v>
      </c>
      <c r="E280" s="7" t="s">
        <v>738</v>
      </c>
      <c r="F280" s="7" t="s">
        <v>828</v>
      </c>
      <c r="G280" s="7" t="s">
        <v>179</v>
      </c>
      <c r="H280" s="7" t="s">
        <v>829</v>
      </c>
      <c r="I280" s="7" t="s">
        <v>447</v>
      </c>
      <c r="J280" s="7" t="s">
        <v>32</v>
      </c>
      <c r="K280" s="7"/>
      <c r="L280" s="8">
        <v>45841</v>
      </c>
      <c r="M280" s="8"/>
      <c r="N280" s="8"/>
      <c r="O280" s="7" t="s">
        <v>144</v>
      </c>
      <c r="P280" s="6">
        <v>2</v>
      </c>
      <c r="Q280" s="7" t="s">
        <v>220</v>
      </c>
      <c r="R280" s="7" t="str" cm="1">
        <f t="array" aca="1" ref="R280" ca="1">_xll.ELPAR($D$1,D280,1)</f>
        <v>RECALC_0_114_</v>
      </c>
      <c r="S280" s="7" t="str">
        <f ca="1">IF(ISERROR(Proc[[#This Row],[TM1]]),C280,IF(LEFT(Proc[[#This Row],[TM1]],10)=Proc[[#This Row],[Requested]],"MAPPED",C280))</f>
        <v>Waiting for MDGF approval</v>
      </c>
    </row>
    <row r="281" spans="1:19">
      <c r="A281" s="7" t="s">
        <v>214</v>
      </c>
      <c r="B281" s="7" t="s">
        <v>143</v>
      </c>
      <c r="C281" s="7" t="s">
        <v>33</v>
      </c>
      <c r="D281" s="7" t="s">
        <v>830</v>
      </c>
      <c r="E281" s="7" t="s">
        <v>831</v>
      </c>
      <c r="F281" s="7" t="s">
        <v>832</v>
      </c>
      <c r="G281" s="7" t="s">
        <v>179</v>
      </c>
      <c r="H281" s="7" t="s">
        <v>833</v>
      </c>
      <c r="I281" s="7" t="s">
        <v>447</v>
      </c>
      <c r="J281" s="7" t="s">
        <v>32</v>
      </c>
      <c r="K281" s="7"/>
      <c r="L281" s="8">
        <v>45841</v>
      </c>
      <c r="M281" s="8"/>
      <c r="N281" s="8"/>
      <c r="O281" s="7" t="s">
        <v>144</v>
      </c>
      <c r="P281" s="6">
        <v>2</v>
      </c>
      <c r="Q281" s="7" t="s">
        <v>220</v>
      </c>
      <c r="R281" s="7" t="str" cm="1">
        <f t="array" aca="1" ref="R281" ca="1">_xll.ELPAR($D$1,D281,1)</f>
        <v>RECALC_0_217_</v>
      </c>
      <c r="S281" s="7" t="str">
        <f ca="1">IF(ISERROR(Proc[[#This Row],[TM1]]),C281,IF(LEFT(Proc[[#This Row],[TM1]],10)=Proc[[#This Row],[Requested]],"MAPPED",C281))</f>
        <v>Waiting for MDGF approval</v>
      </c>
    </row>
    <row r="282" spans="1:19">
      <c r="A282" s="7" t="s">
        <v>214</v>
      </c>
      <c r="B282" s="7" t="s">
        <v>143</v>
      </c>
      <c r="C282" s="7" t="s">
        <v>33</v>
      </c>
      <c r="D282" s="7" t="s">
        <v>834</v>
      </c>
      <c r="E282" s="7" t="s">
        <v>738</v>
      </c>
      <c r="F282" s="7" t="s">
        <v>825</v>
      </c>
      <c r="G282" s="7" t="s">
        <v>179</v>
      </c>
      <c r="H282" s="7" t="s">
        <v>835</v>
      </c>
      <c r="I282" s="7" t="s">
        <v>447</v>
      </c>
      <c r="J282" s="7" t="s">
        <v>32</v>
      </c>
      <c r="K282" s="7"/>
      <c r="L282" s="8">
        <v>45841</v>
      </c>
      <c r="M282" s="8"/>
      <c r="N282" s="8"/>
      <c r="O282" s="7" t="s">
        <v>144</v>
      </c>
      <c r="P282" s="6">
        <v>2</v>
      </c>
      <c r="Q282" s="7" t="s">
        <v>220</v>
      </c>
      <c r="R282" s="7" t="str" cm="1">
        <f t="array" aca="1" ref="R282" ca="1">_xll.ELPAR($D$1,D282,1)</f>
        <v>RECALC_0_82_</v>
      </c>
      <c r="S282" s="7" t="str">
        <f ca="1">IF(ISERROR(Proc[[#This Row],[TM1]]),C282,IF(LEFT(Proc[[#This Row],[TM1]],10)=Proc[[#This Row],[Requested]],"MAPPED",C282))</f>
        <v>Waiting for MDGF approval</v>
      </c>
    </row>
    <row r="283" spans="1:19">
      <c r="A283" s="7" t="s">
        <v>214</v>
      </c>
      <c r="B283" s="7" t="s">
        <v>143</v>
      </c>
      <c r="C283" s="7" t="s">
        <v>33</v>
      </c>
      <c r="D283" s="7" t="s">
        <v>836</v>
      </c>
      <c r="E283" s="7" t="s">
        <v>738</v>
      </c>
      <c r="F283" s="7" t="s">
        <v>825</v>
      </c>
      <c r="G283" s="7" t="s">
        <v>179</v>
      </c>
      <c r="H283" s="7" t="s">
        <v>837</v>
      </c>
      <c r="I283" s="7" t="s">
        <v>447</v>
      </c>
      <c r="J283" s="7" t="s">
        <v>32</v>
      </c>
      <c r="K283" s="7"/>
      <c r="L283" s="8">
        <v>45841</v>
      </c>
      <c r="M283" s="8"/>
      <c r="N283" s="8"/>
      <c r="O283" s="7" t="s">
        <v>144</v>
      </c>
      <c r="P283" s="6">
        <v>2</v>
      </c>
      <c r="Q283" s="7" t="s">
        <v>220</v>
      </c>
      <c r="R283" s="7" t="str" cm="1">
        <f t="array" aca="1" ref="R283" ca="1">_xll.ELPAR($D$1,D283,1)</f>
        <v>RECALC_0_42_</v>
      </c>
      <c r="S283" s="7" t="str">
        <f ca="1">IF(ISERROR(Proc[[#This Row],[TM1]]),C283,IF(LEFT(Proc[[#This Row],[TM1]],10)=Proc[[#This Row],[Requested]],"MAPPED",C283))</f>
        <v>Waiting for MDGF approval</v>
      </c>
    </row>
    <row r="284" spans="1:19">
      <c r="A284" s="7" t="s">
        <v>214</v>
      </c>
      <c r="B284" s="7" t="s">
        <v>143</v>
      </c>
      <c r="C284" s="7" t="s">
        <v>33</v>
      </c>
      <c r="D284" s="7" t="s">
        <v>838</v>
      </c>
      <c r="E284" s="7" t="s">
        <v>738</v>
      </c>
      <c r="F284" s="7" t="s">
        <v>825</v>
      </c>
      <c r="G284" s="7" t="s">
        <v>179</v>
      </c>
      <c r="H284" s="7" t="s">
        <v>839</v>
      </c>
      <c r="I284" s="7" t="s">
        <v>447</v>
      </c>
      <c r="J284" s="7" t="s">
        <v>32</v>
      </c>
      <c r="K284" s="7"/>
      <c r="L284" s="8">
        <v>45841</v>
      </c>
      <c r="M284" s="8"/>
      <c r="N284" s="8"/>
      <c r="O284" s="7" t="s">
        <v>144</v>
      </c>
      <c r="P284" s="6">
        <v>2</v>
      </c>
      <c r="Q284" s="7" t="s">
        <v>220</v>
      </c>
      <c r="R284" s="7" t="str" cm="1">
        <f t="array" aca="1" ref="R284" ca="1">_xll.ELPAR($D$1,D284,1)</f>
        <v>RECALC_0_35_</v>
      </c>
      <c r="S284" s="7" t="str">
        <f ca="1">IF(ISERROR(Proc[[#This Row],[TM1]]),C284,IF(LEFT(Proc[[#This Row],[TM1]],10)=Proc[[#This Row],[Requested]],"MAPPED",C284))</f>
        <v>Waiting for MDGF approval</v>
      </c>
    </row>
    <row r="285" spans="1:19">
      <c r="A285" s="7" t="s">
        <v>214</v>
      </c>
      <c r="B285" s="7" t="s">
        <v>143</v>
      </c>
      <c r="C285" s="7" t="s">
        <v>33</v>
      </c>
      <c r="D285" s="7" t="s">
        <v>840</v>
      </c>
      <c r="E285" s="7" t="s">
        <v>738</v>
      </c>
      <c r="F285" s="7" t="s">
        <v>825</v>
      </c>
      <c r="G285" s="7" t="s">
        <v>179</v>
      </c>
      <c r="H285" s="7" t="s">
        <v>841</v>
      </c>
      <c r="I285" s="7" t="s">
        <v>447</v>
      </c>
      <c r="J285" s="7" t="s">
        <v>32</v>
      </c>
      <c r="K285" s="7"/>
      <c r="L285" s="8">
        <v>45841</v>
      </c>
      <c r="M285" s="8"/>
      <c r="N285" s="8"/>
      <c r="O285" s="7" t="s">
        <v>144</v>
      </c>
      <c r="P285" s="6">
        <v>2</v>
      </c>
      <c r="Q285" s="7" t="s">
        <v>220</v>
      </c>
      <c r="R285" s="7" t="str" cm="1">
        <f t="array" aca="1" ref="R285" ca="1">_xll.ELPAR($D$1,D285,1)</f>
        <v>RECALC_0_222_</v>
      </c>
      <c r="S285" s="7" t="str">
        <f ca="1">IF(ISERROR(Proc[[#This Row],[TM1]]),C285,IF(LEFT(Proc[[#This Row],[TM1]],10)=Proc[[#This Row],[Requested]],"MAPPED",C285))</f>
        <v>Waiting for MDGF approval</v>
      </c>
    </row>
    <row r="286" spans="1:19">
      <c r="A286" s="7" t="s">
        <v>214</v>
      </c>
      <c r="B286" s="7" t="s">
        <v>143</v>
      </c>
      <c r="C286" s="7" t="s">
        <v>33</v>
      </c>
      <c r="D286" s="7" t="s">
        <v>842</v>
      </c>
      <c r="E286" s="7" t="s">
        <v>831</v>
      </c>
      <c r="F286" s="7" t="s">
        <v>843</v>
      </c>
      <c r="G286" s="7" t="s">
        <v>179</v>
      </c>
      <c r="H286" s="7" t="s">
        <v>844</v>
      </c>
      <c r="I286" s="7" t="s">
        <v>447</v>
      </c>
      <c r="J286" s="7" t="s">
        <v>32</v>
      </c>
      <c r="K286" s="7"/>
      <c r="L286" s="8">
        <v>45841</v>
      </c>
      <c r="M286" s="8"/>
      <c r="N286" s="8"/>
      <c r="O286" s="7" t="s">
        <v>144</v>
      </c>
      <c r="P286" s="6">
        <v>2</v>
      </c>
      <c r="Q286" s="7" t="s">
        <v>220</v>
      </c>
      <c r="R286" s="7" t="str" cm="1">
        <f t="array" aca="1" ref="R286" ca="1">_xll.ELPAR($D$1,D286,1)</f>
        <v>RECALC_0_181_</v>
      </c>
      <c r="S286" s="7" t="str">
        <f ca="1">IF(ISERROR(Proc[[#This Row],[TM1]]),C286,IF(LEFT(Proc[[#This Row],[TM1]],10)=Proc[[#This Row],[Requested]],"MAPPED",C286))</f>
        <v>Waiting for MDGF approval</v>
      </c>
    </row>
    <row r="287" spans="1:19">
      <c r="A287" s="7" t="s">
        <v>214</v>
      </c>
      <c r="B287" s="7" t="s">
        <v>143</v>
      </c>
      <c r="C287" s="7" t="s">
        <v>33</v>
      </c>
      <c r="D287" s="7" t="s">
        <v>845</v>
      </c>
      <c r="E287" s="7" t="s">
        <v>738</v>
      </c>
      <c r="F287" s="7" t="s">
        <v>825</v>
      </c>
      <c r="G287" s="7" t="s">
        <v>179</v>
      </c>
      <c r="H287" s="7" t="s">
        <v>846</v>
      </c>
      <c r="I287" s="7" t="s">
        <v>447</v>
      </c>
      <c r="J287" s="7" t="s">
        <v>32</v>
      </c>
      <c r="K287" s="7"/>
      <c r="L287" s="8">
        <v>45841</v>
      </c>
      <c r="M287" s="8"/>
      <c r="N287" s="8"/>
      <c r="O287" s="7" t="s">
        <v>144</v>
      </c>
      <c r="P287" s="6">
        <v>2</v>
      </c>
      <c r="Q287" s="7" t="s">
        <v>220</v>
      </c>
      <c r="R287" s="7" t="str" cm="1">
        <f t="array" aca="1" ref="R287" ca="1">_xll.ELPAR($D$1,D287,1)</f>
        <v>RECALC_0_157_</v>
      </c>
      <c r="S287" s="7" t="str">
        <f ca="1">IF(ISERROR(Proc[[#This Row],[TM1]]),C287,IF(LEFT(Proc[[#This Row],[TM1]],10)=Proc[[#This Row],[Requested]],"MAPPED",C287))</f>
        <v>Waiting for MDGF approval</v>
      </c>
    </row>
    <row r="288" spans="1:19">
      <c r="A288" s="7" t="s">
        <v>214</v>
      </c>
      <c r="B288" s="7" t="s">
        <v>143</v>
      </c>
      <c r="C288" s="7" t="s">
        <v>33</v>
      </c>
      <c r="D288" s="7" t="s">
        <v>847</v>
      </c>
      <c r="E288" s="7" t="s">
        <v>738</v>
      </c>
      <c r="F288" s="7" t="s">
        <v>825</v>
      </c>
      <c r="G288" s="7" t="s">
        <v>179</v>
      </c>
      <c r="H288" s="7" t="s">
        <v>848</v>
      </c>
      <c r="I288" s="7" t="s">
        <v>447</v>
      </c>
      <c r="J288" s="7" t="s">
        <v>32</v>
      </c>
      <c r="K288" s="7"/>
      <c r="L288" s="8">
        <v>45841</v>
      </c>
      <c r="M288" s="8"/>
      <c r="N288" s="8"/>
      <c r="O288" s="7" t="s">
        <v>144</v>
      </c>
      <c r="P288" s="6">
        <v>2</v>
      </c>
      <c r="Q288" s="7" t="s">
        <v>220</v>
      </c>
      <c r="R288" s="7" t="str" cm="1">
        <f t="array" aca="1" ref="R288" ca="1">_xll.ELPAR($D$1,D288,1)</f>
        <v>RECALC_0_151_</v>
      </c>
      <c r="S288" s="7" t="str">
        <f ca="1">IF(ISERROR(Proc[[#This Row],[TM1]]),C288,IF(LEFT(Proc[[#This Row],[TM1]],10)=Proc[[#This Row],[Requested]],"MAPPED",C288))</f>
        <v>Waiting for MDGF approval</v>
      </c>
    </row>
    <row r="289" spans="1:19">
      <c r="A289" s="7" t="s">
        <v>214</v>
      </c>
      <c r="B289" s="7" t="s">
        <v>143</v>
      </c>
      <c r="C289" s="7" t="s">
        <v>33</v>
      </c>
      <c r="D289" s="7" t="s">
        <v>849</v>
      </c>
      <c r="E289" s="7" t="s">
        <v>734</v>
      </c>
      <c r="F289" s="7" t="s">
        <v>811</v>
      </c>
      <c r="G289" s="7" t="s">
        <v>179</v>
      </c>
      <c r="H289" s="7" t="s">
        <v>850</v>
      </c>
      <c r="I289" s="7" t="s">
        <v>447</v>
      </c>
      <c r="J289" s="7" t="s">
        <v>32</v>
      </c>
      <c r="K289" s="7"/>
      <c r="L289" s="8">
        <v>45841</v>
      </c>
      <c r="M289" s="8"/>
      <c r="N289" s="8"/>
      <c r="O289" s="7" t="s">
        <v>144</v>
      </c>
      <c r="P289" s="6">
        <v>2</v>
      </c>
      <c r="Q289" s="7" t="s">
        <v>220</v>
      </c>
      <c r="R289" s="7" t="str" cm="1">
        <f t="array" aca="1" ref="R289" ca="1">_xll.ELPAR($D$1,D289,1)</f>
        <v>RECALC_0_2_</v>
      </c>
      <c r="S289" s="7" t="str">
        <f ca="1">IF(ISERROR(Proc[[#This Row],[TM1]]),C289,IF(LEFT(Proc[[#This Row],[TM1]],10)=Proc[[#This Row],[Requested]],"MAPPED",C289))</f>
        <v>Waiting for MDGF approval</v>
      </c>
    </row>
    <row r="290" spans="1:19">
      <c r="A290" s="7" t="s">
        <v>214</v>
      </c>
      <c r="B290" s="7" t="s">
        <v>143</v>
      </c>
      <c r="C290" s="7" t="s">
        <v>33</v>
      </c>
      <c r="D290" s="7" t="s">
        <v>851</v>
      </c>
      <c r="E290" s="7" t="s">
        <v>738</v>
      </c>
      <c r="F290" s="7" t="s">
        <v>825</v>
      </c>
      <c r="G290" s="7" t="s">
        <v>179</v>
      </c>
      <c r="H290" s="7" t="s">
        <v>852</v>
      </c>
      <c r="I290" s="7" t="s">
        <v>447</v>
      </c>
      <c r="J290" s="7" t="s">
        <v>32</v>
      </c>
      <c r="K290" s="7"/>
      <c r="L290" s="8">
        <v>45841</v>
      </c>
      <c r="M290" s="8"/>
      <c r="N290" s="8"/>
      <c r="O290" s="7" t="s">
        <v>144</v>
      </c>
      <c r="P290" s="6">
        <v>2</v>
      </c>
      <c r="Q290" s="7" t="s">
        <v>220</v>
      </c>
      <c r="R290" s="7" t="str" cm="1">
        <f t="array" aca="1" ref="R290" ca="1">_xll.ELPAR($D$1,D290,1)</f>
        <v>RECALC_0_65_</v>
      </c>
      <c r="S290" s="7" t="str">
        <f ca="1">IF(ISERROR(Proc[[#This Row],[TM1]]),C290,IF(LEFT(Proc[[#This Row],[TM1]],10)=Proc[[#This Row],[Requested]],"MAPPED",C290))</f>
        <v>Waiting for MDGF approval</v>
      </c>
    </row>
    <row r="291" spans="1:19">
      <c r="A291" s="7" t="s">
        <v>214</v>
      </c>
      <c r="B291" s="7" t="s">
        <v>143</v>
      </c>
      <c r="C291" s="7" t="s">
        <v>33</v>
      </c>
      <c r="D291" s="7" t="s">
        <v>853</v>
      </c>
      <c r="E291" s="7" t="s">
        <v>738</v>
      </c>
      <c r="F291" s="7" t="s">
        <v>828</v>
      </c>
      <c r="G291" s="7" t="s">
        <v>179</v>
      </c>
      <c r="H291" s="7" t="s">
        <v>854</v>
      </c>
      <c r="I291" s="7" t="s">
        <v>447</v>
      </c>
      <c r="J291" s="7" t="s">
        <v>32</v>
      </c>
      <c r="K291" s="7"/>
      <c r="L291" s="8">
        <v>45841</v>
      </c>
      <c r="M291" s="8"/>
      <c r="N291" s="8"/>
      <c r="O291" s="7" t="s">
        <v>144</v>
      </c>
      <c r="P291" s="6">
        <v>2</v>
      </c>
      <c r="Q291" s="7" t="s">
        <v>220</v>
      </c>
      <c r="R291" s="7" t="str" cm="1">
        <f t="array" aca="1" ref="R291" ca="1">_xll.ELPAR($D$1,D291,1)</f>
        <v>RECALC_0_17_</v>
      </c>
      <c r="S291" s="7" t="str">
        <f ca="1">IF(ISERROR(Proc[[#This Row],[TM1]]),C291,IF(LEFT(Proc[[#This Row],[TM1]],10)=Proc[[#This Row],[Requested]],"MAPPED",C291))</f>
        <v>Waiting for MDGF approval</v>
      </c>
    </row>
    <row r="292" spans="1:19">
      <c r="A292" s="7" t="s">
        <v>214</v>
      </c>
      <c r="B292" s="7" t="s">
        <v>143</v>
      </c>
      <c r="C292" s="7" t="s">
        <v>33</v>
      </c>
      <c r="D292" s="7" t="s">
        <v>855</v>
      </c>
      <c r="E292" s="7" t="s">
        <v>616</v>
      </c>
      <c r="F292" s="7" t="s">
        <v>825</v>
      </c>
      <c r="G292" s="7" t="s">
        <v>179</v>
      </c>
      <c r="H292" s="7" t="s">
        <v>856</v>
      </c>
      <c r="I292" s="7" t="s">
        <v>447</v>
      </c>
      <c r="J292" s="7" t="s">
        <v>32</v>
      </c>
      <c r="K292" s="7"/>
      <c r="L292" s="8">
        <v>45841</v>
      </c>
      <c r="M292" s="8"/>
      <c r="N292" s="8"/>
      <c r="O292" s="7" t="s">
        <v>144</v>
      </c>
      <c r="P292" s="6">
        <v>2</v>
      </c>
      <c r="Q292" s="7" t="s">
        <v>220</v>
      </c>
      <c r="R292" s="7" t="str" cm="1">
        <f t="array" aca="1" ref="R292" ca="1">_xll.ELPAR($D$1,D292,1)</f>
        <v>RECALC_0_6_</v>
      </c>
      <c r="S292" s="7" t="str">
        <f ca="1">IF(ISERROR(Proc[[#This Row],[TM1]]),C292,IF(LEFT(Proc[[#This Row],[TM1]],10)=Proc[[#This Row],[Requested]],"MAPPED",C292))</f>
        <v>Waiting for MDGF approval</v>
      </c>
    </row>
    <row r="293" spans="1:19">
      <c r="A293" s="7" t="s">
        <v>214</v>
      </c>
      <c r="B293" s="7" t="s">
        <v>143</v>
      </c>
      <c r="C293" s="7" t="s">
        <v>33</v>
      </c>
      <c r="D293" s="7" t="s">
        <v>857</v>
      </c>
      <c r="E293" s="7" t="s">
        <v>738</v>
      </c>
      <c r="F293" s="7" t="s">
        <v>825</v>
      </c>
      <c r="G293" s="7" t="s">
        <v>179</v>
      </c>
      <c r="H293" s="7" t="s">
        <v>858</v>
      </c>
      <c r="I293" s="7" t="s">
        <v>447</v>
      </c>
      <c r="J293" s="7" t="s">
        <v>32</v>
      </c>
      <c r="K293" s="7"/>
      <c r="L293" s="8">
        <v>45841</v>
      </c>
      <c r="M293" s="8"/>
      <c r="N293" s="8"/>
      <c r="O293" s="7" t="s">
        <v>144</v>
      </c>
      <c r="P293" s="6">
        <v>2</v>
      </c>
      <c r="Q293" s="7" t="s">
        <v>220</v>
      </c>
      <c r="R293" s="7" t="str" cm="1">
        <f t="array" aca="1" ref="R293" ca="1">_xll.ELPAR($D$1,D293,1)</f>
        <v>RECALC_0_230_</v>
      </c>
      <c r="S293" s="7" t="str">
        <f ca="1">IF(ISERROR(Proc[[#This Row],[TM1]]),C293,IF(LEFT(Proc[[#This Row],[TM1]],10)=Proc[[#This Row],[Requested]],"MAPPED",C293))</f>
        <v>Waiting for MDGF approval</v>
      </c>
    </row>
    <row r="294" spans="1:19">
      <c r="A294" s="7" t="s">
        <v>214</v>
      </c>
      <c r="B294" s="7" t="s">
        <v>143</v>
      </c>
      <c r="C294" s="7" t="s">
        <v>33</v>
      </c>
      <c r="D294" s="7" t="s">
        <v>859</v>
      </c>
      <c r="E294" s="7" t="s">
        <v>738</v>
      </c>
      <c r="F294" s="7" t="s">
        <v>825</v>
      </c>
      <c r="G294" s="7" t="s">
        <v>179</v>
      </c>
      <c r="H294" s="7" t="s">
        <v>860</v>
      </c>
      <c r="I294" s="7" t="s">
        <v>447</v>
      </c>
      <c r="J294" s="7" t="s">
        <v>32</v>
      </c>
      <c r="K294" s="7"/>
      <c r="L294" s="8">
        <v>45841</v>
      </c>
      <c r="M294" s="8"/>
      <c r="N294" s="8"/>
      <c r="O294" s="7" t="s">
        <v>144</v>
      </c>
      <c r="P294" s="6">
        <v>2</v>
      </c>
      <c r="Q294" s="7" t="s">
        <v>220</v>
      </c>
      <c r="R294" s="7" t="str" cm="1">
        <f t="array" aca="1" ref="R294" ca="1">_xll.ELPAR($D$1,D294,1)</f>
        <v>RECALC_0_203_</v>
      </c>
      <c r="S294" s="7" t="str">
        <f ca="1">IF(ISERROR(Proc[[#This Row],[TM1]]),C294,IF(LEFT(Proc[[#This Row],[TM1]],10)=Proc[[#This Row],[Requested]],"MAPPED",C294))</f>
        <v>Waiting for MDGF approval</v>
      </c>
    </row>
    <row r="295" spans="1:19">
      <c r="A295" s="7" t="s">
        <v>214</v>
      </c>
      <c r="B295" s="7" t="s">
        <v>143</v>
      </c>
      <c r="C295" s="7" t="s">
        <v>33</v>
      </c>
      <c r="D295" s="7" t="s">
        <v>861</v>
      </c>
      <c r="E295" s="7" t="s">
        <v>738</v>
      </c>
      <c r="F295" s="7" t="s">
        <v>820</v>
      </c>
      <c r="G295" s="7" t="s">
        <v>179</v>
      </c>
      <c r="H295" s="7" t="s">
        <v>862</v>
      </c>
      <c r="I295" s="7" t="s">
        <v>447</v>
      </c>
      <c r="J295" s="7" t="s">
        <v>32</v>
      </c>
      <c r="K295" s="7"/>
      <c r="L295" s="8">
        <v>45841</v>
      </c>
      <c r="M295" s="8"/>
      <c r="N295" s="8"/>
      <c r="O295" s="7" t="s">
        <v>144</v>
      </c>
      <c r="P295" s="6">
        <v>2</v>
      </c>
      <c r="Q295" s="7" t="s">
        <v>220</v>
      </c>
      <c r="R295" s="7" t="str" cm="1">
        <f t="array" aca="1" ref="R295" ca="1">_xll.ELPAR($D$1,D295,1)</f>
        <v>RECALC_0_156_</v>
      </c>
      <c r="S295" s="7" t="str">
        <f ca="1">IF(ISERROR(Proc[[#This Row],[TM1]]),C295,IF(LEFT(Proc[[#This Row],[TM1]],10)=Proc[[#This Row],[Requested]],"MAPPED",C295))</f>
        <v>Waiting for MDGF approval</v>
      </c>
    </row>
    <row r="296" spans="1:19">
      <c r="A296" s="7" t="s">
        <v>214</v>
      </c>
      <c r="B296" s="7" t="s">
        <v>143</v>
      </c>
      <c r="C296" s="7" t="s">
        <v>33</v>
      </c>
      <c r="D296" s="7" t="s">
        <v>863</v>
      </c>
      <c r="E296" s="7" t="s">
        <v>814</v>
      </c>
      <c r="F296" s="7" t="s">
        <v>820</v>
      </c>
      <c r="G296" s="7" t="s">
        <v>179</v>
      </c>
      <c r="H296" s="7" t="s">
        <v>864</v>
      </c>
      <c r="I296" s="7" t="s">
        <v>447</v>
      </c>
      <c r="J296" s="7" t="s">
        <v>32</v>
      </c>
      <c r="K296" s="7"/>
      <c r="L296" s="8">
        <v>45841</v>
      </c>
      <c r="M296" s="8"/>
      <c r="N296" s="8"/>
      <c r="O296" s="7" t="s">
        <v>144</v>
      </c>
      <c r="P296" s="6">
        <v>2</v>
      </c>
      <c r="Q296" s="7" t="s">
        <v>220</v>
      </c>
      <c r="R296" s="7" t="str" cm="1">
        <f t="array" aca="1" ref="R296" ca="1">_xll.ELPAR($D$1,D296,1)</f>
        <v>RECALC_0_149_</v>
      </c>
      <c r="S296" s="7" t="str">
        <f ca="1">IF(ISERROR(Proc[[#This Row],[TM1]]),C296,IF(LEFT(Proc[[#This Row],[TM1]],10)=Proc[[#This Row],[Requested]],"MAPPED",C296))</f>
        <v>Waiting for MDGF approval</v>
      </c>
    </row>
    <row r="297" spans="1:19">
      <c r="A297" s="7" t="s">
        <v>214</v>
      </c>
      <c r="B297" s="7" t="s">
        <v>143</v>
      </c>
      <c r="C297" s="7" t="s">
        <v>33</v>
      </c>
      <c r="D297" s="7" t="s">
        <v>865</v>
      </c>
      <c r="E297" s="7" t="s">
        <v>814</v>
      </c>
      <c r="F297" s="7" t="s">
        <v>820</v>
      </c>
      <c r="G297" s="7" t="s">
        <v>179</v>
      </c>
      <c r="H297" s="7" t="s">
        <v>866</v>
      </c>
      <c r="I297" s="7" t="s">
        <v>447</v>
      </c>
      <c r="J297" s="7" t="s">
        <v>32</v>
      </c>
      <c r="K297" s="7"/>
      <c r="L297" s="8">
        <v>45841</v>
      </c>
      <c r="M297" s="8"/>
      <c r="N297" s="8"/>
      <c r="O297" s="7" t="s">
        <v>144</v>
      </c>
      <c r="P297" s="6">
        <v>2</v>
      </c>
      <c r="Q297" s="7" t="s">
        <v>220</v>
      </c>
      <c r="R297" s="7" t="str" cm="1">
        <f t="array" aca="1" ref="R297" ca="1">_xll.ELPAR($D$1,D297,1)</f>
        <v>RECALC_0_81_</v>
      </c>
      <c r="S297" s="7" t="str">
        <f ca="1">IF(ISERROR(Proc[[#This Row],[TM1]]),C297,IF(LEFT(Proc[[#This Row],[TM1]],10)=Proc[[#This Row],[Requested]],"MAPPED",C297))</f>
        <v>Waiting for MDGF approval</v>
      </c>
    </row>
    <row r="298" spans="1:19">
      <c r="A298" s="7" t="s">
        <v>214</v>
      </c>
      <c r="B298" s="7" t="s">
        <v>143</v>
      </c>
      <c r="C298" s="7" t="s">
        <v>33</v>
      </c>
      <c r="D298" s="7" t="s">
        <v>867</v>
      </c>
      <c r="E298" s="7" t="s">
        <v>831</v>
      </c>
      <c r="F298" s="7" t="s">
        <v>828</v>
      </c>
      <c r="G298" s="7" t="s">
        <v>179</v>
      </c>
      <c r="H298" s="7" t="s">
        <v>868</v>
      </c>
      <c r="I298" s="7" t="s">
        <v>447</v>
      </c>
      <c r="J298" s="7" t="s">
        <v>32</v>
      </c>
      <c r="K298" s="7"/>
      <c r="L298" s="8">
        <v>45841</v>
      </c>
      <c r="M298" s="8"/>
      <c r="N298" s="8"/>
      <c r="O298" s="7" t="s">
        <v>144</v>
      </c>
      <c r="P298" s="6">
        <v>2</v>
      </c>
      <c r="Q298" s="7" t="s">
        <v>220</v>
      </c>
      <c r="R298" s="7" t="str" cm="1">
        <f t="array" aca="1" ref="R298" ca="1">_xll.ELPAR($D$1,D298,1)</f>
        <v>RECALC_0_64_</v>
      </c>
      <c r="S298" s="7" t="str">
        <f ca="1">IF(ISERROR(Proc[[#This Row],[TM1]]),C298,IF(LEFT(Proc[[#This Row],[TM1]],10)=Proc[[#This Row],[Requested]],"MAPPED",C298))</f>
        <v>Waiting for MDGF approval</v>
      </c>
    </row>
    <row r="299" spans="1:19">
      <c r="A299" s="7" t="s">
        <v>214</v>
      </c>
      <c r="B299" s="7" t="s">
        <v>143</v>
      </c>
      <c r="C299" s="7" t="s">
        <v>33</v>
      </c>
      <c r="D299" s="7" t="s">
        <v>869</v>
      </c>
      <c r="E299" s="7" t="s">
        <v>831</v>
      </c>
      <c r="F299" s="7" t="s">
        <v>843</v>
      </c>
      <c r="G299" s="7" t="s">
        <v>179</v>
      </c>
      <c r="H299" s="7" t="s">
        <v>870</v>
      </c>
      <c r="I299" s="7" t="s">
        <v>447</v>
      </c>
      <c r="J299" s="7" t="s">
        <v>32</v>
      </c>
      <c r="K299" s="7"/>
      <c r="L299" s="8">
        <v>45841</v>
      </c>
      <c r="M299" s="8"/>
      <c r="N299" s="8"/>
      <c r="O299" s="7" t="s">
        <v>144</v>
      </c>
      <c r="P299" s="6">
        <v>2</v>
      </c>
      <c r="Q299" s="7" t="s">
        <v>220</v>
      </c>
      <c r="R299" s="7" t="str" cm="1">
        <f t="array" aca="1" ref="R299" ca="1">_xll.ELPAR($D$1,D299,1)</f>
        <v>RECALC_0_41_</v>
      </c>
      <c r="S299" s="7" t="str">
        <f ca="1">IF(ISERROR(Proc[[#This Row],[TM1]]),C299,IF(LEFT(Proc[[#This Row],[TM1]],10)=Proc[[#This Row],[Requested]],"MAPPED",C299))</f>
        <v>Waiting for MDGF approval</v>
      </c>
    </row>
    <row r="300" spans="1:19">
      <c r="A300" s="7" t="s">
        <v>214</v>
      </c>
      <c r="B300" s="7" t="s">
        <v>143</v>
      </c>
      <c r="C300" s="7" t="s">
        <v>33</v>
      </c>
      <c r="D300" s="7" t="s">
        <v>871</v>
      </c>
      <c r="E300" s="7" t="s">
        <v>483</v>
      </c>
      <c r="F300" s="7" t="s">
        <v>843</v>
      </c>
      <c r="G300" s="7" t="s">
        <v>179</v>
      </c>
      <c r="H300" s="7" t="s">
        <v>872</v>
      </c>
      <c r="I300" s="7" t="s">
        <v>447</v>
      </c>
      <c r="J300" s="7" t="s">
        <v>32</v>
      </c>
      <c r="K300" s="7"/>
      <c r="L300" s="8">
        <v>45841</v>
      </c>
      <c r="M300" s="8"/>
      <c r="N300" s="8"/>
      <c r="O300" s="7" t="s">
        <v>144</v>
      </c>
      <c r="P300" s="6">
        <v>2</v>
      </c>
      <c r="Q300" s="7" t="s">
        <v>220</v>
      </c>
      <c r="R300" s="7" t="str" cm="1">
        <f t="array" aca="1" ref="R300" ca="1">_xll.ELPAR($D$1,D300,1)</f>
        <v>RECALC_0_16_</v>
      </c>
      <c r="S300" s="7" t="str">
        <f ca="1">IF(ISERROR(Proc[[#This Row],[TM1]]),C300,IF(LEFT(Proc[[#This Row],[TM1]],10)=Proc[[#This Row],[Requested]],"MAPPED",C300))</f>
        <v>Waiting for MDGF approval</v>
      </c>
    </row>
    <row r="301" spans="1:19">
      <c r="A301" s="7" t="s">
        <v>214</v>
      </c>
      <c r="B301" s="7" t="s">
        <v>143</v>
      </c>
      <c r="C301" s="7" t="s">
        <v>33</v>
      </c>
      <c r="D301" s="7" t="s">
        <v>873</v>
      </c>
      <c r="E301" s="7" t="s">
        <v>738</v>
      </c>
      <c r="F301" s="7" t="s">
        <v>825</v>
      </c>
      <c r="G301" s="7" t="s">
        <v>179</v>
      </c>
      <c r="H301" s="7" t="s">
        <v>874</v>
      </c>
      <c r="I301" s="7" t="s">
        <v>447</v>
      </c>
      <c r="J301" s="7" t="s">
        <v>32</v>
      </c>
      <c r="K301" s="7"/>
      <c r="L301" s="8">
        <v>45841</v>
      </c>
      <c r="M301" s="8"/>
      <c r="N301" s="8"/>
      <c r="O301" s="7" t="s">
        <v>144</v>
      </c>
      <c r="P301" s="6">
        <v>2</v>
      </c>
      <c r="Q301" s="7" t="s">
        <v>220</v>
      </c>
      <c r="R301" s="7" t="str" cm="1">
        <f t="array" aca="1" ref="R301" ca="1">_xll.ELPAR($D$1,D301,1)</f>
        <v>RECALC_0_229_</v>
      </c>
      <c r="S301" s="7" t="str">
        <f ca="1">IF(ISERROR(Proc[[#This Row],[TM1]]),C301,IF(LEFT(Proc[[#This Row],[TM1]],10)=Proc[[#This Row],[Requested]],"MAPPED",C301))</f>
        <v>Waiting for MDGF approval</v>
      </c>
    </row>
    <row r="302" spans="1:19">
      <c r="A302" s="7" t="s">
        <v>214</v>
      </c>
      <c r="B302" s="7" t="s">
        <v>143</v>
      </c>
      <c r="C302" s="7" t="s">
        <v>33</v>
      </c>
      <c r="D302" s="7" t="s">
        <v>875</v>
      </c>
      <c r="E302" s="7" t="s">
        <v>738</v>
      </c>
      <c r="F302" s="7" t="s">
        <v>825</v>
      </c>
      <c r="G302" s="7" t="s">
        <v>179</v>
      </c>
      <c r="H302" s="7" t="s">
        <v>876</v>
      </c>
      <c r="I302" s="7" t="s">
        <v>447</v>
      </c>
      <c r="J302" s="7" t="s">
        <v>32</v>
      </c>
      <c r="K302" s="7"/>
      <c r="L302" s="8">
        <v>45841</v>
      </c>
      <c r="M302" s="8"/>
      <c r="N302" s="8"/>
      <c r="O302" s="7" t="s">
        <v>144</v>
      </c>
      <c r="P302" s="6">
        <v>2</v>
      </c>
      <c r="Q302" s="7" t="s">
        <v>220</v>
      </c>
      <c r="R302" s="7" t="str" cm="1">
        <f t="array" aca="1" ref="R302" ca="1">_xll.ELPAR($D$1,D302,1)</f>
        <v>RECALC_0_180_</v>
      </c>
      <c r="S302" s="7" t="str">
        <f ca="1">IF(ISERROR(Proc[[#This Row],[TM1]]),C302,IF(LEFT(Proc[[#This Row],[TM1]],10)=Proc[[#This Row],[Requested]],"MAPPED",C302))</f>
        <v>Waiting for MDGF approval</v>
      </c>
    </row>
    <row r="303" spans="1:19">
      <c r="A303" s="7" t="s">
        <v>214</v>
      </c>
      <c r="B303" s="7" t="s">
        <v>143</v>
      </c>
      <c r="C303" s="7" t="s">
        <v>33</v>
      </c>
      <c r="D303" s="7" t="s">
        <v>877</v>
      </c>
      <c r="E303" s="7" t="s">
        <v>616</v>
      </c>
      <c r="F303" s="7" t="s">
        <v>825</v>
      </c>
      <c r="G303" s="7" t="s">
        <v>179</v>
      </c>
      <c r="H303" s="7" t="s">
        <v>878</v>
      </c>
      <c r="I303" s="7" t="s">
        <v>447</v>
      </c>
      <c r="J303" s="7" t="s">
        <v>32</v>
      </c>
      <c r="K303" s="7"/>
      <c r="L303" s="8">
        <v>45841</v>
      </c>
      <c r="M303" s="8"/>
      <c r="N303" s="8"/>
      <c r="O303" s="7" t="s">
        <v>144</v>
      </c>
      <c r="P303" s="6">
        <v>2</v>
      </c>
      <c r="Q303" s="7" t="s">
        <v>220</v>
      </c>
      <c r="R303" s="7" t="str" cm="1">
        <f t="array" aca="1" ref="R303" ca="1">_xll.ELPAR($D$1,D303,1)</f>
        <v>RECALC_0_176_</v>
      </c>
      <c r="S303" s="7" t="str">
        <f ca="1">IF(ISERROR(Proc[[#This Row],[TM1]]),C303,IF(LEFT(Proc[[#This Row],[TM1]],10)=Proc[[#This Row],[Requested]],"MAPPED",C303))</f>
        <v>Waiting for MDGF approval</v>
      </c>
    </row>
    <row r="304" spans="1:19">
      <c r="A304" s="7" t="s">
        <v>214</v>
      </c>
      <c r="B304" s="7" t="s">
        <v>143</v>
      </c>
      <c r="C304" s="7" t="s">
        <v>33</v>
      </c>
      <c r="D304" s="7" t="s">
        <v>879</v>
      </c>
      <c r="E304" s="7" t="s">
        <v>616</v>
      </c>
      <c r="F304" s="7" t="s">
        <v>825</v>
      </c>
      <c r="G304" s="7" t="s">
        <v>179</v>
      </c>
      <c r="H304" s="7" t="s">
        <v>880</v>
      </c>
      <c r="I304" s="7" t="s">
        <v>447</v>
      </c>
      <c r="J304" s="7" t="s">
        <v>32</v>
      </c>
      <c r="K304" s="7"/>
      <c r="L304" s="8">
        <v>45841</v>
      </c>
      <c r="M304" s="8"/>
      <c r="N304" s="8"/>
      <c r="O304" s="7" t="s">
        <v>144</v>
      </c>
      <c r="P304" s="6">
        <v>2</v>
      </c>
      <c r="Q304" s="7" t="s">
        <v>220</v>
      </c>
      <c r="R304" s="7" t="str" cm="1">
        <f t="array" aca="1" ref="R304" ca="1">_xll.ELPAR($D$1,D304,1)</f>
        <v>RECALC_0_174_</v>
      </c>
      <c r="S304" s="7" t="str">
        <f ca="1">IF(ISERROR(Proc[[#This Row],[TM1]]),C304,IF(LEFT(Proc[[#This Row],[TM1]],10)=Proc[[#This Row],[Requested]],"MAPPED",C304))</f>
        <v>Waiting for MDGF approval</v>
      </c>
    </row>
    <row r="305" spans="1:19">
      <c r="A305" s="7" t="s">
        <v>214</v>
      </c>
      <c r="B305" s="7" t="s">
        <v>143</v>
      </c>
      <c r="C305" s="7" t="s">
        <v>33</v>
      </c>
      <c r="D305" s="7" t="s">
        <v>881</v>
      </c>
      <c r="E305" s="7" t="s">
        <v>616</v>
      </c>
      <c r="F305" s="7" t="s">
        <v>825</v>
      </c>
      <c r="G305" s="7" t="s">
        <v>179</v>
      </c>
      <c r="H305" s="7" t="s">
        <v>882</v>
      </c>
      <c r="I305" s="7" t="s">
        <v>447</v>
      </c>
      <c r="J305" s="7" t="s">
        <v>32</v>
      </c>
      <c r="K305" s="7"/>
      <c r="L305" s="8">
        <v>45841</v>
      </c>
      <c r="M305" s="8"/>
      <c r="N305" s="8"/>
      <c r="O305" s="7" t="s">
        <v>144</v>
      </c>
      <c r="P305" s="6">
        <v>2</v>
      </c>
      <c r="Q305" s="7" t="s">
        <v>220</v>
      </c>
      <c r="R305" s="7" t="str" cm="1">
        <f t="array" aca="1" ref="R305" ca="1">_xll.ELPAR($D$1,D305,1)</f>
        <v>RECALC_0_130_</v>
      </c>
      <c r="S305" s="7" t="str">
        <f ca="1">IF(ISERROR(Proc[[#This Row],[TM1]]),C305,IF(LEFT(Proc[[#This Row],[TM1]],10)=Proc[[#This Row],[Requested]],"MAPPED",C305))</f>
        <v>Waiting for MDGF approval</v>
      </c>
    </row>
    <row r="306" spans="1:19">
      <c r="A306" s="7" t="s">
        <v>214</v>
      </c>
      <c r="B306" s="7" t="s">
        <v>143</v>
      </c>
      <c r="C306" s="7" t="s">
        <v>33</v>
      </c>
      <c r="D306" s="7" t="s">
        <v>883</v>
      </c>
      <c r="E306" s="7" t="s">
        <v>616</v>
      </c>
      <c r="F306" s="7" t="s">
        <v>825</v>
      </c>
      <c r="G306" s="7" t="s">
        <v>179</v>
      </c>
      <c r="H306" s="7" t="s">
        <v>884</v>
      </c>
      <c r="I306" s="7" t="s">
        <v>447</v>
      </c>
      <c r="J306" s="7" t="s">
        <v>32</v>
      </c>
      <c r="K306" s="7"/>
      <c r="L306" s="8">
        <v>45841</v>
      </c>
      <c r="M306" s="8"/>
      <c r="N306" s="8"/>
      <c r="O306" s="7" t="s">
        <v>144</v>
      </c>
      <c r="P306" s="6">
        <v>2</v>
      </c>
      <c r="Q306" s="7" t="s">
        <v>220</v>
      </c>
      <c r="R306" s="7" t="str" cm="1">
        <f t="array" aca="1" ref="R306" ca="1">_xll.ELPAR($D$1,D306,1)</f>
        <v>RECALC_0_80_</v>
      </c>
      <c r="S306" s="7" t="str">
        <f ca="1">IF(ISERROR(Proc[[#This Row],[TM1]]),C306,IF(LEFT(Proc[[#This Row],[TM1]],10)=Proc[[#This Row],[Requested]],"MAPPED",C306))</f>
        <v>Waiting for MDGF approval</v>
      </c>
    </row>
    <row r="307" spans="1:19">
      <c r="A307" s="7" t="s">
        <v>214</v>
      </c>
      <c r="B307" s="7" t="s">
        <v>143</v>
      </c>
      <c r="C307" s="7" t="s">
        <v>33</v>
      </c>
      <c r="D307" s="7" t="s">
        <v>885</v>
      </c>
      <c r="E307" s="7" t="s">
        <v>738</v>
      </c>
      <c r="F307" s="7" t="s">
        <v>825</v>
      </c>
      <c r="G307" s="7" t="s">
        <v>179</v>
      </c>
      <c r="H307" s="7" t="s">
        <v>886</v>
      </c>
      <c r="I307" s="7" t="s">
        <v>447</v>
      </c>
      <c r="J307" s="7" t="s">
        <v>32</v>
      </c>
      <c r="K307" s="7"/>
      <c r="L307" s="8">
        <v>45841</v>
      </c>
      <c r="M307" s="8"/>
      <c r="N307" s="8"/>
      <c r="O307" s="7" t="s">
        <v>144</v>
      </c>
      <c r="P307" s="6">
        <v>2</v>
      </c>
      <c r="Q307" s="7" t="s">
        <v>220</v>
      </c>
      <c r="R307" s="7" t="str" cm="1">
        <f t="array" aca="1" ref="R307" ca="1">_xll.ELPAR($D$1,D307,1)</f>
        <v>RECALC_0_40_</v>
      </c>
      <c r="S307" s="7" t="str">
        <f ca="1">IF(ISERROR(Proc[[#This Row],[TM1]]),C307,IF(LEFT(Proc[[#This Row],[TM1]],10)=Proc[[#This Row],[Requested]],"MAPPED",C307))</f>
        <v>Waiting for MDGF approval</v>
      </c>
    </row>
    <row r="308" spans="1:19">
      <c r="A308" s="7" t="s">
        <v>214</v>
      </c>
      <c r="B308" s="7" t="s">
        <v>143</v>
      </c>
      <c r="C308" s="7" t="s">
        <v>33</v>
      </c>
      <c r="D308" s="7" t="s">
        <v>887</v>
      </c>
      <c r="E308" s="7" t="s">
        <v>738</v>
      </c>
      <c r="F308" s="7" t="s">
        <v>825</v>
      </c>
      <c r="G308" s="7" t="s">
        <v>179</v>
      </c>
      <c r="H308" s="7" t="s">
        <v>888</v>
      </c>
      <c r="I308" s="7" t="s">
        <v>447</v>
      </c>
      <c r="J308" s="7" t="s">
        <v>32</v>
      </c>
      <c r="K308" s="7"/>
      <c r="L308" s="8">
        <v>45841</v>
      </c>
      <c r="M308" s="8"/>
      <c r="N308" s="8"/>
      <c r="O308" s="7" t="s">
        <v>144</v>
      </c>
      <c r="P308" s="6">
        <v>2</v>
      </c>
      <c r="Q308" s="7" t="s">
        <v>220</v>
      </c>
      <c r="R308" s="7" t="str" cm="1">
        <f t="array" aca="1" ref="R308" ca="1">_xll.ELPAR($D$1,D308,1)</f>
        <v>RECALC_0_5_</v>
      </c>
      <c r="S308" s="7" t="str">
        <f ca="1">IF(ISERROR(Proc[[#This Row],[TM1]]),C308,IF(LEFT(Proc[[#This Row],[TM1]],10)=Proc[[#This Row],[Requested]],"MAPPED",C308))</f>
        <v>Waiting for MDGF approval</v>
      </c>
    </row>
    <row r="309" spans="1:19">
      <c r="A309" s="7" t="s">
        <v>214</v>
      </c>
      <c r="B309" s="7" t="s">
        <v>143</v>
      </c>
      <c r="C309" s="7" t="s">
        <v>33</v>
      </c>
      <c r="D309" s="7" t="s">
        <v>889</v>
      </c>
      <c r="E309" s="7" t="s">
        <v>738</v>
      </c>
      <c r="F309" s="7" t="s">
        <v>820</v>
      </c>
      <c r="G309" s="7" t="s">
        <v>179</v>
      </c>
      <c r="H309" s="7" t="s">
        <v>890</v>
      </c>
      <c r="I309" s="7" t="s">
        <v>447</v>
      </c>
      <c r="J309" s="7" t="s">
        <v>32</v>
      </c>
      <c r="K309" s="7"/>
      <c r="L309" s="8">
        <v>45841</v>
      </c>
      <c r="M309" s="8"/>
      <c r="N309" s="8"/>
      <c r="O309" s="7" t="s">
        <v>144</v>
      </c>
      <c r="P309" s="6">
        <v>2</v>
      </c>
      <c r="Q309" s="7" t="s">
        <v>220</v>
      </c>
      <c r="R309" s="7" t="str" cm="1">
        <f t="array" aca="1" ref="R309" ca="1">_xll.ELPAR($D$1,D309,1)</f>
        <v>RECALC_0_221_</v>
      </c>
      <c r="S309" s="7" t="str">
        <f ca="1">IF(ISERROR(Proc[[#This Row],[TM1]]),C309,IF(LEFT(Proc[[#This Row],[TM1]],10)=Proc[[#This Row],[Requested]],"MAPPED",C309))</f>
        <v>Waiting for MDGF approval</v>
      </c>
    </row>
    <row r="310" spans="1:19">
      <c r="A310" s="7" t="s">
        <v>214</v>
      </c>
      <c r="B310" s="7" t="s">
        <v>143</v>
      </c>
      <c r="C310" s="7" t="s">
        <v>33</v>
      </c>
      <c r="D310" s="7" t="s">
        <v>891</v>
      </c>
      <c r="E310" s="7" t="s">
        <v>738</v>
      </c>
      <c r="F310" s="7" t="s">
        <v>811</v>
      </c>
      <c r="G310" s="7" t="s">
        <v>179</v>
      </c>
      <c r="H310" s="7" t="s">
        <v>892</v>
      </c>
      <c r="I310" s="7" t="s">
        <v>447</v>
      </c>
      <c r="J310" s="7" t="s">
        <v>32</v>
      </c>
      <c r="K310" s="7"/>
      <c r="L310" s="8">
        <v>45841</v>
      </c>
      <c r="M310" s="8"/>
      <c r="N310" s="8"/>
      <c r="O310" s="7" t="s">
        <v>144</v>
      </c>
      <c r="P310" s="6">
        <v>2</v>
      </c>
      <c r="Q310" s="7" t="s">
        <v>220</v>
      </c>
      <c r="R310" s="7" t="str" cm="1">
        <f t="array" aca="1" ref="R310" ca="1">_xll.ELPAR($D$1,D310,1)</f>
        <v>RECALC_0_179_</v>
      </c>
      <c r="S310" s="7" t="str">
        <f ca="1">IF(ISERROR(Proc[[#This Row],[TM1]]),C310,IF(LEFT(Proc[[#This Row],[TM1]],10)=Proc[[#This Row],[Requested]],"MAPPED",C310))</f>
        <v>Waiting for MDGF approval</v>
      </c>
    </row>
    <row r="311" spans="1:19">
      <c r="A311" s="7" t="s">
        <v>214</v>
      </c>
      <c r="B311" s="7" t="s">
        <v>143</v>
      </c>
      <c r="C311" s="7" t="s">
        <v>33</v>
      </c>
      <c r="D311" s="7" t="s">
        <v>893</v>
      </c>
      <c r="E311" s="7" t="s">
        <v>814</v>
      </c>
      <c r="F311" s="7" t="s">
        <v>825</v>
      </c>
      <c r="G311" s="7" t="s">
        <v>179</v>
      </c>
      <c r="H311" s="7" t="s">
        <v>894</v>
      </c>
      <c r="I311" s="7" t="s">
        <v>447</v>
      </c>
      <c r="J311" s="7" t="s">
        <v>32</v>
      </c>
      <c r="K311" s="7"/>
      <c r="L311" s="8">
        <v>45841</v>
      </c>
      <c r="M311" s="8"/>
      <c r="N311" s="8"/>
      <c r="O311" s="7" t="s">
        <v>144</v>
      </c>
      <c r="P311" s="6">
        <v>2</v>
      </c>
      <c r="Q311" s="7" t="s">
        <v>220</v>
      </c>
      <c r="R311" s="7" t="str" cm="1">
        <f t="array" aca="1" ref="R311" ca="1">_xll.ELPAR($D$1,D311,1)</f>
        <v>RECALC_0_155_</v>
      </c>
      <c r="S311" s="7" t="str">
        <f ca="1">IF(ISERROR(Proc[[#This Row],[TM1]]),C311,IF(LEFT(Proc[[#This Row],[TM1]],10)=Proc[[#This Row],[Requested]],"MAPPED",C311))</f>
        <v>Waiting for MDGF approval</v>
      </c>
    </row>
    <row r="312" spans="1:19">
      <c r="A312" s="7" t="s">
        <v>214</v>
      </c>
      <c r="B312" s="7" t="s">
        <v>143</v>
      </c>
      <c r="C312" s="7" t="s">
        <v>33</v>
      </c>
      <c r="D312" s="7" t="s">
        <v>895</v>
      </c>
      <c r="E312" s="7" t="s">
        <v>831</v>
      </c>
      <c r="F312" s="7" t="s">
        <v>843</v>
      </c>
      <c r="G312" s="7" t="s">
        <v>179</v>
      </c>
      <c r="H312" s="7" t="s">
        <v>896</v>
      </c>
      <c r="I312" s="7" t="s">
        <v>447</v>
      </c>
      <c r="J312" s="7" t="s">
        <v>32</v>
      </c>
      <c r="K312" s="7"/>
      <c r="L312" s="8">
        <v>45841</v>
      </c>
      <c r="M312" s="8"/>
      <c r="N312" s="8"/>
      <c r="O312" s="7" t="s">
        <v>144</v>
      </c>
      <c r="P312" s="6">
        <v>2</v>
      </c>
      <c r="Q312" s="7" t="s">
        <v>220</v>
      </c>
      <c r="R312" s="7" t="str" cm="1">
        <f t="array" aca="1" ref="R312" ca="1">_xll.ELPAR($D$1,D312,1)</f>
        <v>RECALC_0_200_</v>
      </c>
      <c r="S312" s="7" t="str">
        <f ca="1">IF(ISERROR(Proc[[#This Row],[TM1]]),C312,IF(LEFT(Proc[[#This Row],[TM1]],10)=Proc[[#This Row],[Requested]],"MAPPED",C312))</f>
        <v>Waiting for MDGF approval</v>
      </c>
    </row>
    <row r="313" spans="1:19">
      <c r="A313" s="7" t="s">
        <v>214</v>
      </c>
      <c r="B313" s="7" t="s">
        <v>143</v>
      </c>
      <c r="C313" s="7" t="s">
        <v>33</v>
      </c>
      <c r="D313" s="7" t="s">
        <v>897</v>
      </c>
      <c r="E313" s="7" t="s">
        <v>831</v>
      </c>
      <c r="F313" s="7" t="s">
        <v>843</v>
      </c>
      <c r="G313" s="7" t="s">
        <v>179</v>
      </c>
      <c r="H313" s="7" t="s">
        <v>898</v>
      </c>
      <c r="I313" s="7" t="s">
        <v>447</v>
      </c>
      <c r="J313" s="7" t="s">
        <v>32</v>
      </c>
      <c r="K313" s="7"/>
      <c r="L313" s="8">
        <v>45841</v>
      </c>
      <c r="M313" s="8"/>
      <c r="N313" s="8"/>
      <c r="O313" s="7" t="s">
        <v>144</v>
      </c>
      <c r="P313" s="6">
        <v>2</v>
      </c>
      <c r="Q313" s="7" t="s">
        <v>220</v>
      </c>
      <c r="R313" s="7" t="str" cm="1">
        <f t="array" aca="1" ref="R313" ca="1">_xll.ELPAR($D$1,D313,1)</f>
        <v>RECALC_0_148_</v>
      </c>
      <c r="S313" s="7" t="str">
        <f ca="1">IF(ISERROR(Proc[[#This Row],[TM1]]),C313,IF(LEFT(Proc[[#This Row],[TM1]],10)=Proc[[#This Row],[Requested]],"MAPPED",C313))</f>
        <v>Waiting for MDGF approval</v>
      </c>
    </row>
    <row r="314" spans="1:19">
      <c r="A314" s="7" t="s">
        <v>214</v>
      </c>
      <c r="B314" s="7" t="s">
        <v>143</v>
      </c>
      <c r="C314" s="7" t="s">
        <v>33</v>
      </c>
      <c r="D314" s="7" t="s">
        <v>899</v>
      </c>
      <c r="E314" s="7" t="s">
        <v>831</v>
      </c>
      <c r="F314" s="7" t="s">
        <v>843</v>
      </c>
      <c r="G314" s="7" t="s">
        <v>179</v>
      </c>
      <c r="H314" s="7" t="s">
        <v>900</v>
      </c>
      <c r="I314" s="7" t="s">
        <v>447</v>
      </c>
      <c r="J314" s="7" t="s">
        <v>32</v>
      </c>
      <c r="K314" s="7"/>
      <c r="L314" s="8">
        <v>45841</v>
      </c>
      <c r="M314" s="8"/>
      <c r="N314" s="8"/>
      <c r="O314" s="7" t="s">
        <v>144</v>
      </c>
      <c r="P314" s="6">
        <v>2</v>
      </c>
      <c r="Q314" s="7" t="s">
        <v>220</v>
      </c>
      <c r="R314" s="7" t="str" cm="1">
        <f t="array" aca="1" ref="R314" ca="1">_xll.ELPAR($D$1,D314,1)</f>
        <v>RECALC_0_63_</v>
      </c>
      <c r="S314" s="7" t="str">
        <f ca="1">IF(ISERROR(Proc[[#This Row],[TM1]]),C314,IF(LEFT(Proc[[#This Row],[TM1]],10)=Proc[[#This Row],[Requested]],"MAPPED",C314))</f>
        <v>Waiting for MDGF approval</v>
      </c>
    </row>
    <row r="315" spans="1:19">
      <c r="A315" s="7" t="s">
        <v>214</v>
      </c>
      <c r="B315" s="7" t="s">
        <v>143</v>
      </c>
      <c r="C315" s="7" t="s">
        <v>33</v>
      </c>
      <c r="D315" s="7" t="s">
        <v>901</v>
      </c>
      <c r="E315" s="7" t="s">
        <v>831</v>
      </c>
      <c r="F315" s="7" t="s">
        <v>902</v>
      </c>
      <c r="G315" s="7" t="s">
        <v>179</v>
      </c>
      <c r="H315" s="7" t="s">
        <v>903</v>
      </c>
      <c r="I315" s="7" t="s">
        <v>447</v>
      </c>
      <c r="J315" s="7" t="s">
        <v>32</v>
      </c>
      <c r="K315" s="7"/>
      <c r="L315" s="8">
        <v>45841</v>
      </c>
      <c r="M315" s="8"/>
      <c r="N315" s="8"/>
      <c r="O315" s="7" t="s">
        <v>144</v>
      </c>
      <c r="P315" s="6">
        <v>2</v>
      </c>
      <c r="Q315" s="7" t="s">
        <v>220</v>
      </c>
      <c r="R315" s="7" t="str" cm="1">
        <f t="array" aca="1" ref="R315" ca="1">_xll.ELPAR($D$1,D315,1)</f>
        <v>RECALC_0_15_</v>
      </c>
      <c r="S315" s="7" t="str">
        <f ca="1">IF(ISERROR(Proc[[#This Row],[TM1]]),C315,IF(LEFT(Proc[[#This Row],[TM1]],10)=Proc[[#This Row],[Requested]],"MAPPED",C315))</f>
        <v>Waiting for MDGF approval</v>
      </c>
    </row>
    <row r="316" spans="1:19">
      <c r="A316" s="7" t="s">
        <v>214</v>
      </c>
      <c r="B316" s="7" t="s">
        <v>143</v>
      </c>
      <c r="C316" s="7" t="s">
        <v>33</v>
      </c>
      <c r="D316" s="7" t="s">
        <v>904</v>
      </c>
      <c r="E316" s="7" t="s">
        <v>738</v>
      </c>
      <c r="F316" s="7" t="s">
        <v>825</v>
      </c>
      <c r="G316" s="7" t="s">
        <v>179</v>
      </c>
      <c r="H316" s="7" t="s">
        <v>905</v>
      </c>
      <c r="I316" s="7" t="s">
        <v>447</v>
      </c>
      <c r="J316" s="7" t="s">
        <v>32</v>
      </c>
      <c r="K316" s="7"/>
      <c r="L316" s="8">
        <v>45841</v>
      </c>
      <c r="M316" s="8"/>
      <c r="N316" s="8"/>
      <c r="O316" s="7" t="s">
        <v>144</v>
      </c>
      <c r="P316" s="6">
        <v>2</v>
      </c>
      <c r="Q316" s="7" t="s">
        <v>220</v>
      </c>
      <c r="R316" s="7" t="str" cm="1">
        <f t="array" aca="1" ref="R316" ca="1">_xll.ELPAR($D$1,D316,1)</f>
        <v>RECALC_0_34_</v>
      </c>
      <c r="S316" s="7" t="str">
        <f ca="1">IF(ISERROR(Proc[[#This Row],[TM1]]),C316,IF(LEFT(Proc[[#This Row],[TM1]],10)=Proc[[#This Row],[Requested]],"MAPPED",C316))</f>
        <v>Waiting for MDGF approval</v>
      </c>
    </row>
    <row r="317" spans="1:19">
      <c r="A317" s="7" t="s">
        <v>214</v>
      </c>
      <c r="B317" s="7" t="s">
        <v>143</v>
      </c>
      <c r="C317" s="7" t="s">
        <v>33</v>
      </c>
      <c r="D317" s="7" t="s">
        <v>906</v>
      </c>
      <c r="E317" s="7" t="s">
        <v>734</v>
      </c>
      <c r="F317" s="7" t="s">
        <v>843</v>
      </c>
      <c r="G317" s="7" t="s">
        <v>179</v>
      </c>
      <c r="H317" s="7" t="s">
        <v>907</v>
      </c>
      <c r="I317" s="7" t="s">
        <v>447</v>
      </c>
      <c r="J317" s="7" t="s">
        <v>32</v>
      </c>
      <c r="K317" s="7"/>
      <c r="L317" s="8">
        <v>45841</v>
      </c>
      <c r="M317" s="8"/>
      <c r="N317" s="8"/>
      <c r="O317" s="7" t="s">
        <v>144</v>
      </c>
      <c r="P317" s="6">
        <v>2</v>
      </c>
      <c r="Q317" s="7" t="s">
        <v>220</v>
      </c>
      <c r="R317" s="7" t="str" cm="1">
        <f t="array" aca="1" ref="R317" ca="1">_xll.ELPAR($D$1,D317,1)</f>
        <v>RECALC_0_228_</v>
      </c>
      <c r="S317" s="7" t="str">
        <f ca="1">IF(ISERROR(Proc[[#This Row],[TM1]]),C317,IF(LEFT(Proc[[#This Row],[TM1]],10)=Proc[[#This Row],[Requested]],"MAPPED",C317))</f>
        <v>Waiting for MDGF approval</v>
      </c>
    </row>
    <row r="318" spans="1:19">
      <c r="A318" s="7" t="s">
        <v>214</v>
      </c>
      <c r="B318" s="7" t="s">
        <v>143</v>
      </c>
      <c r="C318" s="7" t="s">
        <v>33</v>
      </c>
      <c r="D318" s="7" t="s">
        <v>908</v>
      </c>
      <c r="E318" s="7" t="s">
        <v>734</v>
      </c>
      <c r="F318" s="7" t="s">
        <v>742</v>
      </c>
      <c r="G318" s="7" t="s">
        <v>179</v>
      </c>
      <c r="H318" s="7" t="s">
        <v>909</v>
      </c>
      <c r="I318" s="7" t="s">
        <v>447</v>
      </c>
      <c r="J318" s="7" t="s">
        <v>32</v>
      </c>
      <c r="K318" s="7"/>
      <c r="L318" s="8">
        <v>45841</v>
      </c>
      <c r="M318" s="8"/>
      <c r="N318" s="8"/>
      <c r="O318" s="7" t="s">
        <v>144</v>
      </c>
      <c r="P318" s="6">
        <v>2</v>
      </c>
      <c r="Q318" s="7" t="s">
        <v>220</v>
      </c>
      <c r="R318" s="7" t="str" cm="1">
        <f t="array" aca="1" ref="R318" ca="1">_xll.ELPAR($D$1,D318,1)</f>
        <v>RECALC_0_202_</v>
      </c>
      <c r="S318" s="7" t="str">
        <f ca="1">IF(ISERROR(Proc[[#This Row],[TM1]]),C318,IF(LEFT(Proc[[#This Row],[TM1]],10)=Proc[[#This Row],[Requested]],"MAPPED",C318))</f>
        <v>Waiting for MDGF approval</v>
      </c>
    </row>
    <row r="319" spans="1:19">
      <c r="A319" s="7" t="s">
        <v>214</v>
      </c>
      <c r="B319" s="7" t="s">
        <v>143</v>
      </c>
      <c r="C319" s="7" t="s">
        <v>33</v>
      </c>
      <c r="D319" s="7" t="s">
        <v>910</v>
      </c>
      <c r="E319" s="7" t="s">
        <v>831</v>
      </c>
      <c r="F319" s="7" t="s">
        <v>843</v>
      </c>
      <c r="G319" s="7" t="s">
        <v>179</v>
      </c>
      <c r="H319" s="7" t="s">
        <v>911</v>
      </c>
      <c r="I319" s="7" t="s">
        <v>447</v>
      </c>
      <c r="J319" s="7" t="s">
        <v>32</v>
      </c>
      <c r="K319" s="7"/>
      <c r="L319" s="8">
        <v>45841</v>
      </c>
      <c r="M319" s="8"/>
      <c r="N319" s="8"/>
      <c r="O319" s="7" t="s">
        <v>144</v>
      </c>
      <c r="P319" s="6">
        <v>2</v>
      </c>
      <c r="Q319" s="7" t="s">
        <v>220</v>
      </c>
      <c r="R319" s="7" t="str" cm="1">
        <f t="array" aca="1" ref="R319" ca="1">_xll.ELPAR($D$1,D319,1)</f>
        <v>RECALC_0_154_</v>
      </c>
      <c r="S319" s="7" t="str">
        <f ca="1">IF(ISERROR(Proc[[#This Row],[TM1]]),C319,IF(LEFT(Proc[[#This Row],[TM1]],10)=Proc[[#This Row],[Requested]],"MAPPED",C319))</f>
        <v>Waiting for MDGF approval</v>
      </c>
    </row>
    <row r="320" spans="1:19">
      <c r="A320" s="7" t="s">
        <v>214</v>
      </c>
      <c r="B320" s="7" t="s">
        <v>143</v>
      </c>
      <c r="C320" s="7" t="s">
        <v>33</v>
      </c>
      <c r="D320" s="7" t="s">
        <v>912</v>
      </c>
      <c r="E320" s="7" t="s">
        <v>385</v>
      </c>
      <c r="F320" s="7" t="s">
        <v>913</v>
      </c>
      <c r="G320" s="7" t="s">
        <v>179</v>
      </c>
      <c r="H320" s="7" t="s">
        <v>914</v>
      </c>
      <c r="I320" s="7" t="s">
        <v>447</v>
      </c>
      <c r="J320" s="7" t="s">
        <v>32</v>
      </c>
      <c r="K320" s="7"/>
      <c r="L320" s="8">
        <v>45841</v>
      </c>
      <c r="M320" s="8"/>
      <c r="N320" s="8"/>
      <c r="O320" s="7" t="s">
        <v>144</v>
      </c>
      <c r="P320" s="6">
        <v>2</v>
      </c>
      <c r="Q320" s="7" t="s">
        <v>220</v>
      </c>
      <c r="R320" s="7" t="str" cm="1">
        <f t="array" aca="1" ref="R320" ca="1">_xll.ELPAR($D$1,D320,1)</f>
        <v>RECALC_0_199_</v>
      </c>
      <c r="S320" s="7" t="str">
        <f ca="1">IF(ISERROR(Proc[[#This Row],[TM1]]),C320,IF(LEFT(Proc[[#This Row],[TM1]],10)=Proc[[#This Row],[Requested]],"MAPPED",C320))</f>
        <v>Waiting for MDGF approval</v>
      </c>
    </row>
    <row r="321" spans="1:19">
      <c r="A321" s="7" t="s">
        <v>915</v>
      </c>
      <c r="B321" s="7" t="s">
        <v>143</v>
      </c>
      <c r="C321" s="7" t="s">
        <v>33</v>
      </c>
      <c r="D321" s="7" t="s">
        <v>916</v>
      </c>
      <c r="E321" s="7" t="s">
        <v>917</v>
      </c>
      <c r="F321" s="7" t="s">
        <v>918</v>
      </c>
      <c r="G321" s="7" t="s">
        <v>179</v>
      </c>
      <c r="H321" s="7" t="s">
        <v>919</v>
      </c>
      <c r="I321" s="7" t="s">
        <v>447</v>
      </c>
      <c r="J321" s="7" t="s">
        <v>60</v>
      </c>
      <c r="K321" s="7"/>
      <c r="L321" s="8">
        <v>45841</v>
      </c>
      <c r="M321" s="8"/>
      <c r="N321" s="8"/>
      <c r="O321" s="7" t="s">
        <v>144</v>
      </c>
      <c r="P321" s="6">
        <v>2</v>
      </c>
      <c r="Q321" s="7" t="s">
        <v>197</v>
      </c>
      <c r="R321" s="7" t="str" cm="1">
        <f t="array" aca="1" ref="R321" ca="1">_xll.ELPAR($D$1,D321,1)</f>
        <v>RECALC_0_79_</v>
      </c>
      <c r="S321" s="7" t="str">
        <f ca="1">IF(ISERROR(Proc[[#This Row],[TM1]]),C321,IF(LEFT(Proc[[#This Row],[TM1]],10)=Proc[[#This Row],[Requested]],"MAPPED",C321))</f>
        <v>Waiting for MDGF approval</v>
      </c>
    </row>
    <row r="322" spans="1:19">
      <c r="A322" s="7" t="s">
        <v>915</v>
      </c>
      <c r="B322" s="7" t="s">
        <v>143</v>
      </c>
      <c r="C322" s="7" t="s">
        <v>33</v>
      </c>
      <c r="D322" s="7" t="s">
        <v>920</v>
      </c>
      <c r="E322" s="7" t="s">
        <v>917</v>
      </c>
      <c r="F322" s="7" t="s">
        <v>918</v>
      </c>
      <c r="G322" s="7" t="s">
        <v>179</v>
      </c>
      <c r="H322" s="7" t="s">
        <v>921</v>
      </c>
      <c r="I322" s="7" t="s">
        <v>447</v>
      </c>
      <c r="J322" s="7" t="s">
        <v>60</v>
      </c>
      <c r="K322" s="7"/>
      <c r="L322" s="8">
        <v>45841</v>
      </c>
      <c r="M322" s="8"/>
      <c r="N322" s="8"/>
      <c r="O322" s="7" t="s">
        <v>144</v>
      </c>
      <c r="P322" s="6">
        <v>2</v>
      </c>
      <c r="Q322" s="7" t="s">
        <v>197</v>
      </c>
      <c r="R322" s="7" t="str" cm="1">
        <f t="array" aca="1" ref="R322" ca="1">_xll.ELPAR($D$1,D322,1)</f>
        <v>RECALC_0_1_</v>
      </c>
      <c r="S322" s="7" t="str">
        <f ca="1">IF(ISERROR(Proc[[#This Row],[TM1]]),C322,IF(LEFT(Proc[[#This Row],[TM1]],10)=Proc[[#This Row],[Requested]],"MAPPED",C322))</f>
        <v>Waiting for MDGF approval</v>
      </c>
    </row>
    <row r="323" spans="1:19">
      <c r="A323" s="7" t="s">
        <v>915</v>
      </c>
      <c r="B323" s="7" t="s">
        <v>143</v>
      </c>
      <c r="C323" s="7" t="s">
        <v>33</v>
      </c>
      <c r="D323" s="7" t="s">
        <v>922</v>
      </c>
      <c r="E323" s="7" t="s">
        <v>917</v>
      </c>
      <c r="F323" s="7" t="s">
        <v>918</v>
      </c>
      <c r="G323" s="7" t="s">
        <v>179</v>
      </c>
      <c r="H323" s="7" t="s">
        <v>923</v>
      </c>
      <c r="I323" s="7" t="s">
        <v>447</v>
      </c>
      <c r="J323" s="7" t="s">
        <v>60</v>
      </c>
      <c r="K323" s="7"/>
      <c r="L323" s="8">
        <v>45841</v>
      </c>
      <c r="M323" s="8"/>
      <c r="N323" s="8"/>
      <c r="O323" s="7" t="s">
        <v>144</v>
      </c>
      <c r="P323" s="6">
        <v>2</v>
      </c>
      <c r="Q323" s="7" t="s">
        <v>197</v>
      </c>
      <c r="R323" s="7" t="str" cm="1">
        <f t="array" aca="1" ref="R323" ca="1">_xll.ELPAR($D$1,D323,1)</f>
        <v>RECALC_0_39_</v>
      </c>
      <c r="S323" s="7" t="str">
        <f ca="1">IF(ISERROR(Proc[[#This Row],[TM1]]),C323,IF(LEFT(Proc[[#This Row],[TM1]],10)=Proc[[#This Row],[Requested]],"MAPPED",C323))</f>
        <v>Waiting for MDGF approval</v>
      </c>
    </row>
    <row r="324" spans="1:19">
      <c r="A324" s="7" t="s">
        <v>915</v>
      </c>
      <c r="B324" s="7" t="s">
        <v>143</v>
      </c>
      <c r="C324" s="7" t="s">
        <v>33</v>
      </c>
      <c r="D324" s="7" t="s">
        <v>924</v>
      </c>
      <c r="E324" s="7" t="s">
        <v>917</v>
      </c>
      <c r="F324" s="7" t="s">
        <v>918</v>
      </c>
      <c r="G324" s="7" t="s">
        <v>179</v>
      </c>
      <c r="H324" s="7" t="s">
        <v>925</v>
      </c>
      <c r="I324" s="7" t="s">
        <v>447</v>
      </c>
      <c r="J324" s="7" t="s">
        <v>60</v>
      </c>
      <c r="K324" s="7"/>
      <c r="L324" s="8">
        <v>45841</v>
      </c>
      <c r="M324" s="8"/>
      <c r="N324" s="8"/>
      <c r="O324" s="7" t="s">
        <v>144</v>
      </c>
      <c r="P324" s="6">
        <v>2</v>
      </c>
      <c r="Q324" s="7" t="s">
        <v>197</v>
      </c>
      <c r="R324" s="7" t="str" cm="1">
        <f t="array" aca="1" ref="R324" ca="1">_xll.ELPAR($D$1,D324,1)</f>
        <v>RECALC_0_14_</v>
      </c>
      <c r="S324" s="7" t="str">
        <f ca="1">IF(ISERROR(Proc[[#This Row],[TM1]]),C324,IF(LEFT(Proc[[#This Row],[TM1]],10)=Proc[[#This Row],[Requested]],"MAPPED",C324))</f>
        <v>Waiting for MDGF approval</v>
      </c>
    </row>
    <row r="325" spans="1:19">
      <c r="A325" s="7" t="s">
        <v>915</v>
      </c>
      <c r="B325" s="7" t="s">
        <v>143</v>
      </c>
      <c r="C325" s="7" t="s">
        <v>33</v>
      </c>
      <c r="D325" s="7" t="s">
        <v>926</v>
      </c>
      <c r="E325" s="7" t="s">
        <v>917</v>
      </c>
      <c r="F325" s="7" t="s">
        <v>927</v>
      </c>
      <c r="G325" s="7" t="s">
        <v>179</v>
      </c>
      <c r="H325" s="7" t="s">
        <v>928</v>
      </c>
      <c r="I325" s="7" t="s">
        <v>447</v>
      </c>
      <c r="J325" s="7" t="s">
        <v>60</v>
      </c>
      <c r="K325" s="7"/>
      <c r="L325" s="8">
        <v>45841</v>
      </c>
      <c r="M325" s="8"/>
      <c r="N325" s="8"/>
      <c r="O325" s="7" t="s">
        <v>144</v>
      </c>
      <c r="P325" s="6">
        <v>2</v>
      </c>
      <c r="Q325" s="7" t="s">
        <v>197</v>
      </c>
      <c r="R325" s="7" t="str" cm="1">
        <f t="array" aca="1" ref="R325" ca="1">_xll.ELPAR($D$1,D325,1)</f>
        <v>RECALC_0_227_</v>
      </c>
      <c r="S325" s="7" t="str">
        <f ca="1">IF(ISERROR(Proc[[#This Row],[TM1]]),C325,IF(LEFT(Proc[[#This Row],[TM1]],10)=Proc[[#This Row],[Requested]],"MAPPED",C325))</f>
        <v>Waiting for MDGF approval</v>
      </c>
    </row>
    <row r="326" spans="1:19">
      <c r="A326" s="7" t="s">
        <v>915</v>
      </c>
      <c r="B326" s="7" t="s">
        <v>143</v>
      </c>
      <c r="C326" s="7" t="s">
        <v>33</v>
      </c>
      <c r="D326" s="7" t="s">
        <v>929</v>
      </c>
      <c r="E326" s="7" t="s">
        <v>917</v>
      </c>
      <c r="F326" s="7" t="s">
        <v>918</v>
      </c>
      <c r="G326" s="7" t="s">
        <v>179</v>
      </c>
      <c r="H326" s="7" t="s">
        <v>930</v>
      </c>
      <c r="I326" s="7" t="s">
        <v>447</v>
      </c>
      <c r="J326" s="7" t="s">
        <v>60</v>
      </c>
      <c r="K326" s="7"/>
      <c r="L326" s="8">
        <v>45841</v>
      </c>
      <c r="M326" s="8"/>
      <c r="N326" s="8"/>
      <c r="O326" s="7" t="s">
        <v>144</v>
      </c>
      <c r="P326" s="6">
        <v>2</v>
      </c>
      <c r="Q326" s="7" t="s">
        <v>197</v>
      </c>
      <c r="R326" s="7" t="str" cm="1">
        <f t="array" aca="1" ref="R326" ca="1">_xll.ELPAR($D$1,D326,1)</f>
        <v>RECALC_0_178_</v>
      </c>
      <c r="S326" s="7" t="str">
        <f ca="1">IF(ISERROR(Proc[[#This Row],[TM1]]),C326,IF(LEFT(Proc[[#This Row],[TM1]],10)=Proc[[#This Row],[Requested]],"MAPPED",C326))</f>
        <v>Waiting for MDGF approval</v>
      </c>
    </row>
    <row r="327" spans="1:19">
      <c r="A327" s="7" t="s">
        <v>915</v>
      </c>
      <c r="B327" s="7" t="s">
        <v>143</v>
      </c>
      <c r="C327" s="7" t="s">
        <v>34</v>
      </c>
      <c r="D327" s="7" t="s">
        <v>931</v>
      </c>
      <c r="E327" s="7" t="s">
        <v>917</v>
      </c>
      <c r="F327" s="7" t="s">
        <v>918</v>
      </c>
      <c r="G327" s="7" t="s">
        <v>146</v>
      </c>
      <c r="H327" s="7" t="s">
        <v>147</v>
      </c>
      <c r="I327" s="7"/>
      <c r="J327" s="7" t="s">
        <v>60</v>
      </c>
      <c r="K327" s="7"/>
      <c r="L327" s="8">
        <v>45841</v>
      </c>
      <c r="M327" s="8"/>
      <c r="N327" s="8"/>
      <c r="O327" s="7" t="s">
        <v>144</v>
      </c>
      <c r="P327" s="6">
        <v>2</v>
      </c>
      <c r="Q327" s="7" t="s">
        <v>197</v>
      </c>
      <c r="R327" s="7" t="str" cm="1">
        <f t="array" aca="1" ref="R327" ca="1">_xll.ELPAR($D$1,D327,1)</f>
        <v>RECALC_0_175_</v>
      </c>
      <c r="S327" s="7" t="str">
        <f ca="1">IF(ISERROR(Proc[[#This Row],[TM1]]),C327,IF(LEFT(Proc[[#This Row],[TM1]],10)=Proc[[#This Row],[Requested]],"MAPPED",C327))</f>
        <v>Waiting for Tm1 Replication</v>
      </c>
    </row>
    <row r="328" spans="1:19">
      <c r="A328" s="7" t="s">
        <v>915</v>
      </c>
      <c r="B328" s="7" t="s">
        <v>143</v>
      </c>
      <c r="C328" s="7" t="s">
        <v>34</v>
      </c>
      <c r="D328" s="7" t="s">
        <v>932</v>
      </c>
      <c r="E328" s="7" t="s">
        <v>917</v>
      </c>
      <c r="F328" s="7" t="s">
        <v>927</v>
      </c>
      <c r="G328" s="7" t="s">
        <v>146</v>
      </c>
      <c r="H328" s="7" t="s">
        <v>147</v>
      </c>
      <c r="I328" s="7"/>
      <c r="J328" s="7" t="s">
        <v>60</v>
      </c>
      <c r="K328" s="7"/>
      <c r="L328" s="8">
        <v>45841</v>
      </c>
      <c r="M328" s="8"/>
      <c r="N328" s="8"/>
      <c r="O328" s="7" t="s">
        <v>144</v>
      </c>
      <c r="P328" s="6">
        <v>2</v>
      </c>
      <c r="Q328" s="7" t="s">
        <v>197</v>
      </c>
      <c r="R328" s="7" t="str" cm="1">
        <f t="array" aca="1" ref="R328" ca="1">_xll.ELPAR($D$1,D328,1)</f>
        <v>RECALC_0_218_</v>
      </c>
      <c r="S328" s="7" t="str">
        <f ca="1">IF(ISERROR(Proc[[#This Row],[TM1]]),C328,IF(LEFT(Proc[[#This Row],[TM1]],10)=Proc[[#This Row],[Requested]],"MAPPED",C328))</f>
        <v>Waiting for Tm1 Replication</v>
      </c>
    </row>
    <row r="329" spans="1:19">
      <c r="A329" s="7" t="s">
        <v>933</v>
      </c>
      <c r="B329" s="7" t="s">
        <v>143</v>
      </c>
      <c r="C329" s="7" t="s">
        <v>33</v>
      </c>
      <c r="D329" s="7" t="s">
        <v>934</v>
      </c>
      <c r="E329" s="7" t="s">
        <v>935</v>
      </c>
      <c r="F329" s="7" t="s">
        <v>936</v>
      </c>
      <c r="G329" s="7" t="s">
        <v>179</v>
      </c>
      <c r="H329" s="7" t="s">
        <v>937</v>
      </c>
      <c r="I329" s="7" t="s">
        <v>447</v>
      </c>
      <c r="J329" s="7" t="s">
        <v>32</v>
      </c>
      <c r="K329" s="7"/>
      <c r="L329" s="8">
        <v>45841</v>
      </c>
      <c r="M329" s="8"/>
      <c r="N329" s="8"/>
      <c r="O329" s="7" t="s">
        <v>144</v>
      </c>
      <c r="P329" s="6">
        <v>2</v>
      </c>
      <c r="Q329" s="7" t="s">
        <v>186</v>
      </c>
      <c r="R329" s="7" t="str" cm="1">
        <f t="array" aca="1" ref="R329" ca="1">_xll.ELPAR($D$1,D329,1)</f>
        <v>RECALC_0_33_</v>
      </c>
      <c r="S329" s="7" t="str">
        <f ca="1">IF(ISERROR(Proc[[#This Row],[TM1]]),C329,IF(LEFT(Proc[[#This Row],[TM1]],10)=Proc[[#This Row],[Requested]],"MAPPED",C329))</f>
        <v>Waiting for MDGF approval</v>
      </c>
    </row>
    <row r="330" spans="1:19">
      <c r="A330" s="7" t="s">
        <v>933</v>
      </c>
      <c r="B330" s="7" t="s">
        <v>143</v>
      </c>
      <c r="C330" s="7" t="s">
        <v>33</v>
      </c>
      <c r="D330" s="7" t="s">
        <v>938</v>
      </c>
      <c r="E330" s="7" t="s">
        <v>935</v>
      </c>
      <c r="F330" s="7" t="s">
        <v>936</v>
      </c>
      <c r="G330" s="7" t="s">
        <v>179</v>
      </c>
      <c r="H330" s="7" t="s">
        <v>939</v>
      </c>
      <c r="I330" s="7" t="s">
        <v>447</v>
      </c>
      <c r="J330" s="7" t="s">
        <v>32</v>
      </c>
      <c r="K330" s="7"/>
      <c r="L330" s="8">
        <v>45841</v>
      </c>
      <c r="M330" s="8"/>
      <c r="N330" s="8"/>
      <c r="O330" s="7" t="s">
        <v>144</v>
      </c>
      <c r="P330" s="6">
        <v>2</v>
      </c>
      <c r="Q330" s="7" t="s">
        <v>186</v>
      </c>
      <c r="R330" s="7" t="str" cm="1">
        <f t="array" aca="1" ref="R330" ca="1">_xll.ELPAR($D$1,D330,1)</f>
        <v>RECALC_0_78_</v>
      </c>
      <c r="S330" s="7" t="str">
        <f ca="1">IF(ISERROR(Proc[[#This Row],[TM1]]),C330,IF(LEFT(Proc[[#This Row],[TM1]],10)=Proc[[#This Row],[Requested]],"MAPPED",C330))</f>
        <v>Waiting for MDGF approval</v>
      </c>
    </row>
    <row r="331" spans="1:19">
      <c r="A331" s="7" t="s">
        <v>933</v>
      </c>
      <c r="B331" s="7" t="s">
        <v>143</v>
      </c>
      <c r="C331" s="7" t="s">
        <v>33</v>
      </c>
      <c r="D331" s="7" t="s">
        <v>940</v>
      </c>
      <c r="E331" s="7" t="s">
        <v>935</v>
      </c>
      <c r="F331" s="7" t="s">
        <v>936</v>
      </c>
      <c r="G331" s="7" t="s">
        <v>179</v>
      </c>
      <c r="H331" s="7" t="s">
        <v>941</v>
      </c>
      <c r="I331" s="7" t="s">
        <v>447</v>
      </c>
      <c r="J331" s="7" t="s">
        <v>32</v>
      </c>
      <c r="K331" s="7"/>
      <c r="L331" s="8">
        <v>45841</v>
      </c>
      <c r="M331" s="8"/>
      <c r="N331" s="8"/>
      <c r="O331" s="7" t="s">
        <v>144</v>
      </c>
      <c r="P331" s="6">
        <v>2</v>
      </c>
      <c r="Q331" s="7" t="s">
        <v>186</v>
      </c>
      <c r="R331" s="7" t="str" cm="1">
        <f t="array" aca="1" ref="R331" ca="1">_xll.ELPAR($D$1,D331,1)</f>
        <v>RECALC_0_38_</v>
      </c>
      <c r="S331" s="7" t="str">
        <f ca="1">IF(ISERROR(Proc[[#This Row],[TM1]]),C331,IF(LEFT(Proc[[#This Row],[TM1]],10)=Proc[[#This Row],[Requested]],"MAPPED",C331))</f>
        <v>Waiting for MDGF approval</v>
      </c>
    </row>
    <row r="332" spans="1:19">
      <c r="A332" s="7" t="s">
        <v>933</v>
      </c>
      <c r="B332" s="7" t="s">
        <v>143</v>
      </c>
      <c r="C332" s="7" t="s">
        <v>33</v>
      </c>
      <c r="D332" s="7" t="s">
        <v>942</v>
      </c>
      <c r="E332" s="7" t="s">
        <v>943</v>
      </c>
      <c r="F332" s="7" t="s">
        <v>944</v>
      </c>
      <c r="G332" s="7" t="s">
        <v>179</v>
      </c>
      <c r="H332" s="7" t="s">
        <v>945</v>
      </c>
      <c r="I332" s="7" t="s">
        <v>447</v>
      </c>
      <c r="J332" s="7" t="s">
        <v>32</v>
      </c>
      <c r="K332" s="7"/>
      <c r="L332" s="8">
        <v>45841</v>
      </c>
      <c r="M332" s="8"/>
      <c r="N332" s="8"/>
      <c r="O332" s="7" t="s">
        <v>144</v>
      </c>
      <c r="P332" s="6">
        <v>2</v>
      </c>
      <c r="Q332" s="7" t="s">
        <v>186</v>
      </c>
      <c r="R332" s="7" t="str" cm="1">
        <f t="array" aca="1" ref="R332" ca="1">_xll.ELPAR($D$1,D332,1)</f>
        <v>RECALC_0_4_</v>
      </c>
      <c r="S332" s="7" t="str">
        <f ca="1">IF(ISERROR(Proc[[#This Row],[TM1]]),C332,IF(LEFT(Proc[[#This Row],[TM1]],10)=Proc[[#This Row],[Requested]],"MAPPED",C332))</f>
        <v>Waiting for MDGF approval</v>
      </c>
    </row>
    <row r="333" spans="1:19">
      <c r="A333" s="7" t="s">
        <v>933</v>
      </c>
      <c r="B333" s="7" t="s">
        <v>143</v>
      </c>
      <c r="C333" s="7" t="s">
        <v>33</v>
      </c>
      <c r="D333" s="7" t="s">
        <v>946</v>
      </c>
      <c r="E333" s="7" t="s">
        <v>935</v>
      </c>
      <c r="F333" s="7" t="s">
        <v>936</v>
      </c>
      <c r="G333" s="7" t="s">
        <v>179</v>
      </c>
      <c r="H333" s="7" t="s">
        <v>947</v>
      </c>
      <c r="I333" s="7" t="s">
        <v>447</v>
      </c>
      <c r="J333" s="7" t="s">
        <v>32</v>
      </c>
      <c r="K333" s="7"/>
      <c r="L333" s="8">
        <v>45841</v>
      </c>
      <c r="M333" s="8"/>
      <c r="N333" s="8"/>
      <c r="O333" s="7" t="s">
        <v>144</v>
      </c>
      <c r="P333" s="6">
        <v>2</v>
      </c>
      <c r="Q333" s="7" t="s">
        <v>186</v>
      </c>
      <c r="R333" s="7" t="str" cm="1">
        <f t="array" aca="1" ref="R333" ca="1">_xll.ELPAR($D$1,D333,1)</f>
        <v>RECALC_0_220_</v>
      </c>
      <c r="S333" s="7" t="str">
        <f ca="1">IF(ISERROR(Proc[[#This Row],[TM1]]),C333,IF(LEFT(Proc[[#This Row],[TM1]],10)=Proc[[#This Row],[Requested]],"MAPPED",C333))</f>
        <v>Waiting for MDGF approval</v>
      </c>
    </row>
    <row r="334" spans="1:19">
      <c r="A334" s="7" t="s">
        <v>933</v>
      </c>
      <c r="B334" s="7" t="s">
        <v>143</v>
      </c>
      <c r="C334" s="7" t="s">
        <v>33</v>
      </c>
      <c r="D334" s="7" t="s">
        <v>948</v>
      </c>
      <c r="E334" s="7" t="s">
        <v>935</v>
      </c>
      <c r="F334" s="7" t="s">
        <v>936</v>
      </c>
      <c r="G334" s="7" t="s">
        <v>179</v>
      </c>
      <c r="H334" s="7" t="s">
        <v>949</v>
      </c>
      <c r="I334" s="7" t="s">
        <v>447</v>
      </c>
      <c r="J334" s="7" t="s">
        <v>32</v>
      </c>
      <c r="K334" s="7"/>
      <c r="L334" s="8">
        <v>45841</v>
      </c>
      <c r="M334" s="8"/>
      <c r="N334" s="8"/>
      <c r="O334" s="7" t="s">
        <v>144</v>
      </c>
      <c r="P334" s="6">
        <v>2</v>
      </c>
      <c r="Q334" s="7" t="s">
        <v>186</v>
      </c>
      <c r="R334" s="7" t="str" cm="1">
        <f t="array" aca="1" ref="R334" ca="1">_xll.ELPAR($D$1,D334,1)</f>
        <v>RECALC_0_177_</v>
      </c>
      <c r="S334" s="7" t="str">
        <f ca="1">IF(ISERROR(Proc[[#This Row],[TM1]]),C334,IF(LEFT(Proc[[#This Row],[TM1]],10)=Proc[[#This Row],[Requested]],"MAPPED",C334))</f>
        <v>Waiting for MDGF approval</v>
      </c>
    </row>
    <row r="335" spans="1:19">
      <c r="A335" s="7" t="s">
        <v>933</v>
      </c>
      <c r="B335" s="7" t="s">
        <v>143</v>
      </c>
      <c r="C335" s="7" t="s">
        <v>33</v>
      </c>
      <c r="D335" s="7" t="s">
        <v>950</v>
      </c>
      <c r="E335" s="7" t="s">
        <v>935</v>
      </c>
      <c r="F335" s="7" t="s">
        <v>936</v>
      </c>
      <c r="G335" s="7" t="s">
        <v>179</v>
      </c>
      <c r="H335" s="7" t="s">
        <v>951</v>
      </c>
      <c r="I335" s="7" t="s">
        <v>447</v>
      </c>
      <c r="J335" s="7" t="s">
        <v>32</v>
      </c>
      <c r="K335" s="7"/>
      <c r="L335" s="8">
        <v>45841</v>
      </c>
      <c r="M335" s="8"/>
      <c r="N335" s="8"/>
      <c r="O335" s="7" t="s">
        <v>144</v>
      </c>
      <c r="P335" s="6">
        <v>2</v>
      </c>
      <c r="Q335" s="7" t="s">
        <v>186</v>
      </c>
      <c r="R335" s="7" t="str" cm="1">
        <f t="array" aca="1" ref="R335" ca="1">_xll.ELPAR($D$1,D335,1)</f>
        <v>RECALC_0_153_</v>
      </c>
      <c r="S335" s="7" t="str">
        <f ca="1">IF(ISERROR(Proc[[#This Row],[TM1]]),C335,IF(LEFT(Proc[[#This Row],[TM1]],10)=Proc[[#This Row],[Requested]],"MAPPED",C335))</f>
        <v>Waiting for MDGF approval</v>
      </c>
    </row>
    <row r="336" spans="1:19">
      <c r="A336" s="7" t="s">
        <v>933</v>
      </c>
      <c r="B336" s="7" t="s">
        <v>143</v>
      </c>
      <c r="C336" s="7" t="s">
        <v>33</v>
      </c>
      <c r="D336" s="7" t="s">
        <v>952</v>
      </c>
      <c r="E336" s="7" t="s">
        <v>935</v>
      </c>
      <c r="F336" s="7" t="s">
        <v>936</v>
      </c>
      <c r="G336" s="7" t="s">
        <v>179</v>
      </c>
      <c r="H336" s="7" t="s">
        <v>953</v>
      </c>
      <c r="I336" s="7" t="s">
        <v>447</v>
      </c>
      <c r="J336" s="7" t="s">
        <v>32</v>
      </c>
      <c r="K336" s="7"/>
      <c r="L336" s="8">
        <v>45841</v>
      </c>
      <c r="M336" s="8"/>
      <c r="N336" s="8"/>
      <c r="O336" s="7" t="s">
        <v>144</v>
      </c>
      <c r="P336" s="6">
        <v>2</v>
      </c>
      <c r="Q336" s="7" t="s">
        <v>186</v>
      </c>
      <c r="R336" s="7" t="str" cm="1">
        <f t="array" aca="1" ref="R336" ca="1">_xll.ELPAR($D$1,D336,1)</f>
        <v>RECALC_0_150_</v>
      </c>
      <c r="S336" s="7" t="str">
        <f ca="1">IF(ISERROR(Proc[[#This Row],[TM1]]),C336,IF(LEFT(Proc[[#This Row],[TM1]],10)=Proc[[#This Row],[Requested]],"MAPPED",C336))</f>
        <v>Waiting for MDGF approval</v>
      </c>
    </row>
    <row r="337" spans="1:19">
      <c r="A337" s="7" t="s">
        <v>933</v>
      </c>
      <c r="B337" s="7" t="s">
        <v>143</v>
      </c>
      <c r="C337" s="7" t="s">
        <v>33</v>
      </c>
      <c r="D337" s="7" t="s">
        <v>954</v>
      </c>
      <c r="E337" s="7" t="s">
        <v>935</v>
      </c>
      <c r="F337" s="7" t="s">
        <v>936</v>
      </c>
      <c r="G337" s="7" t="s">
        <v>179</v>
      </c>
      <c r="H337" s="7" t="s">
        <v>955</v>
      </c>
      <c r="I337" s="7" t="s">
        <v>447</v>
      </c>
      <c r="J337" s="7" t="s">
        <v>32</v>
      </c>
      <c r="K337" s="7"/>
      <c r="L337" s="8">
        <v>45841</v>
      </c>
      <c r="M337" s="8"/>
      <c r="N337" s="8"/>
      <c r="O337" s="7" t="s">
        <v>144</v>
      </c>
      <c r="P337" s="6">
        <v>2</v>
      </c>
      <c r="Q337" s="7" t="s">
        <v>186</v>
      </c>
      <c r="R337" s="7" t="str" cm="1">
        <f t="array" aca="1" ref="R337" ca="1">_xll.ELPAR($D$1,D337,1)</f>
        <v>RECALC_0_198_</v>
      </c>
      <c r="S337" s="7" t="str">
        <f ca="1">IF(ISERROR(Proc[[#This Row],[TM1]]),C337,IF(LEFT(Proc[[#This Row],[TM1]],10)=Proc[[#This Row],[Requested]],"MAPPED",C337))</f>
        <v>Waiting for MDGF approval</v>
      </c>
    </row>
    <row r="338" spans="1:19">
      <c r="A338" s="7" t="s">
        <v>933</v>
      </c>
      <c r="B338" s="7" t="s">
        <v>143</v>
      </c>
      <c r="C338" s="7" t="s">
        <v>33</v>
      </c>
      <c r="D338" s="7" t="s">
        <v>956</v>
      </c>
      <c r="E338" s="7" t="s">
        <v>935</v>
      </c>
      <c r="F338" s="7" t="s">
        <v>936</v>
      </c>
      <c r="G338" s="7" t="s">
        <v>179</v>
      </c>
      <c r="H338" s="7" t="s">
        <v>957</v>
      </c>
      <c r="I338" s="7" t="s">
        <v>447</v>
      </c>
      <c r="J338" s="7" t="s">
        <v>32</v>
      </c>
      <c r="K338" s="7"/>
      <c r="L338" s="8">
        <v>45841</v>
      </c>
      <c r="M338" s="8"/>
      <c r="N338" s="8"/>
      <c r="O338" s="7" t="s">
        <v>144</v>
      </c>
      <c r="P338" s="6">
        <v>2</v>
      </c>
      <c r="Q338" s="7" t="s">
        <v>186</v>
      </c>
      <c r="R338" s="7" t="str" cm="1">
        <f t="array" aca="1" ref="R338" ca="1">_xll.ELPAR($D$1,D338,1)</f>
        <v>RECALC_0_0_</v>
      </c>
      <c r="S338" s="7" t="str">
        <f ca="1">IF(ISERROR(Proc[[#This Row],[TM1]]),C338,IF(LEFT(Proc[[#This Row],[TM1]],10)=Proc[[#This Row],[Requested]],"MAPPED",C338))</f>
        <v>Waiting for MDGF approval</v>
      </c>
    </row>
    <row r="339" spans="1:19">
      <c r="A339" s="7" t="s">
        <v>933</v>
      </c>
      <c r="B339" s="7" t="s">
        <v>143</v>
      </c>
      <c r="C339" s="7" t="s">
        <v>41</v>
      </c>
      <c r="D339" s="7" t="s">
        <v>958</v>
      </c>
      <c r="E339" s="7" t="s">
        <v>943</v>
      </c>
      <c r="F339" s="7" t="s">
        <v>944</v>
      </c>
      <c r="G339" s="7" t="s">
        <v>179</v>
      </c>
      <c r="H339" s="7" t="s">
        <v>959</v>
      </c>
      <c r="I339" s="7" t="s">
        <v>960</v>
      </c>
      <c r="J339" s="7" t="s">
        <v>32</v>
      </c>
      <c r="K339" s="7"/>
      <c r="L339" s="8">
        <v>45841</v>
      </c>
      <c r="M339" s="8"/>
      <c r="N339" s="8"/>
      <c r="O339" s="7" t="s">
        <v>144</v>
      </c>
      <c r="P339" s="6">
        <v>2</v>
      </c>
      <c r="Q339" s="7" t="s">
        <v>186</v>
      </c>
      <c r="R339" s="7" t="str" cm="1">
        <f t="array" aca="1" ref="R339" ca="1">_xll.ELPAR($D$1,D339,1)</f>
        <v>RECALC_0_13_</v>
      </c>
      <c r="S339" s="7" t="str">
        <f ca="1">IF(ISERROR(Proc[[#This Row],[TM1]]),C339,IF(LEFT(Proc[[#This Row],[TM1]],10)=Proc[[#This Row],[Requested]],"MAPPED",C339))</f>
        <v>New</v>
      </c>
    </row>
    <row r="340" spans="1:19">
      <c r="A340" s="7" t="s">
        <v>933</v>
      </c>
      <c r="B340" s="7" t="s">
        <v>143</v>
      </c>
      <c r="C340" s="7" t="s">
        <v>34</v>
      </c>
      <c r="D340" s="7" t="s">
        <v>961</v>
      </c>
      <c r="E340" s="7" t="s">
        <v>935</v>
      </c>
      <c r="F340" s="7" t="s">
        <v>936</v>
      </c>
      <c r="G340" s="7" t="s">
        <v>146</v>
      </c>
      <c r="H340" s="7" t="s">
        <v>147</v>
      </c>
      <c r="I340" s="7"/>
      <c r="J340" s="7" t="s">
        <v>32</v>
      </c>
      <c r="K340" s="7"/>
      <c r="L340" s="8">
        <v>45841</v>
      </c>
      <c r="M340" s="8"/>
      <c r="N340" s="8"/>
      <c r="O340" s="7" t="s">
        <v>144</v>
      </c>
      <c r="P340" s="6">
        <v>2</v>
      </c>
      <c r="Q340" s="7" t="s">
        <v>186</v>
      </c>
      <c r="R340" s="7" t="str" cm="1">
        <f t="array" aca="1" ref="R340" ca="1">_xll.ELPAR($D$1,D340,1)</f>
        <v>RECALC_0_3_</v>
      </c>
      <c r="S340" s="7" t="str">
        <f ca="1">IF(ISERROR(Proc[[#This Row],[TM1]]),C340,IF(LEFT(Proc[[#This Row],[TM1]],10)=Proc[[#This Row],[Requested]],"MAPPED",C340))</f>
        <v>Waiting for Tm1 Replication</v>
      </c>
    </row>
    <row r="341" spans="1:19">
      <c r="A341" s="7" t="s">
        <v>962</v>
      </c>
      <c r="B341" s="7" t="s">
        <v>143</v>
      </c>
      <c r="C341" s="7" t="s">
        <v>963</v>
      </c>
      <c r="D341" s="7" t="s">
        <v>964</v>
      </c>
      <c r="E341" s="7" t="s">
        <v>965</v>
      </c>
      <c r="F341" s="7"/>
      <c r="G341" s="7" t="s">
        <v>179</v>
      </c>
      <c r="H341" s="7" t="s">
        <v>966</v>
      </c>
      <c r="I341" s="7" t="s">
        <v>967</v>
      </c>
      <c r="J341" s="7" t="s">
        <v>61</v>
      </c>
      <c r="K341" s="7"/>
      <c r="L341" s="8">
        <v>45841</v>
      </c>
      <c r="M341" s="8"/>
      <c r="N341" s="8"/>
      <c r="O341" s="7" t="s">
        <v>144</v>
      </c>
      <c r="P341" s="6">
        <v>2</v>
      </c>
      <c r="Q341" s="7" t="s">
        <v>968</v>
      </c>
      <c r="R341" s="7" t="str" cm="1">
        <f t="array" aca="1" ref="R341" ca="1">_xll.ELPAR($D$1,D341,1)</f>
        <v>RECALC_0_226_</v>
      </c>
      <c r="S341" s="7" t="str">
        <f ca="1">IF(ISERROR(Proc[[#This Row],[TM1]]),C341,IF(LEFT(Proc[[#This Row],[TM1]],10)=Proc[[#This Row],[Requested]],"MAPPED",C341))</f>
        <v>Duplicated Parent</v>
      </c>
    </row>
    <row r="342" spans="1:19">
      <c r="A342" s="7" t="s">
        <v>962</v>
      </c>
      <c r="B342" s="7" t="s">
        <v>143</v>
      </c>
      <c r="C342" s="7" t="s">
        <v>963</v>
      </c>
      <c r="D342" s="7" t="s">
        <v>969</v>
      </c>
      <c r="E342" s="7" t="s">
        <v>965</v>
      </c>
      <c r="F342" s="7"/>
      <c r="G342" s="7" t="s">
        <v>179</v>
      </c>
      <c r="H342" s="7" t="s">
        <v>966</v>
      </c>
      <c r="I342" s="7" t="s">
        <v>967</v>
      </c>
      <c r="J342" s="7" t="s">
        <v>61</v>
      </c>
      <c r="K342" s="7"/>
      <c r="L342" s="8">
        <v>45841</v>
      </c>
      <c r="M342" s="8"/>
      <c r="N342" s="8"/>
      <c r="O342" s="7" t="s">
        <v>144</v>
      </c>
      <c r="P342" s="6">
        <v>2</v>
      </c>
      <c r="Q342" s="7" t="s">
        <v>968</v>
      </c>
      <c r="R342" s="7" t="str" cm="1">
        <f t="array" aca="1" ref="R342" ca="1">_xll.ELPAR($D$1,D342,1)</f>
        <v>RECALC_0_201_</v>
      </c>
      <c r="S342" s="7" t="str">
        <f ca="1">IF(ISERROR(Proc[[#This Row],[TM1]]),C342,IF(LEFT(Proc[[#This Row],[TM1]],10)=Proc[[#This Row],[Requested]],"MAPPED",C342))</f>
        <v>Duplicated Parent</v>
      </c>
    </row>
    <row r="343" spans="1:19">
      <c r="A343" s="7" t="s">
        <v>962</v>
      </c>
      <c r="B343" s="7" t="s">
        <v>143</v>
      </c>
      <c r="C343" s="7" t="s">
        <v>33</v>
      </c>
      <c r="D343" s="7" t="s">
        <v>970</v>
      </c>
      <c r="E343" s="7" t="s">
        <v>965</v>
      </c>
      <c r="F343" s="7"/>
      <c r="G343" s="7"/>
      <c r="H343" s="7" t="s">
        <v>147</v>
      </c>
      <c r="I343" s="7" t="s">
        <v>447</v>
      </c>
      <c r="J343" s="7" t="s">
        <v>61</v>
      </c>
      <c r="K343" s="7"/>
      <c r="L343" s="8">
        <v>45841</v>
      </c>
      <c r="M343" s="8"/>
      <c r="N343" s="8"/>
      <c r="O343" s="7" t="s">
        <v>144</v>
      </c>
      <c r="P343" s="6">
        <v>2</v>
      </c>
      <c r="Q343" s="7" t="s">
        <v>968</v>
      </c>
      <c r="R343" s="7" t="str" cm="1">
        <f t="array" aca="1" ref="R343" ca="1">_xll.ELPAR($D$1,D343,1)</f>
        <v>RECALC_0_152_</v>
      </c>
      <c r="S343" s="7" t="str">
        <f ca="1">IF(ISERROR(Proc[[#This Row],[TM1]]),C343,IF(LEFT(Proc[[#This Row],[TM1]],10)=Proc[[#This Row],[Requested]],"MAPPED",C343))</f>
        <v>Waiting for MDGF approval</v>
      </c>
    </row>
    <row r="344" spans="1:19">
      <c r="A344" s="7" t="s">
        <v>962</v>
      </c>
      <c r="B344" s="7" t="s">
        <v>143</v>
      </c>
      <c r="C344" s="7" t="s">
        <v>33</v>
      </c>
      <c r="D344" s="7" t="s">
        <v>971</v>
      </c>
      <c r="E344" s="7" t="s">
        <v>965</v>
      </c>
      <c r="F344" s="7"/>
      <c r="G344" s="7"/>
      <c r="H344" s="7" t="s">
        <v>147</v>
      </c>
      <c r="I344" s="7" t="s">
        <v>447</v>
      </c>
      <c r="J344" s="7" t="s">
        <v>61</v>
      </c>
      <c r="K344" s="7"/>
      <c r="L344" s="8">
        <v>45841</v>
      </c>
      <c r="M344" s="8"/>
      <c r="N344" s="8"/>
      <c r="O344" s="7" t="s">
        <v>144</v>
      </c>
      <c r="P344" s="6">
        <v>2</v>
      </c>
      <c r="Q344" s="7" t="s">
        <v>968</v>
      </c>
      <c r="R344" s="7" t="str" cm="1">
        <f t="array" aca="1" ref="R344" ca="1">_xll.ELPAR($D$1,D344,1)</f>
        <v>RECALC_0_131_</v>
      </c>
      <c r="S344" s="7" t="str">
        <f ca="1">IF(ISERROR(Proc[[#This Row],[TM1]]),C344,IF(LEFT(Proc[[#This Row],[TM1]],10)=Proc[[#This Row],[Requested]],"MAPPED",C344))</f>
        <v>Waiting for MDGF approval</v>
      </c>
    </row>
  </sheetData>
  <conditionalFormatting sqref="S1:S1048576">
    <cfRule type="containsText" dxfId="30" priority="19" operator="containsText" text="Not yet">
      <formula>NOT(ISERROR(SEARCH("Not yet",S1)))</formula>
    </cfRule>
    <cfRule type="containsText" dxfId="29" priority="20" operator="containsText" text="MAPPED">
      <formula>NOT(ISERROR(SEARCH("MAPPED",S1)))</formula>
    </cfRule>
  </conditionalFormatting>
  <conditionalFormatting sqref="A2:A1048576">
    <cfRule type="expression" dxfId="28" priority="15">
      <formula>COUNTIF($S2, "MAPPED") &gt; 0</formula>
    </cfRule>
  </conditionalFormatting>
  <pageMargins left="0.7" right="0.7" top="0.75" bottom="0.75" header="0.3" footer="0.3"/>
  <pageSetup orientation="portrait" r:id="rId1"/>
  <customProperties>
    <customPr name="_pios_id" r:id="rId2"/>
    <customPr name="IbpWorksheetKeyString_GUID" r:id="rId3"/>
  </customProperties>
  <drawing r:id="rId4"/>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57BC76-A9F4-43A1-A34A-B7B5FDE5F6F9}">
  <sheetPr codeName="Sheet6"/>
  <dimension ref="B1:L12"/>
  <sheetViews>
    <sheetView showGridLines="0" zoomScaleNormal="100" workbookViewId="0">
      <selection activeCell="C52" sqref="C52"/>
    </sheetView>
  </sheetViews>
  <sheetFormatPr defaultRowHeight="10.5"/>
  <cols>
    <col min="1" max="1" width="9.140625" style="17"/>
    <col min="2" max="2" width="10" style="17" bestFit="1" customWidth="1"/>
    <col min="3" max="3" width="23.140625" style="17" customWidth="1"/>
    <col min="4" max="4" width="19.7109375" style="17" customWidth="1"/>
    <col min="5" max="5" width="16.7109375" style="17" customWidth="1"/>
    <col min="6" max="6" width="12.28515625" style="17" customWidth="1"/>
    <col min="7" max="7" width="14.5703125" style="17" customWidth="1"/>
    <col min="8" max="8" width="18.140625" style="17" customWidth="1"/>
    <col min="9" max="9" width="13.140625" style="17" customWidth="1"/>
    <col min="10" max="10" width="14.85546875" style="17" customWidth="1"/>
    <col min="11" max="11" width="23.28515625" style="17" customWidth="1"/>
    <col min="12" max="12" width="37.42578125" style="17" bestFit="1" customWidth="1"/>
    <col min="13" max="13" width="16.28515625" style="17" bestFit="1" customWidth="1"/>
    <col min="14" max="14" width="22.7109375" style="17" bestFit="1" customWidth="1"/>
    <col min="15" max="15" width="26.140625" style="17" bestFit="1" customWidth="1"/>
    <col min="16" max="16" width="12" style="17" bestFit="1" customWidth="1"/>
    <col min="17" max="16384" width="9.140625" style="17"/>
  </cols>
  <sheetData>
    <row r="1" spans="2:12">
      <c r="C1" s="19">
        <f ca="1">SUM(C4:C1048576)</f>
        <v>3</v>
      </c>
      <c r="D1" s="19">
        <f ca="1">SUM(D4:D1048576)</f>
        <v>3</v>
      </c>
      <c r="E1" s="19"/>
      <c r="F1" s="19">
        <f ca="1">SUM(F4:F1048576)</f>
        <v>0</v>
      </c>
      <c r="G1" s="19">
        <f ca="1">SUM(G4:G1048576)</f>
        <v>0</v>
      </c>
      <c r="H1" s="19">
        <f ca="1">SUM(H4:H1048576)</f>
        <v>1</v>
      </c>
      <c r="I1" s="19">
        <f ca="1">SUM(I4:I1048576)</f>
        <v>0</v>
      </c>
      <c r="J1" s="17">
        <f ca="1">SUM(C1:F1)</f>
        <v>6</v>
      </c>
    </row>
    <row r="2" spans="2:12">
      <c r="C2" s="19"/>
      <c r="D2" s="19"/>
      <c r="E2" s="19"/>
      <c r="F2" s="19"/>
      <c r="G2" s="19"/>
      <c r="H2" s="19"/>
      <c r="I2" s="19"/>
    </row>
    <row r="3" spans="2:12" ht="21">
      <c r="B3" s="31" t="s">
        <v>2</v>
      </c>
      <c r="C3" s="24" t="s">
        <v>34</v>
      </c>
      <c r="D3" s="24" t="s">
        <v>33</v>
      </c>
      <c r="E3" s="24" t="s">
        <v>137</v>
      </c>
      <c r="F3" s="24" t="s">
        <v>41</v>
      </c>
      <c r="G3" s="24" t="s">
        <v>46</v>
      </c>
      <c r="H3" s="24" t="s">
        <v>47</v>
      </c>
      <c r="I3" s="24" t="s">
        <v>35</v>
      </c>
      <c r="J3" s="24" t="s">
        <v>36</v>
      </c>
      <c r="K3" s="24" t="s">
        <v>66</v>
      </c>
      <c r="L3" s="24" t="s">
        <v>65</v>
      </c>
    </row>
    <row r="4" spans="2:12">
      <c r="B4" s="30" t="s">
        <v>172</v>
      </c>
      <c r="C4" s="18">
        <f ca="1">COUNTIFS(Proc!$A:$A,$B4,Proc!$S:$S,C$3)</f>
        <v>1</v>
      </c>
      <c r="D4" s="18">
        <f ca="1">COUNTIFS(Proc!$A:$A,$B4,Proc!$S:$S,D$3)</f>
        <v>0</v>
      </c>
      <c r="E4" s="18">
        <f ca="1">COUNTIFS(Proc!$A:$A,$B4,Proc!$S:$S,E$3)</f>
        <v>0</v>
      </c>
      <c r="F4" s="18">
        <f ca="1">COUNTIFS(Proc!$A:$A,$B4,Proc!$S:$S,F$3)</f>
        <v>0</v>
      </c>
      <c r="G4" s="18">
        <f ca="1">COUNTIFS(Proc!$A:$A,$B4,Proc!$S:$S,G$3)</f>
        <v>0</v>
      </c>
      <c r="H4" s="18">
        <f ca="1">COUNTIFS(Proc!$A:$A,$B4,Proc!$S:$S,H$3)</f>
        <v>1</v>
      </c>
      <c r="I4" s="19">
        <f ca="1">COUNTIFS(Proc!$A:$A,$B4,Proc!$S:$S,I$3)</f>
        <v>0</v>
      </c>
      <c r="J4" s="17" t="str">
        <f ca="1">IF($F4&gt;0,"Pending",IF(OR($C4&gt;0,$D4&gt;0,$E4&gt;0),"Pending","OK"))</f>
        <v>Pending</v>
      </c>
      <c r="K4" s="17">
        <f ca="1">Overview[[#This Row],[MAPPED]]</f>
        <v>0</v>
      </c>
      <c r="L4" s="17" t="str">
        <f ca="1">IF(J4="OK",IF(K4&gt;0,IF(I4&gt;1,CONCATENATE(TEXT(I4,"0")," ","objects have been successfully mapped."),"Object has been successfully mapped."),""),"")</f>
        <v/>
      </c>
    </row>
    <row r="5" spans="2:12">
      <c r="B5" s="30" t="s">
        <v>180</v>
      </c>
      <c r="C5" s="18">
        <f ca="1">COUNTIFS(Proc!$A:$A,$B5,Proc!$S:$S,C$3)</f>
        <v>0</v>
      </c>
      <c r="D5" s="18">
        <f ca="1">COUNTIFS(Proc!$A:$A,$B5,Proc!$S:$S,D$3)</f>
        <v>2</v>
      </c>
      <c r="E5" s="18">
        <f ca="1">COUNTIFS(Proc!$A:$A,$B5,Proc!$S:$S,E$3)</f>
        <v>0</v>
      </c>
      <c r="F5" s="18">
        <f ca="1">COUNTIFS(Proc!$A:$A,$B5,Proc!$S:$S,F$3)</f>
        <v>0</v>
      </c>
      <c r="G5" s="18">
        <f ca="1">COUNTIFS(Proc!$A:$A,$B5,Proc!$S:$S,G$3)</f>
        <v>0</v>
      </c>
      <c r="H5" s="18">
        <f ca="1">COUNTIFS(Proc!$A:$A,$B5,Proc!$S:$S,H$3)</f>
        <v>0</v>
      </c>
      <c r="I5" s="19">
        <f ca="1">COUNTIFS(Proc!$A:$A,$B5,Proc!$S:$S,I$3)</f>
        <v>0</v>
      </c>
      <c r="J5" s="17" t="str">
        <f t="shared" ref="J5:J8" ca="1" si="0">IF($F5&gt;0,"Pending",IF(OR($C5&gt;0,$D5&gt;0,$E5&gt;0),"Pending","OK"))</f>
        <v>Pending</v>
      </c>
      <c r="K5" s="17">
        <f ca="1">Overview[[#This Row],[MAPPED]]</f>
        <v>0</v>
      </c>
      <c r="L5" s="17" t="str">
        <f t="shared" ref="L5:L8" ca="1" si="1">IF(J5="OK",IF(K5&gt;0,IF(I5&gt;1,CONCATENATE(TEXT(I5,"0")," ","objects have been successfully mapped."),"Object has been successfully mapped."),""),"")</f>
        <v/>
      </c>
    </row>
    <row r="6" spans="2:12">
      <c r="B6" s="30" t="s">
        <v>198</v>
      </c>
      <c r="C6" s="18">
        <f ca="1">COUNTIFS(Proc!$A:$A,$B6,Proc!$S:$S,C$3)</f>
        <v>0</v>
      </c>
      <c r="D6" s="18">
        <f ca="1">COUNTIFS(Proc!$A:$A,$B6,Proc!$S:$S,D$3)</f>
        <v>1</v>
      </c>
      <c r="E6" s="18">
        <f ca="1">COUNTIFS(Proc!$A:$A,$B6,Proc!$S:$S,E$3)</f>
        <v>0</v>
      </c>
      <c r="F6" s="18">
        <f ca="1">COUNTIFS(Proc!$A:$A,$B6,Proc!$S:$S,F$3)</f>
        <v>0</v>
      </c>
      <c r="G6" s="18">
        <f ca="1">COUNTIFS(Proc!$A:$A,$B6,Proc!$S:$S,G$3)</f>
        <v>0</v>
      </c>
      <c r="H6" s="18">
        <f ca="1">COUNTIFS(Proc!$A:$A,$B6,Proc!$S:$S,H$3)</f>
        <v>0</v>
      </c>
      <c r="I6" s="19">
        <f ca="1">COUNTIFS(Proc!$A:$A,$B6,Proc!$S:$S,I$3)</f>
        <v>0</v>
      </c>
      <c r="J6" s="17" t="str">
        <f t="shared" ca="1" si="0"/>
        <v>Pending</v>
      </c>
      <c r="K6" s="17">
        <f ca="1">Overview[[#This Row],[MAPPED]]</f>
        <v>0</v>
      </c>
      <c r="L6" s="17" t="str">
        <f t="shared" ca="1" si="1"/>
        <v/>
      </c>
    </row>
    <row r="7" spans="2:12">
      <c r="B7" s="30" t="s">
        <v>205</v>
      </c>
      <c r="C7" s="18">
        <f ca="1">COUNTIFS(Proc!$A:$A,$B7,Proc!$S:$S,C$3)</f>
        <v>1</v>
      </c>
      <c r="D7" s="18">
        <f ca="1">COUNTIFS(Proc!$A:$A,$B7,Proc!$S:$S,D$3)</f>
        <v>0</v>
      </c>
      <c r="E7" s="18">
        <f ca="1">COUNTIFS(Proc!$A:$A,$B7,Proc!$S:$S,E$3)</f>
        <v>0</v>
      </c>
      <c r="F7" s="18">
        <f ca="1">COUNTIFS(Proc!$A:$A,$B7,Proc!$S:$S,F$3)</f>
        <v>0</v>
      </c>
      <c r="G7" s="18">
        <f ca="1">COUNTIFS(Proc!$A:$A,$B7,Proc!$S:$S,G$3)</f>
        <v>0</v>
      </c>
      <c r="H7" s="18">
        <f ca="1">COUNTIFS(Proc!$A:$A,$B7,Proc!$S:$S,H$3)</f>
        <v>0</v>
      </c>
      <c r="I7" s="19">
        <f ca="1">COUNTIFS(Proc!$A:$A,$B7,Proc!$S:$S,I$3)</f>
        <v>0</v>
      </c>
      <c r="J7" s="17" t="str">
        <f t="shared" ca="1" si="0"/>
        <v>Pending</v>
      </c>
      <c r="K7" s="17">
        <f ca="1">Overview[[#This Row],[MAPPED]]</f>
        <v>0</v>
      </c>
      <c r="L7" s="17" t="str">
        <f t="shared" ca="1" si="1"/>
        <v/>
      </c>
    </row>
    <row r="8" spans="2:12">
      <c r="B8" s="30" t="s">
        <v>210</v>
      </c>
      <c r="C8" s="18">
        <f ca="1">COUNTIFS(Proc!$A:$A,$B8,Proc!$S:$S,C$3)</f>
        <v>1</v>
      </c>
      <c r="D8" s="18">
        <f ca="1">COUNTIFS(Proc!$A:$A,$B8,Proc!$S:$S,D$3)</f>
        <v>0</v>
      </c>
      <c r="E8" s="18">
        <f ca="1">COUNTIFS(Proc!$A:$A,$B8,Proc!$S:$S,E$3)</f>
        <v>0</v>
      </c>
      <c r="F8" s="18">
        <f ca="1">COUNTIFS(Proc!$A:$A,$B8,Proc!$S:$S,F$3)</f>
        <v>0</v>
      </c>
      <c r="G8" s="18">
        <f ca="1">COUNTIFS(Proc!$A:$A,$B8,Proc!$S:$S,G$3)</f>
        <v>0</v>
      </c>
      <c r="H8" s="18">
        <f ca="1">COUNTIFS(Proc!$A:$A,$B8,Proc!$S:$S,H$3)</f>
        <v>0</v>
      </c>
      <c r="I8" s="19">
        <f ca="1">COUNTIFS(Proc!$A:$A,$B8,Proc!$S:$S,I$3)</f>
        <v>0</v>
      </c>
      <c r="J8" s="17" t="str">
        <f t="shared" ca="1" si="0"/>
        <v>Pending</v>
      </c>
      <c r="K8" s="17">
        <f ca="1">Overview[[#This Row],[MAPPED]]</f>
        <v>0</v>
      </c>
      <c r="L8" s="17" t="str">
        <f t="shared" ca="1" si="1"/>
        <v/>
      </c>
    </row>
    <row r="9" spans="2:12">
      <c r="B9" s="30" t="s">
        <v>214</v>
      </c>
    </row>
    <row r="10" spans="2:12">
      <c r="B10" s="30" t="s">
        <v>915</v>
      </c>
    </row>
    <row r="11" spans="2:12">
      <c r="B11" s="30" t="s">
        <v>933</v>
      </c>
    </row>
    <row r="12" spans="2:12">
      <c r="B12" s="30" t="s">
        <v>962</v>
      </c>
    </row>
  </sheetData>
  <conditionalFormatting sqref="C4:F8">
    <cfRule type="cellIs" dxfId="27" priority="106" operator="lessThan">
      <formula>1</formula>
    </cfRule>
    <cfRule type="cellIs" dxfId="26" priority="107" operator="greaterThan">
      <formula>0</formula>
    </cfRule>
  </conditionalFormatting>
  <conditionalFormatting sqref="G4:H8">
    <cfRule type="cellIs" dxfId="25" priority="104" operator="greaterThan">
      <formula>0</formula>
    </cfRule>
    <cfRule type="cellIs" dxfId="24" priority="105" operator="lessThan">
      <formula>1</formula>
    </cfRule>
  </conditionalFormatting>
  <conditionalFormatting sqref="I4:I8">
    <cfRule type="cellIs" dxfId="23" priority="101" operator="lessThan">
      <formula>1</formula>
    </cfRule>
    <cfRule type="cellIs" dxfId="22" priority="102" operator="greaterThan">
      <formula>0</formula>
    </cfRule>
  </conditionalFormatting>
  <pageMargins left="0.7" right="0.7" top="0.75" bottom="0.75" header="0.3" footer="0.3"/>
  <pageSetup orientation="portrait" r:id="rId2"/>
  <customProperties>
    <customPr name="_pios_id" r:id="rId3"/>
  </customProperties>
  <drawing r:id="rId4"/>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911700-E14D-464B-8B73-FC22301D5D5F}">
  <sheetPr codeName="Sheet10"/>
  <dimension ref="A1:B13"/>
  <sheetViews>
    <sheetView showGridLines="0" topLeftCell="A2" workbookViewId="0">
      <selection activeCell="A3" sqref="A3"/>
    </sheetView>
  </sheetViews>
  <sheetFormatPr defaultRowHeight="11.25"/>
  <cols>
    <col min="1" max="1" width="12.140625" style="28" bestFit="1" customWidth="1"/>
    <col min="2" max="2" width="21" style="28" bestFit="1" customWidth="1"/>
    <col min="3" max="16384" width="9.140625" style="28"/>
  </cols>
  <sheetData>
    <row r="1" spans="1:2">
      <c r="A1" s="27" t="s">
        <v>36</v>
      </c>
      <c r="B1" s="28" t="s">
        <v>196</v>
      </c>
    </row>
    <row r="3" spans="1:2">
      <c r="A3" s="27" t="s">
        <v>4</v>
      </c>
      <c r="B3" s="27" t="s">
        <v>65</v>
      </c>
    </row>
    <row r="4" spans="1:2">
      <c r="A4"/>
      <c r="B4"/>
    </row>
    <row r="5" spans="1:2" ht="15">
      <c r="A5"/>
      <c r="B5"/>
    </row>
    <row r="6" spans="1:2" ht="15">
      <c r="A6"/>
      <c r="B6"/>
    </row>
    <row r="7" spans="1:2" ht="15">
      <c r="A7"/>
      <c r="B7"/>
    </row>
    <row r="8" spans="1:2" ht="15">
      <c r="A8"/>
      <c r="B8"/>
    </row>
    <row r="9" spans="1:2" ht="15">
      <c r="A9"/>
      <c r="B9"/>
    </row>
    <row r="10" spans="1:2" ht="15">
      <c r="A10"/>
      <c r="B10"/>
    </row>
    <row r="11" spans="1:2" ht="15">
      <c r="A11"/>
      <c r="B11"/>
    </row>
    <row r="12" spans="1:2" ht="15">
      <c r="A12"/>
      <c r="B12"/>
    </row>
    <row r="13" spans="1:2" ht="15">
      <c r="A13"/>
      <c r="B13"/>
    </row>
  </sheetData>
  <pageMargins left="0.7" right="0.7" top="0.75" bottom="0.75" header="0.3" footer="0.3"/>
  <pageSetup orientation="portrait" r:id="rId2"/>
  <customProperties>
    <customPr name="_pios_id" r:id="rId3"/>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1A0F4E-24C1-4D67-8EC1-AF7C3D138F03}">
  <sheetPr codeName="Sheet4"/>
  <dimension ref="A1:G19"/>
  <sheetViews>
    <sheetView zoomScale="85" zoomScaleNormal="85" workbookViewId="0">
      <selection activeCell="A19" sqref="A19"/>
    </sheetView>
  </sheetViews>
  <sheetFormatPr defaultRowHeight="15"/>
  <cols>
    <col min="1" max="1" width="62.28515625" customWidth="1"/>
    <col min="2" max="2" width="70.28515625" bestFit="1" customWidth="1"/>
    <col min="3" max="3" width="14" customWidth="1"/>
    <col min="4" max="4" width="65.140625" style="3" bestFit="1" customWidth="1"/>
    <col min="5" max="5" width="16" style="3" customWidth="1"/>
    <col min="6" max="6" width="68.28515625" customWidth="1"/>
    <col min="7" max="7" width="61.140625" customWidth="1"/>
    <col min="8" max="8" width="35.7109375" bestFit="1" customWidth="1"/>
    <col min="9" max="9" width="68.28515625" bestFit="1" customWidth="1"/>
  </cols>
  <sheetData>
    <row r="1" spans="1:7">
      <c r="A1" t="s">
        <v>142</v>
      </c>
      <c r="B1" t="s">
        <v>3</v>
      </c>
      <c r="C1" t="s">
        <v>1</v>
      </c>
      <c r="D1" t="s">
        <v>0</v>
      </c>
      <c r="E1" t="s">
        <v>68</v>
      </c>
      <c r="F1" t="s">
        <v>5</v>
      </c>
      <c r="G1" t="s">
        <v>6</v>
      </c>
    </row>
    <row r="2" spans="1:7">
      <c r="A2" t="s">
        <v>34</v>
      </c>
      <c r="B2" t="s">
        <v>156</v>
      </c>
      <c r="C2" t="s">
        <v>170</v>
      </c>
      <c r="D2" s="4" t="str" cm="1">
        <f t="array" aca="1" ref="D2" ca="1">_xll.ELPAR(Proc!$D$1,B2,1)</f>
        <v>RECALC_0_354_</v>
      </c>
      <c r="E2" s="4" t="b">
        <f ca="1">LEFT(Table13[[#This Row],[TM1]],10)=Table13[[#This Row],[Requested]]</f>
        <v>0</v>
      </c>
      <c r="F2" s="5" t="str" cm="1">
        <f t="array" aca="1" ref="F2" ca="1">_xll.ELPAR(Proc!$D$1,D2,1)</f>
        <v>RECALC_1_362_</v>
      </c>
      <c r="G2" s="5" t="str" cm="1">
        <f t="array" aca="1" ref="G2" ca="1">_xll.ELPAR(Proc!$D$1,F2,1)</f>
        <v>RECALC_2_387_</v>
      </c>
    </row>
    <row r="3" spans="1:7">
      <c r="B3" t="s">
        <v>157</v>
      </c>
      <c r="C3" t="s">
        <v>170</v>
      </c>
      <c r="D3" s="4" t="str" cm="1">
        <f t="array" aca="1" ref="D3" ca="1">_xll.ELPAR(Proc!$D$1,B3,1)</f>
        <v>RECALC_0_357_</v>
      </c>
      <c r="E3" s="4" t="b">
        <f ca="1">LEFT(Table13[[#This Row],[TM1]],10)=Table13[[#This Row],[Requested]]</f>
        <v>0</v>
      </c>
      <c r="F3" s="5" t="str" cm="1">
        <f t="array" aca="1" ref="F3" ca="1">_xll.ELPAR(Proc!$D$1,D3,1)</f>
        <v>RECALC_1_372_</v>
      </c>
      <c r="G3" s="5" t="str" cm="1">
        <f t="array" aca="1" ref="G3" ca="1">_xll.ELPAR(Proc!$D$1,F3,1)</f>
        <v>RECALC_2_390_</v>
      </c>
    </row>
    <row r="4" spans="1:7">
      <c r="B4" t="s">
        <v>158</v>
      </c>
      <c r="C4" t="s">
        <v>170</v>
      </c>
      <c r="D4" s="4" t="str" cm="1">
        <f t="array" aca="1" ref="D4" ca="1">_xll.ELPAR(Proc!$D$1,B4,1)</f>
        <v>RECALC_0_349_</v>
      </c>
      <c r="E4" s="4" t="b">
        <f ca="1">LEFT(Table13[[#This Row],[TM1]],10)=Table13[[#This Row],[Requested]]</f>
        <v>0</v>
      </c>
      <c r="F4" s="5" t="str" cm="1">
        <f t="array" aca="1" ref="F4" ca="1">_xll.ELPAR(Proc!$D$1,D4,1)</f>
        <v>RECALC_1_373_</v>
      </c>
      <c r="G4" s="5" t="str" cm="1">
        <f t="array" aca="1" ref="G4" ca="1">_xll.ELPAR(Proc!$D$1,F4,1)</f>
        <v>RECALC_2_379_</v>
      </c>
    </row>
    <row r="5" spans="1:7">
      <c r="B5" t="s">
        <v>159</v>
      </c>
      <c r="C5" t="s">
        <v>170</v>
      </c>
      <c r="D5" s="4" t="str" cm="1">
        <f t="array" aca="1" ref="D5" ca="1">_xll.ELPAR(Proc!$D$1,B5,1)</f>
        <v>RECALC_0_350_</v>
      </c>
      <c r="E5" s="4" t="b">
        <f ca="1">LEFT(Table13[[#This Row],[TM1]],10)=Table13[[#This Row],[Requested]]</f>
        <v>0</v>
      </c>
      <c r="F5" s="5" t="str" cm="1">
        <f t="array" aca="1" ref="F5" ca="1">_xll.ELPAR(Proc!$D$1,D5,1)</f>
        <v>RECALC_1_376_</v>
      </c>
      <c r="G5" s="5" t="str" cm="1">
        <f t="array" aca="1" ref="G5" ca="1">_xll.ELPAR(Proc!$D$1,F5,1)</f>
        <v>RECALC_2_388_</v>
      </c>
    </row>
    <row r="6" spans="1:7">
      <c r="B6" t="s">
        <v>160</v>
      </c>
      <c r="C6" t="s">
        <v>170</v>
      </c>
      <c r="D6" s="4" t="str" cm="1">
        <f t="array" aca="1" ref="D6" ca="1">_xll.ELPAR(Proc!$D$1,B6,1)</f>
        <v>RECALC_0_344_</v>
      </c>
      <c r="E6" s="4" t="b">
        <f ca="1">LEFT(Table13[[#This Row],[TM1]],10)=Table13[[#This Row],[Requested]]</f>
        <v>0</v>
      </c>
      <c r="F6" s="5" t="str" cm="1">
        <f t="array" aca="1" ref="F6" ca="1">_xll.ELPAR(Proc!$D$1,D6,1)</f>
        <v>RECALC_1_368_</v>
      </c>
      <c r="G6" s="5" t="str" cm="1">
        <f t="array" aca="1" ref="G6" ca="1">_xll.ELPAR(Proc!$D$1,F6,1)</f>
        <v>RECALC_2_394_</v>
      </c>
    </row>
    <row r="7" spans="1:7">
      <c r="B7" t="s">
        <v>161</v>
      </c>
      <c r="C7" t="s">
        <v>170</v>
      </c>
      <c r="D7" s="4" t="str" cm="1">
        <f t="array" aca="1" ref="D7" ca="1">_xll.ELPAR(Proc!$D$1,B7,1)</f>
        <v>RECALC_0_346_</v>
      </c>
      <c r="E7" s="4" t="b">
        <f ca="1">LEFT(Table13[[#This Row],[TM1]],10)=Table13[[#This Row],[Requested]]</f>
        <v>0</v>
      </c>
      <c r="F7" s="5" t="str" cm="1">
        <f t="array" aca="1" ref="F7" ca="1">_xll.ELPAR(Proc!$D$1,D7,1)</f>
        <v>RECALC_1_369_</v>
      </c>
      <c r="G7" s="5" t="str" cm="1">
        <f t="array" aca="1" ref="G7" ca="1">_xll.ELPAR(Proc!$D$1,F7,1)</f>
        <v>RECALC_2_383_</v>
      </c>
    </row>
    <row r="8" spans="1:7">
      <c r="B8" t="s">
        <v>162</v>
      </c>
      <c r="C8" t="s">
        <v>170</v>
      </c>
      <c r="D8" s="4" t="str" cm="1">
        <f t="array" aca="1" ref="D8" ca="1">_xll.ELPAR(Proc!$D$1,B8,1)</f>
        <v>RECALC_0_358_</v>
      </c>
      <c r="E8" s="4" t="b">
        <f ca="1">LEFT(Table13[[#This Row],[TM1]],10)=Table13[[#This Row],[Requested]]</f>
        <v>0</v>
      </c>
      <c r="F8" s="5" t="str" cm="1">
        <f t="array" aca="1" ref="F8" ca="1">_xll.ELPAR(Proc!$D$1,D8,1)</f>
        <v>RECALC_1_364_</v>
      </c>
      <c r="G8" s="5" t="str" cm="1">
        <f t="array" aca="1" ref="G8" ca="1">_xll.ELPAR(Proc!$D$1,F8,1)</f>
        <v>RECALC_2_389_</v>
      </c>
    </row>
    <row r="9" spans="1:7">
      <c r="B9" t="s">
        <v>163</v>
      </c>
      <c r="C9" t="s">
        <v>170</v>
      </c>
      <c r="D9" s="4" t="str" cm="1">
        <f t="array" aca="1" ref="D9" ca="1">_xll.ELPAR(Proc!$D$1,B9,1)</f>
        <v>RECALC_0_355_</v>
      </c>
      <c r="E9" s="4" t="b">
        <f ca="1">LEFT(Table13[[#This Row],[TM1]],10)=Table13[[#This Row],[Requested]]</f>
        <v>0</v>
      </c>
      <c r="F9" s="5" t="str" cm="1">
        <f t="array" aca="1" ref="F9" ca="1">_xll.ELPAR(Proc!$D$1,D9,1)</f>
        <v>RECALC_1_360_</v>
      </c>
      <c r="G9" s="5" t="str" cm="1">
        <f t="array" aca="1" ref="G9" ca="1">_xll.ELPAR(Proc!$D$1,F9,1)</f>
        <v>RECALC_2_380_</v>
      </c>
    </row>
    <row r="10" spans="1:7">
      <c r="B10" t="s">
        <v>164</v>
      </c>
      <c r="C10" t="s">
        <v>170</v>
      </c>
      <c r="D10" s="4" t="str" cm="1">
        <f t="array" aca="1" ref="D10" ca="1">_xll.ELPAR(Proc!$D$1,B10,1)</f>
        <v>RECALC_0_353_</v>
      </c>
      <c r="E10" s="4" t="b">
        <f ca="1">LEFT(Table13[[#This Row],[TM1]],10)=Table13[[#This Row],[Requested]]</f>
        <v>0</v>
      </c>
      <c r="F10" s="5" t="str" cm="1">
        <f t="array" aca="1" ref="F10" ca="1">_xll.ELPAR(Proc!$D$1,D10,1)</f>
        <v>RECALC_1_375_</v>
      </c>
      <c r="G10" s="5" t="str" cm="1">
        <f t="array" aca="1" ref="G10" ca="1">_xll.ELPAR(Proc!$D$1,F10,1)</f>
        <v>RECALC_2_385_</v>
      </c>
    </row>
    <row r="11" spans="1:7">
      <c r="B11" t="s">
        <v>165</v>
      </c>
      <c r="C11" t="s">
        <v>170</v>
      </c>
      <c r="D11" s="4" t="str" cm="1">
        <f t="array" aca="1" ref="D11" ca="1">_xll.ELPAR(Proc!$D$1,B11,1)</f>
        <v>RECALC_0_356_</v>
      </c>
      <c r="E11" s="4" t="b">
        <f ca="1">LEFT(Table13[[#This Row],[TM1]],10)=Table13[[#This Row],[Requested]]</f>
        <v>0</v>
      </c>
      <c r="F11" s="5" t="str" cm="1">
        <f t="array" aca="1" ref="F11" ca="1">_xll.ELPAR(Proc!$D$1,D11,1)</f>
        <v>RECALC_1_374_</v>
      </c>
      <c r="G11" s="5" t="str" cm="1">
        <f t="array" aca="1" ref="G11" ca="1">_xll.ELPAR(Proc!$D$1,F11,1)</f>
        <v>RECALC_2_393_</v>
      </c>
    </row>
    <row r="12" spans="1:7">
      <c r="B12" t="s">
        <v>166</v>
      </c>
      <c r="C12" t="s">
        <v>171</v>
      </c>
      <c r="D12" s="4" t="str" cm="1">
        <f t="array" aca="1" ref="D12" ca="1">_xll.ELPAR(Proc!$D$1,B12,1)</f>
        <v>RECALC_0_342_</v>
      </c>
      <c r="E12" s="4" t="b">
        <f ca="1">LEFT(Table13[[#This Row],[TM1]],10)=Table13[[#This Row],[Requested]]</f>
        <v>0</v>
      </c>
      <c r="F12" s="5" t="str" cm="1">
        <f t="array" aca="1" ref="F12" ca="1">_xll.ELPAR(Proc!$D$1,D12,1)</f>
        <v>RECALC_1_366_</v>
      </c>
      <c r="G12" s="5" t="str" cm="1">
        <f t="array" aca="1" ref="G12" ca="1">_xll.ELPAR(Proc!$D$1,F12,1)</f>
        <v>RECALC_2_384_</v>
      </c>
    </row>
    <row r="13" spans="1:7">
      <c r="B13" t="s">
        <v>167</v>
      </c>
      <c r="C13" t="s">
        <v>171</v>
      </c>
      <c r="D13" s="4" t="str" cm="1">
        <f t="array" aca="1" ref="D13" ca="1">_xll.ELPAR(Proc!$D$1,B13,1)</f>
        <v>RECALC_0_351_</v>
      </c>
      <c r="E13" s="4" t="b">
        <f ca="1">LEFT(Table13[[#This Row],[TM1]],10)=Table13[[#This Row],[Requested]]</f>
        <v>0</v>
      </c>
      <c r="F13" s="5" t="str" cm="1">
        <f t="array" aca="1" ref="F13" ca="1">_xll.ELPAR(Proc!$D$1,D13,1)</f>
        <v>RECALC_1_367_</v>
      </c>
      <c r="G13" s="5" t="str" cm="1">
        <f t="array" aca="1" ref="G13" ca="1">_xll.ELPAR(Proc!$D$1,F13,1)</f>
        <v>RECALC_2_386_</v>
      </c>
    </row>
    <row r="14" spans="1:7">
      <c r="B14" t="s">
        <v>168</v>
      </c>
      <c r="C14" t="s">
        <v>171</v>
      </c>
      <c r="D14" s="4" t="str" cm="1">
        <f t="array" aca="1" ref="D14" ca="1">_xll.ELPAR(Proc!$D$1,B14,1)</f>
        <v>RECALC_0_352_</v>
      </c>
      <c r="E14" s="4" t="b">
        <f ca="1">LEFT(Table13[[#This Row],[TM1]],10)=Table13[[#This Row],[Requested]]</f>
        <v>0</v>
      </c>
      <c r="F14" s="5" t="str" cm="1">
        <f t="array" aca="1" ref="F14" ca="1">_xll.ELPAR(Proc!$D$1,D14,1)</f>
        <v>RECALC_1_363_</v>
      </c>
      <c r="G14" s="5" t="str" cm="1">
        <f t="array" aca="1" ref="G14" ca="1">_xll.ELPAR(Proc!$D$1,F14,1)</f>
        <v>RECALC_2_378_</v>
      </c>
    </row>
    <row r="15" spans="1:7">
      <c r="B15" t="s">
        <v>169</v>
      </c>
      <c r="C15" t="s">
        <v>171</v>
      </c>
      <c r="D15" s="4" t="str" cm="1">
        <f t="array" aca="1" ref="D15" ca="1">_xll.ELPAR(Proc!$D$1,B15,1)</f>
        <v>RECALC_0_347_</v>
      </c>
      <c r="E15" s="4" t="b">
        <f ca="1">LEFT(Table13[[#This Row],[TM1]],10)=Table13[[#This Row],[Requested]]</f>
        <v>0</v>
      </c>
      <c r="F15" s="5" t="str" cm="1">
        <f t="array" aca="1" ref="F15" ca="1">_xll.ELPAR(Proc!$D$1,D15,1)</f>
        <v>RECALC_1_361_</v>
      </c>
      <c r="G15" s="5" t="str" cm="1">
        <f t="array" aca="1" ref="G15" ca="1">_xll.ELPAR(Proc!$D$1,F15,1)</f>
        <v>RECALC_2_392_</v>
      </c>
    </row>
    <row r="16" spans="1:7">
      <c r="B16" t="s">
        <v>192</v>
      </c>
      <c r="D16" s="4" t="str" cm="1">
        <f t="array" aca="1" ref="D16" ca="1">_xll.ELPAR(Proc!$D$1,B16,1)</f>
        <v>RECALC_0_345_</v>
      </c>
      <c r="E16" s="4" t="b">
        <f ca="1">LEFT(Table13[[#This Row],[TM1]],10)=Table13[[#This Row],[Requested]]</f>
        <v>0</v>
      </c>
      <c r="F16" s="5" t="str" cm="1">
        <f t="array" aca="1" ref="F16" ca="1">_xll.ELPAR(Proc!$D$1,D16,1)</f>
        <v>RECALC_1_370_</v>
      </c>
      <c r="G16" s="5" t="str" cm="1">
        <f t="array" aca="1" ref="G16" ca="1">_xll.ELPAR(Proc!$D$1,F16,1)</f>
        <v>RECALC_2_395_</v>
      </c>
    </row>
    <row r="17" spans="2:7">
      <c r="B17" t="s">
        <v>193</v>
      </c>
      <c r="D17" s="4" t="str" cm="1">
        <f t="array" aca="1" ref="D17" ca="1">_xll.ELPAR(Proc!$D$1,B17,1)</f>
        <v>RECALC_0_359_</v>
      </c>
      <c r="E17" s="4" t="b">
        <f ca="1">LEFT(Table13[[#This Row],[TM1]],10)=Table13[[#This Row],[Requested]]</f>
        <v>0</v>
      </c>
      <c r="F17" s="5" t="str" cm="1">
        <f t="array" aca="1" ref="F17" ca="1">_xll.ELPAR(Proc!$D$1,D17,1)</f>
        <v>RECALC_1_365_</v>
      </c>
      <c r="G17" s="5" t="str" cm="1">
        <f t="array" aca="1" ref="G17" ca="1">_xll.ELPAR(Proc!$D$1,F17,1)</f>
        <v>RECALC_2_391_</v>
      </c>
    </row>
    <row r="18" spans="2:7">
      <c r="B18" t="s">
        <v>194</v>
      </c>
      <c r="D18" s="4" t="str" cm="1">
        <f t="array" aca="1" ref="D18" ca="1">_xll.ELPAR(Proc!$D$1,B18,1)</f>
        <v>RECALC_0_343_</v>
      </c>
      <c r="E18" s="4" t="b">
        <f ca="1">LEFT(Table13[[#This Row],[TM1]],10)=Table13[[#This Row],[Requested]]</f>
        <v>0</v>
      </c>
      <c r="F18" s="5" t="str" cm="1">
        <f t="array" aca="1" ref="F18" ca="1">_xll.ELPAR(Proc!$D$1,D18,1)</f>
        <v>RECALC_1_371_</v>
      </c>
      <c r="G18" s="5" t="str" cm="1">
        <f t="array" aca="1" ref="G18" ca="1">_xll.ELPAR(Proc!$D$1,F18,1)</f>
        <v>RECALC_2_382_</v>
      </c>
    </row>
    <row r="19" spans="2:7">
      <c r="B19" t="s">
        <v>195</v>
      </c>
      <c r="D19" s="4" t="str" cm="1">
        <f t="array" aca="1" ref="D19" ca="1">_xll.ELPAR(Proc!$D$1,B19,1)</f>
        <v>RECALC_0_348_</v>
      </c>
      <c r="E19" s="4" t="b">
        <f ca="1">LEFT(Table13[[#This Row],[TM1]],10)=Table13[[#This Row],[Requested]]</f>
        <v>0</v>
      </c>
      <c r="F19" s="5" t="str" cm="1">
        <f t="array" aca="1" ref="F19" ca="1">_xll.ELPAR(Proc!$D$1,D19,1)</f>
        <v>RECALC_1_377_</v>
      </c>
      <c r="G19" s="5" t="str" cm="1">
        <f t="array" aca="1" ref="G19" ca="1">_xll.ELPAR(Proc!$D$1,F19,1)</f>
        <v>RECALC_2_381_</v>
      </c>
    </row>
  </sheetData>
  <phoneticPr fontId="10" type="noConversion"/>
  <conditionalFormatting sqref="E1:E1048576">
    <cfRule type="containsText" dxfId="21" priority="3" operator="containsText" text="TRUE">
      <formula>NOT(ISERROR(SEARCH("TRUE",E1)))</formula>
    </cfRule>
    <cfRule type="containsText" dxfId="20" priority="4" operator="containsText" text="FALSE">
      <formula>NOT(ISERROR(SEARCH("FALSE",E1)))</formula>
    </cfRule>
  </conditionalFormatting>
  <conditionalFormatting sqref="B1:B1048576">
    <cfRule type="duplicateValues" dxfId="19" priority="2"/>
  </conditionalFormatting>
  <pageMargins left="0.7" right="0.7" top="0.75" bottom="0.75" header="0.3" footer="0.3"/>
  <pageSetup orientation="portrait" r:id="rId1"/>
  <customProperties>
    <customPr name="_pios_id" r:id="rId2"/>
  </customProperties>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93DCD-FAE0-4531-B15D-E750B33AEDBB}">
  <sheetPr codeName="Sheet5"/>
  <dimension ref="A1"/>
  <sheetViews>
    <sheetView showGridLines="0" topLeftCell="A4" zoomScaleNormal="100" workbookViewId="0">
      <selection activeCell="G4" sqref="G4"/>
    </sheetView>
  </sheetViews>
  <sheetFormatPr defaultRowHeight="15"/>
  <sheetData/>
  <pageMargins left="0.7" right="0.7" top="0.75" bottom="0.75" header="0.3" footer="0.3"/>
  <customProperties>
    <customPr name="_pios_id" r:id="rId1"/>
  </customPropertie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0C437A-1772-479A-956A-9A0C1E898C94}">
  <sheetPr codeName="Sheet3"/>
  <dimension ref="B2:H72"/>
  <sheetViews>
    <sheetView zoomScale="70" zoomScaleNormal="70" workbookViewId="0">
      <selection activeCell="G4" sqref="G4"/>
    </sheetView>
  </sheetViews>
  <sheetFormatPr defaultRowHeight="15"/>
  <cols>
    <col min="2" max="2" width="28.7109375" bestFit="1" customWidth="1"/>
    <col min="3" max="3" width="21.42578125" bestFit="1" customWidth="1"/>
    <col min="4" max="4" width="28.28515625" bestFit="1" customWidth="1"/>
    <col min="5" max="5" width="33" bestFit="1" customWidth="1"/>
    <col min="6" max="6" width="32.42578125" bestFit="1" customWidth="1"/>
    <col min="7" max="7" width="22.5703125" bestFit="1" customWidth="1"/>
    <col min="8" max="8" width="11.7109375" bestFit="1" customWidth="1"/>
    <col min="9" max="9" width="9.5703125" bestFit="1" customWidth="1"/>
    <col min="10" max="10" width="39.5703125" bestFit="1" customWidth="1"/>
  </cols>
  <sheetData>
    <row r="2" spans="2:8">
      <c r="B2" s="1" t="s">
        <v>17</v>
      </c>
      <c r="C2" t="s">
        <v>49</v>
      </c>
      <c r="D2" s="17"/>
      <c r="E2" s="17"/>
      <c r="F2" s="17"/>
    </row>
    <row r="3" spans="2:8">
      <c r="B3" s="17"/>
      <c r="C3" s="17"/>
      <c r="D3" s="17"/>
      <c r="E3" s="17"/>
      <c r="F3" s="17"/>
    </row>
    <row r="4" spans="2:8">
      <c r="B4" s="1" t="s">
        <v>50</v>
      </c>
      <c r="C4" s="1" t="s">
        <v>51</v>
      </c>
      <c r="G4" t="s">
        <v>135</v>
      </c>
      <c r="H4" t="str">
        <f>CONCATENATE($G$4,F4)</f>
        <v>P</v>
      </c>
    </row>
    <row r="5" spans="2:8">
      <c r="B5" s="1" t="s">
        <v>4</v>
      </c>
      <c r="C5" t="s">
        <v>41</v>
      </c>
      <c r="D5" t="s">
        <v>47</v>
      </c>
      <c r="E5" t="s">
        <v>34</v>
      </c>
      <c r="F5" t="s">
        <v>33</v>
      </c>
      <c r="H5" t="str">
        <f t="shared" ref="H5:H68" si="0">CONCATENATE($G$4,F5)</f>
        <v>PWaiting for MDGF approval</v>
      </c>
    </row>
    <row r="6" spans="2:8">
      <c r="B6" s="2" t="s">
        <v>172</v>
      </c>
      <c r="C6" s="5"/>
      <c r="D6" s="5">
        <v>11</v>
      </c>
      <c r="E6" s="5">
        <v>11</v>
      </c>
      <c r="F6" s="5"/>
      <c r="H6" t="str">
        <f t="shared" si="0"/>
        <v>P</v>
      </c>
    </row>
    <row r="7" spans="2:8">
      <c r="B7" s="2" t="s">
        <v>180</v>
      </c>
      <c r="C7" s="5"/>
      <c r="D7" s="5"/>
      <c r="E7" s="5"/>
      <c r="F7" s="5">
        <v>9</v>
      </c>
      <c r="H7" t="str">
        <f t="shared" si="0"/>
        <v>P9</v>
      </c>
    </row>
    <row r="8" spans="2:8">
      <c r="B8" s="2" t="s">
        <v>198</v>
      </c>
      <c r="C8" s="5"/>
      <c r="D8" s="5"/>
      <c r="E8" s="5"/>
      <c r="F8" s="5">
        <v>4</v>
      </c>
      <c r="H8" t="str">
        <f t="shared" si="0"/>
        <v>P4</v>
      </c>
    </row>
    <row r="9" spans="2:8">
      <c r="B9" s="2" t="s">
        <v>205</v>
      </c>
      <c r="C9" s="5"/>
      <c r="D9" s="5"/>
      <c r="E9" s="5">
        <v>2</v>
      </c>
      <c r="F9" s="5"/>
      <c r="H9" t="str">
        <f t="shared" si="0"/>
        <v>P</v>
      </c>
    </row>
    <row r="10" spans="2:8">
      <c r="B10" s="2" t="s">
        <v>210</v>
      </c>
      <c r="C10" s="5"/>
      <c r="D10" s="5"/>
      <c r="E10" s="5">
        <v>2</v>
      </c>
      <c r="F10" s="5"/>
      <c r="H10" t="str">
        <f t="shared" si="0"/>
        <v>P</v>
      </c>
    </row>
    <row r="11" spans="2:8">
      <c r="B11" s="2" t="s">
        <v>214</v>
      </c>
      <c r="C11" s="5"/>
      <c r="D11" s="5"/>
      <c r="E11" s="5"/>
      <c r="F11" s="5">
        <v>2</v>
      </c>
      <c r="H11" t="str">
        <f t="shared" si="0"/>
        <v>P2</v>
      </c>
    </row>
    <row r="12" spans="2:8">
      <c r="B12" s="2" t="s">
        <v>915</v>
      </c>
      <c r="C12" s="5"/>
      <c r="D12" s="5"/>
      <c r="E12" s="5">
        <v>2</v>
      </c>
      <c r="F12" s="5">
        <v>2</v>
      </c>
      <c r="H12" t="str">
        <f t="shared" si="0"/>
        <v>P2</v>
      </c>
    </row>
    <row r="13" spans="2:8">
      <c r="B13" s="2" t="s">
        <v>933</v>
      </c>
      <c r="C13" s="5">
        <v>2</v>
      </c>
      <c r="D13" s="5"/>
      <c r="E13" s="5">
        <v>2</v>
      </c>
      <c r="F13" s="5">
        <v>2</v>
      </c>
      <c r="H13" t="str">
        <f t="shared" si="0"/>
        <v>P2</v>
      </c>
    </row>
    <row r="14" spans="2:8">
      <c r="F14" t="s">
        <v>76</v>
      </c>
      <c r="H14" t="str">
        <f t="shared" si="0"/>
        <v>PLEAN_T000029CH6501000</v>
      </c>
    </row>
    <row r="15" spans="2:8">
      <c r="F15" t="s">
        <v>77</v>
      </c>
      <c r="H15" t="str">
        <f t="shared" si="0"/>
        <v>PLEAN_T000011DE5001000</v>
      </c>
    </row>
    <row r="16" spans="2:8">
      <c r="F16" t="s">
        <v>78</v>
      </c>
      <c r="H16" t="str">
        <f t="shared" si="0"/>
        <v>PLEAN_T000013DE5001000</v>
      </c>
    </row>
    <row r="17" spans="6:8">
      <c r="F17" t="s">
        <v>79</v>
      </c>
      <c r="H17" t="str">
        <f t="shared" si="0"/>
        <v>PLEAN_T000014DE5001000</v>
      </c>
    </row>
    <row r="18" spans="6:8">
      <c r="F18" t="s">
        <v>80</v>
      </c>
      <c r="H18" t="str">
        <f t="shared" si="0"/>
        <v>PLEAN_T000015DE5001000</v>
      </c>
    </row>
    <row r="19" spans="6:8">
      <c r="F19" t="s">
        <v>81</v>
      </c>
      <c r="H19" t="str">
        <f t="shared" si="0"/>
        <v>PLEAN_T000017DE5001000</v>
      </c>
    </row>
    <row r="20" spans="6:8">
      <c r="F20" t="s">
        <v>82</v>
      </c>
      <c r="H20" t="str">
        <f t="shared" si="0"/>
        <v>PLEAN_T000023IT5001000</v>
      </c>
    </row>
    <row r="21" spans="6:8">
      <c r="F21" t="s">
        <v>83</v>
      </c>
      <c r="H21" t="str">
        <f t="shared" si="0"/>
        <v>PLEAN_T000023IT5002000</v>
      </c>
    </row>
    <row r="22" spans="6:8">
      <c r="F22" t="s">
        <v>84</v>
      </c>
      <c r="H22" t="str">
        <f t="shared" si="0"/>
        <v>PLEAN_T000023IT5003000</v>
      </c>
    </row>
    <row r="23" spans="6:8">
      <c r="F23" t="s">
        <v>85</v>
      </c>
      <c r="H23" t="str">
        <f t="shared" si="0"/>
        <v>PLEAN_T000024IT5001000</v>
      </c>
    </row>
    <row r="24" spans="6:8">
      <c r="F24" t="s">
        <v>86</v>
      </c>
      <c r="H24" t="str">
        <f t="shared" si="0"/>
        <v>PLEAN_T000024IT5002000</v>
      </c>
    </row>
    <row r="25" spans="6:8">
      <c r="F25" t="s">
        <v>87</v>
      </c>
      <c r="H25" t="str">
        <f t="shared" si="0"/>
        <v>PLEAN_T000024IT5003000</v>
      </c>
    </row>
    <row r="26" spans="6:8">
      <c r="F26" t="s">
        <v>88</v>
      </c>
      <c r="H26" t="str">
        <f t="shared" si="0"/>
        <v>PLEAN_T000024IT5004000</v>
      </c>
    </row>
    <row r="27" spans="6:8">
      <c r="F27" t="s">
        <v>89</v>
      </c>
      <c r="H27" t="str">
        <f t="shared" si="0"/>
        <v>PLEAN_T000025IT5001000</v>
      </c>
    </row>
    <row r="28" spans="6:8">
      <c r="F28" t="s">
        <v>90</v>
      </c>
      <c r="H28" t="str">
        <f t="shared" si="0"/>
        <v>PLEAN_T000025IT5002000</v>
      </c>
    </row>
    <row r="29" spans="6:8">
      <c r="F29" t="s">
        <v>91</v>
      </c>
      <c r="H29" t="str">
        <f t="shared" si="0"/>
        <v>PLEAN_T000025IT5003000</v>
      </c>
    </row>
    <row r="30" spans="6:8">
      <c r="F30" t="s">
        <v>92</v>
      </c>
      <c r="H30" t="str">
        <f t="shared" si="0"/>
        <v>PLEAN_T000025IT5004000</v>
      </c>
    </row>
    <row r="31" spans="6:8">
      <c r="F31" t="s">
        <v>93</v>
      </c>
      <c r="H31" t="str">
        <f t="shared" si="0"/>
        <v>PLEAN_T000025IT5005000</v>
      </c>
    </row>
    <row r="32" spans="6:8">
      <c r="F32" t="s">
        <v>94</v>
      </c>
      <c r="H32" t="str">
        <f t="shared" si="0"/>
        <v>PLEAN_T000025IT5006000</v>
      </c>
    </row>
    <row r="33" spans="6:8">
      <c r="F33" t="s">
        <v>95</v>
      </c>
      <c r="H33" t="str">
        <f t="shared" si="0"/>
        <v>PLEAN_T000026IT5001000</v>
      </c>
    </row>
    <row r="34" spans="6:8">
      <c r="F34" t="s">
        <v>96</v>
      </c>
      <c r="H34" t="str">
        <f t="shared" si="0"/>
        <v>PLEAN_T000026IT5002000</v>
      </c>
    </row>
    <row r="35" spans="6:8">
      <c r="F35" t="s">
        <v>97</v>
      </c>
      <c r="H35" t="str">
        <f t="shared" si="0"/>
        <v>PLEAN_T000026IT5004000</v>
      </c>
    </row>
    <row r="36" spans="6:8">
      <c r="F36" t="s">
        <v>98</v>
      </c>
      <c r="H36" t="str">
        <f t="shared" si="0"/>
        <v>PLEAN_T000027IT5001000</v>
      </c>
    </row>
    <row r="37" spans="6:8">
      <c r="F37" t="s">
        <v>99</v>
      </c>
      <c r="H37" t="str">
        <f t="shared" si="0"/>
        <v>PLEAN_T000027IT5002000</v>
      </c>
    </row>
    <row r="38" spans="6:8">
      <c r="F38" t="s">
        <v>100</v>
      </c>
      <c r="H38" t="str">
        <f t="shared" si="0"/>
        <v>PLEAN_T000027IT5003000</v>
      </c>
    </row>
    <row r="39" spans="6:8">
      <c r="F39" t="s">
        <v>101</v>
      </c>
      <c r="H39" t="str">
        <f t="shared" si="0"/>
        <v>PLEAN_T000027IT5004000</v>
      </c>
    </row>
    <row r="40" spans="6:8">
      <c r="F40" t="s">
        <v>102</v>
      </c>
      <c r="H40" t="str">
        <f t="shared" si="0"/>
        <v>PLEAN_T000028IT5001000</v>
      </c>
    </row>
    <row r="41" spans="6:8">
      <c r="F41" t="s">
        <v>103</v>
      </c>
      <c r="H41" t="str">
        <f t="shared" si="0"/>
        <v>PLEAN_T000028IT5002000</v>
      </c>
    </row>
    <row r="42" spans="6:8">
      <c r="F42" t="s">
        <v>104</v>
      </c>
      <c r="H42" t="str">
        <f t="shared" si="0"/>
        <v>PLEAN_T000028IT5003000</v>
      </c>
    </row>
    <row r="43" spans="6:8">
      <c r="F43" t="s">
        <v>105</v>
      </c>
      <c r="H43" t="str">
        <f t="shared" si="0"/>
        <v>PLEAN_T000028IT5004000</v>
      </c>
    </row>
    <row r="44" spans="6:8">
      <c r="F44" t="s">
        <v>106</v>
      </c>
      <c r="H44" t="str">
        <f t="shared" si="0"/>
        <v>PLEAN_T000028IT5005000</v>
      </c>
    </row>
    <row r="45" spans="6:8">
      <c r="F45" t="s">
        <v>107</v>
      </c>
      <c r="H45" t="str">
        <f t="shared" si="0"/>
        <v>PLEAN_T000028IT5006000</v>
      </c>
    </row>
    <row r="46" spans="6:8">
      <c r="F46" t="s">
        <v>108</v>
      </c>
      <c r="H46" t="str">
        <f t="shared" si="0"/>
        <v>PLEAN_T000028IT5007000</v>
      </c>
    </row>
    <row r="47" spans="6:8">
      <c r="F47" t="s">
        <v>109</v>
      </c>
      <c r="H47" t="str">
        <f t="shared" si="0"/>
        <v>PLEAN_T000028IT5008000</v>
      </c>
    </row>
    <row r="48" spans="6:8">
      <c r="F48" t="s">
        <v>110</v>
      </c>
      <c r="H48" t="str">
        <f t="shared" si="0"/>
        <v>PLEAN_T000028IT5009000</v>
      </c>
    </row>
    <row r="49" spans="6:8">
      <c r="F49" t="s">
        <v>111</v>
      </c>
      <c r="H49" t="str">
        <f t="shared" si="0"/>
        <v>PLEAN_T000028IT5010000</v>
      </c>
    </row>
    <row r="50" spans="6:8">
      <c r="F50" t="s">
        <v>112</v>
      </c>
      <c r="H50" t="str">
        <f t="shared" si="0"/>
        <v>PLEAN_T000029IT5001000</v>
      </c>
    </row>
    <row r="51" spans="6:8">
      <c r="F51" t="s">
        <v>113</v>
      </c>
      <c r="H51" t="str">
        <f t="shared" si="0"/>
        <v>PLEAN_T000025CH5002000</v>
      </c>
    </row>
    <row r="52" spans="6:8">
      <c r="F52" t="s">
        <v>114</v>
      </c>
      <c r="H52" t="str">
        <f t="shared" si="0"/>
        <v>PLEAN_T000025CH5003000</v>
      </c>
    </row>
    <row r="53" spans="6:8">
      <c r="F53" t="s">
        <v>115</v>
      </c>
      <c r="H53" t="str">
        <f t="shared" si="0"/>
        <v>PLEAN_T000025CH5004000</v>
      </c>
    </row>
    <row r="54" spans="6:8">
      <c r="F54" t="s">
        <v>116</v>
      </c>
      <c r="H54" t="str">
        <f t="shared" si="0"/>
        <v>PLEAN_T000025CH5005000</v>
      </c>
    </row>
    <row r="55" spans="6:8">
      <c r="F55" t="s">
        <v>117</v>
      </c>
      <c r="H55" t="str">
        <f t="shared" si="0"/>
        <v>PLEAN_T000026CH5001000</v>
      </c>
    </row>
    <row r="56" spans="6:8">
      <c r="F56" t="s">
        <v>118</v>
      </c>
      <c r="H56" t="str">
        <f t="shared" si="0"/>
        <v>PLEAN_T000026CH5002000</v>
      </c>
    </row>
    <row r="57" spans="6:8">
      <c r="F57" t="s">
        <v>119</v>
      </c>
      <c r="H57" t="str">
        <f t="shared" si="0"/>
        <v>PLEAN_T000028CH5001000</v>
      </c>
    </row>
    <row r="58" spans="6:8">
      <c r="F58" t="s">
        <v>120</v>
      </c>
      <c r="H58" t="str">
        <f t="shared" si="0"/>
        <v>PLEAN_T000029CH5001000</v>
      </c>
    </row>
    <row r="59" spans="6:8">
      <c r="F59" t="s">
        <v>121</v>
      </c>
      <c r="H59" t="str">
        <f t="shared" si="0"/>
        <v>PLEAN_T000023CH6512123</v>
      </c>
    </row>
    <row r="60" spans="6:8">
      <c r="F60" t="s">
        <v>122</v>
      </c>
      <c r="H60" t="str">
        <f t="shared" si="0"/>
        <v>PLEAN_T000023CH6512123001</v>
      </c>
    </row>
    <row r="61" spans="6:8">
      <c r="F61" t="s">
        <v>123</v>
      </c>
      <c r="H61" t="str">
        <f t="shared" si="0"/>
        <v>PLEAN_T000024CH6501000</v>
      </c>
    </row>
    <row r="62" spans="6:8">
      <c r="F62" t="s">
        <v>124</v>
      </c>
      <c r="H62" t="str">
        <f t="shared" si="0"/>
        <v>PLEAN_T000028CH6507000</v>
      </c>
    </row>
    <row r="63" spans="6:8">
      <c r="F63" t="s">
        <v>125</v>
      </c>
      <c r="H63" t="str">
        <f t="shared" si="0"/>
        <v>PLEAN_T000028CH6508000</v>
      </c>
    </row>
    <row r="64" spans="6:8">
      <c r="F64" t="s">
        <v>126</v>
      </c>
      <c r="H64" t="str">
        <f t="shared" si="0"/>
        <v>PLEAN_T000028CH6509000</v>
      </c>
    </row>
    <row r="65" spans="6:8">
      <c r="F65" t="s">
        <v>127</v>
      </c>
      <c r="H65" t="str">
        <f t="shared" si="0"/>
        <v>PLEAN_T000028CH6510000</v>
      </c>
    </row>
    <row r="66" spans="6:8">
      <c r="F66" t="s">
        <v>128</v>
      </c>
      <c r="H66" t="str">
        <f t="shared" si="0"/>
        <v>PLEAN_T000030CH6501000</v>
      </c>
    </row>
    <row r="67" spans="6:8">
      <c r="F67" t="s">
        <v>129</v>
      </c>
      <c r="H67" t="str">
        <f t="shared" si="0"/>
        <v>PLEAN_T000037CH6501000</v>
      </c>
    </row>
    <row r="68" spans="6:8">
      <c r="F68" t="s">
        <v>130</v>
      </c>
      <c r="H68" t="str">
        <f t="shared" si="0"/>
        <v>PLEAN_T000010DE5001000</v>
      </c>
    </row>
    <row r="69" spans="6:8">
      <c r="F69" t="s">
        <v>131</v>
      </c>
      <c r="H69" t="str">
        <f>CONCATENATE($G$4,F69)</f>
        <v>PLEAN_T000020DE5001000</v>
      </c>
    </row>
    <row r="70" spans="6:8">
      <c r="F70" t="s">
        <v>132</v>
      </c>
      <c r="H70" t="str">
        <f>CONCATENATE($G$4,F70)</f>
        <v>PLEAN_T000022DE5001000</v>
      </c>
    </row>
    <row r="71" spans="6:8">
      <c r="F71" t="s">
        <v>133</v>
      </c>
      <c r="H71" t="str">
        <f>CONCATENATE($G$4,F71)</f>
        <v>PLEAN_T000030DE5001000</v>
      </c>
    </row>
    <row r="72" spans="6:8">
      <c r="F72" t="s">
        <v>134</v>
      </c>
      <c r="H72" t="str">
        <f>CONCATENATE($G$4,F72)</f>
        <v>PLEAN_T000026IT5003000</v>
      </c>
    </row>
  </sheetData>
  <phoneticPr fontId="10" type="noConversion"/>
  <pageMargins left="0.7" right="0.7" top="0.75" bottom="0.75" header="0.3" footer="0.3"/>
  <pageSetup orientation="portrait" r:id="rId2"/>
  <customProperties>
    <customPr name="_pios_id" r:id="rId3"/>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BEBB2-DA37-45C2-9B8C-8EB5AAF68F07}">
  <sheetPr codeName="Sheet8"/>
  <dimension ref="A1:K11"/>
  <sheetViews>
    <sheetView showGridLines="0" workbookViewId="0">
      <selection activeCell="B4" sqref="B4:B11"/>
    </sheetView>
  </sheetViews>
  <sheetFormatPr defaultRowHeight="15"/>
  <cols>
    <col min="1" max="1" width="14.5703125" bestFit="1" customWidth="1"/>
    <col min="2" max="2" width="26.140625" bestFit="1" customWidth="1"/>
    <col min="3" max="3" width="11.28515625" bestFit="1" customWidth="1"/>
  </cols>
  <sheetData>
    <row r="1" spans="1:11">
      <c r="A1" t="s">
        <v>136</v>
      </c>
      <c r="B1">
        <v>1000</v>
      </c>
      <c r="C1" t="s">
        <v>69</v>
      </c>
    </row>
    <row r="3" spans="1:11">
      <c r="A3" s="22" t="s">
        <v>3</v>
      </c>
      <c r="B3" s="22" t="s">
        <v>67</v>
      </c>
      <c r="C3" s="22" t="s">
        <v>0</v>
      </c>
      <c r="D3" s="22"/>
      <c r="J3" s="17"/>
      <c r="K3" s="17"/>
    </row>
    <row r="4" spans="1:11">
      <c r="A4" t="s">
        <v>148</v>
      </c>
      <c r="B4" t="str">
        <f t="shared" ref="B4:B7" si="0">CONCATENATE($A$1,A4)</f>
        <v>CLFF_1000$$$DE20538353</v>
      </c>
      <c r="C4" t="str">
        <f>LEFT(_xll.DBRA("rc-2025:mCostObject_2025",_xll.ELPAR("rc-2025:mCostObject_2025",B4,1),"Key&amp;English"),10)</f>
        <v>G000000527</v>
      </c>
    </row>
    <row r="5" spans="1:11">
      <c r="A5" t="s">
        <v>149</v>
      </c>
      <c r="B5" t="str">
        <f t="shared" si="0"/>
        <v>CLFF_1000$$$DE10538353</v>
      </c>
      <c r="C5" t="str">
        <f>LEFT(_xll.DBRA("rc-2025:mCostObject_2025",_xll.ELPAR("rc-2025:mCostObject_2025",B5,1),"Key&amp;English"),10)</f>
        <v>G000001079</v>
      </c>
    </row>
    <row r="6" spans="1:11">
      <c r="A6" t="s">
        <v>150</v>
      </c>
      <c r="B6" t="str">
        <f t="shared" si="0"/>
        <v>CLFF_1000$$$DE10538602</v>
      </c>
      <c r="C6" t="str">
        <f>LEFT(_xll.DBRA("rc-2025:mCostObject_2025",_xll.ELPAR("rc-2025:mCostObject_2025",B6,1),"Key&amp;English"),10)</f>
        <v>G000001018</v>
      </c>
    </row>
    <row r="7" spans="1:11">
      <c r="A7" t="s">
        <v>151</v>
      </c>
      <c r="B7" t="str">
        <f t="shared" si="0"/>
        <v>CLFF_1000$$$DE10538603</v>
      </c>
      <c r="C7" t="str">
        <f>LEFT(_xll.DBRA("rc-2025:mCostObject_2025",_xll.ELPAR("rc-2025:mCostObject_2025",B7,1),"Key&amp;English"),10)</f>
        <v>G000001018</v>
      </c>
    </row>
    <row r="8" spans="1:11">
      <c r="A8" t="s">
        <v>152</v>
      </c>
      <c r="B8" t="str">
        <f t="shared" ref="B8:B11" si="1">CONCATENATE($A$1,A8)</f>
        <v>CLFF_1000$$$DE10538604</v>
      </c>
      <c r="C8" t="str">
        <f>LEFT(_xll.DBRA("rc-2025:mCostObject_2025",_xll.ELPAR("rc-2025:mCostObject_2025",B8,1),"Key&amp;English"),10)</f>
        <v>G000001018</v>
      </c>
    </row>
    <row r="9" spans="1:11">
      <c r="A9" t="s">
        <v>153</v>
      </c>
      <c r="B9" t="str">
        <f t="shared" si="1"/>
        <v>CLFF_1000$$$DE20538602</v>
      </c>
      <c r="C9" t="str">
        <f>LEFT(_xll.DBRA("rc-2025:mCostObject_2025",_xll.ELPAR("rc-2025:mCostObject_2025",B9,1),"Key&amp;English"),10)</f>
        <v>G000000944</v>
      </c>
    </row>
    <row r="10" spans="1:11">
      <c r="A10" t="s">
        <v>154</v>
      </c>
      <c r="B10" t="str">
        <f t="shared" si="1"/>
        <v>CLFF_1000$$$DE20538603</v>
      </c>
      <c r="C10" t="str">
        <f>LEFT(_xll.DBRA("rc-2025:mCostObject_2025",_xll.ELPAR("rc-2025:mCostObject_2025",B10,1),"Key&amp;English"),10)</f>
        <v>G000000944</v>
      </c>
    </row>
    <row r="11" spans="1:11">
      <c r="A11" t="s">
        <v>155</v>
      </c>
      <c r="B11" t="str">
        <f t="shared" si="1"/>
        <v>CLFF_1000$$$DE20538604</v>
      </c>
      <c r="C11" t="str">
        <f>LEFT(_xll.DBRA("rc-2025:mCostObject_2025",_xll.ELPAR("rc-2025:mCostObject_2025",B11,1),"Key&amp;English"),10)</f>
        <v>G000000944</v>
      </c>
    </row>
  </sheetData>
  <pageMargins left="0.7" right="0.7" top="0.75" bottom="0.75" header="0.3" footer="0.3"/>
  <customProperties>
    <customPr name="_pios_id" r:id="rId1"/>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pplication xmlns="http://www.sap.com/cof/excel/application">
  <Version>2</Version>
  <Revision>2.6.200.79950</Revision>
</Application>
</file>

<file path=customXml/itemProps1.xml><?xml version="1.0" encoding="utf-8"?>
<ds:datastoreItem xmlns:ds="http://schemas.openxmlformats.org/officeDocument/2006/customXml" ds:itemID="{113FD360-6BA8-4171-9EE9-B809CF0A0CA9}">
  <ds:schemaRefs>
    <ds:schemaRef ds:uri="http://schemas.microsoft.com/DataMashup"/>
  </ds:schemaRefs>
</ds:datastoreItem>
</file>

<file path=customXml/itemProps2.xml><?xml version="1.0" encoding="utf-8"?>
<ds:datastoreItem xmlns:ds="http://schemas.openxmlformats.org/officeDocument/2006/customXml" ds:itemID="{4FE9A6B0-CD0D-4FCD-A8C6-820D89F89703}">
  <ds:schemaRefs>
    <ds:schemaRef ds:uri="http://www.sap.com/cof/excel/applic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Codigo</vt:lpstr>
      <vt:lpstr>Proc</vt:lpstr>
      <vt:lpstr>Overview</vt:lpstr>
      <vt:lpstr>RESOLVED</vt:lpstr>
      <vt:lpstr>Validation</vt:lpstr>
      <vt:lpstr>Dashboard</vt:lpstr>
      <vt:lpstr>Pivot</vt:lpstr>
      <vt:lpstr>LFF</vt:lpstr>
    </vt:vector>
  </TitlesOfParts>
  <Company>Merck KGaA Darmstadt Germany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Roland Earvin Combalicer</dc:creator>
  <cp:lastModifiedBy>Roland Earvin Combalicer</cp:lastModifiedBy>
  <cp:lastPrinted>2024-10-09T05:59:29Z</cp:lastPrinted>
  <dcterms:created xsi:type="dcterms:W3CDTF">2024-05-08T12:23:12Z</dcterms:created>
  <dcterms:modified xsi:type="dcterms:W3CDTF">2025-07-07T17:16:57Z</dcterms:modified>
</cp:coreProperties>
</file>